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সারসংক্ষেপ" sheetId="1" state="visible" r:id="rId3"/>
    <sheet name="মূল_ডাটা" sheetId="2" state="visible" r:id="rId4"/>
    <sheet name="১৭_কলাম_প্রতিবেদন" sheetId="3" state="visible" r:id="rId5"/>
  </sheets>
  <definedNames>
    <definedName function="false" hidden="false" localSheetId="2" name="_xlnm.Print_Area" vbProcedure="false">১৭_কলাম_প্রতিবেদন!$A$1:$S$1338</definedName>
    <definedName function="false" hidden="false" localSheetId="2" name="_xlnm.Print_Titles" vbProcedure="false">১৭_কলাম_প্রতিবেদন!$4:$4</definedName>
    <definedName function="false" hidden="true" localSheetId="2" name="_xlnm._FilterDatabase" vbProcedure="false">১৭_কলাম_প্রতিবেদন!$A$4:$S$1334</definedName>
    <definedName function="false" hidden="true" localSheetId="1" name="_xlnm._FilterDatabase" vbProcedure="false">মূল_ডাটা!$A$1:$K$947</definedName>
    <definedName function="false" hidden="false" localSheetId="0" name="_xlnm.Print_Titles" vbProcedure="false">সারসংক্ষেপ!$1:$3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<sst xmlns="http://schemas.openxmlformats.org/spreadsheetml/2006/main" count="25930" uniqueCount="6350">
  <si>
    <t xml:space="preserve">সাপ্তাহিক বৃক্ষরোপণ কর্মসূচির অগ্রগতি প্রতিবেদন</t>
  </si>
  <si>
    <t xml:space="preserve">কৃষি সম্প্রসারণ অধিদপ্তর (DAE), কুড়িগ্রাম জেলা  |  ৫ বছরে ২৫ কোটি বৃক্ষরোপণ কর্মসূচি</t>
  </si>
  <si>
    <t xml:space="preserve">প্রতিবেদন প্রস্তুতের তারিখ: 11 August, 2026   |   প্রস্তুতকারী: উপপরিচালকের কার্যালয়, কুড়িগ্রাম</t>
  </si>
  <si>
    <t xml:space="preserve">মোট এন্ট্রি সংখ্যা</t>
  </si>
  <si>
    <t xml:space="preserve">মোট রোপণকৃত বৃক্ষ</t>
  </si>
  <si>
    <t xml:space="preserve">অন্তর্ভুক্ত উপজেলা</t>
  </si>
  <si>
    <t xml:space="preserve">9</t>
  </si>
  <si>
    <t xml:space="preserve">৯টি উপজেলার মধ্যে</t>
  </si>
  <si>
    <t xml:space="preserve">ক. সম্মিলিত উপজেলাভিত্তিক অগ্রগতি (দুই উৎসের একত্রীকরণ)</t>
  </si>
  <si>
    <t xml:space="preserve">উপজেলার নাম</t>
  </si>
  <si>
    <t xml:space="preserve">মূল_ডাটা
এন্ট্রি</t>
  </si>
  <si>
    <t xml:space="preserve">মূল_ডাটা
গাছ</t>
  </si>
  <si>
    <t xml:space="preserve">১৭-কলাম
এন্ট্রি</t>
  </si>
  <si>
    <t xml:space="preserve">১৭-কলাম
গাছ</t>
  </si>
  <si>
    <t xml:space="preserve">সম্মিলিত
এন্ট্রি</t>
  </si>
  <si>
    <t xml:space="preserve">সম্মিলিত
গাছ</t>
  </si>
  <si>
    <t xml:space="preserve">ভূরুঙ্গামারী</t>
  </si>
  <si>
    <t xml:space="preserve">চর রাজিবপুর</t>
  </si>
  <si>
    <t xml:space="preserve">ফুলবাড়ী</t>
  </si>
  <si>
    <t xml:space="preserve">উলিপুর</t>
  </si>
  <si>
    <t xml:space="preserve">চিলমারী</t>
  </si>
  <si>
    <t xml:space="preserve">কুড়িগ্রাম সদর</t>
  </si>
  <si>
    <t xml:space="preserve">রৌমারী</t>
  </si>
  <si>
    <t xml:space="preserve">নাগেশ্বরী</t>
  </si>
  <si>
    <t xml:space="preserve">রাজারহাট</t>
  </si>
  <si>
    <t xml:space="preserve">অন্যান্য (জেলার বাইরে/অজ্ঞাত)</t>
  </si>
  <si>
    <t xml:space="preserve">মোট</t>
  </si>
  <si>
    <t xml:space="preserve">নোট: "মূল_ডাটা" (ministry report, ৯৪৬ এন্ট্রি/৪,৩৩০ গাছ) ও "১৭_কলাম_প্রতিবেদন" (১,৩২৯ এন্ট্রি/১১,০৮২ গাছ) — দুই ভিন্ন উৎসের এন্ট্রি ও গাছ সংখ্যা একত্রে দেখানো হয়েছে।</t>
  </si>
  <si>
    <t xml:space="preserve">খ. উৎসভিত্তিক তুলনা (Source Comparison)</t>
  </si>
  <si>
    <t xml:space="preserve">তথ্য উৎস (শীট)</t>
  </si>
  <si>
    <t xml:space="preserve">এন্ট্রি সংখ্যা</t>
  </si>
  <si>
    <t xml:space="preserve">মোট চারা/বৃক্ষ সংখ্যা</t>
  </si>
  <si>
    <t xml:space="preserve">বিবরণ</t>
  </si>
  <si>
    <t xml:space="preserve">মূল_ডাটা  (ministry report)</t>
  </si>
  <si>
    <t xml:space="preserve">মিশ্র প্যাকেজ ও একক প্রজাতি — ৯টি উপজেলা (৭টিতে এন্ট্রি)</t>
  </si>
  <si>
    <t xml:space="preserve">১৭_কলাম_প্রতিবেদন  (17 column report)</t>
  </si>
  <si>
    <t xml:space="preserve">ফলদ/ঔষধি/বনজ ক্যাটাগরি — ৯টি উপজেলার সবকটিতেই এন্ট্রি</t>
  </si>
  <si>
    <t xml:space="preserve">সম্মিলিত সর্বমোট</t>
  </si>
  <si>
    <t xml:space="preserve">উভয় প্রতিবেদনের সমন্বিত ফলাফল</t>
  </si>
  <si>
    <t xml:space="preserve">নোট: ১৭_কলাম_প্রতিবেদনে উলিপুর ও চিলমারী উপজেলাতেও এন্ট্রি রয়েছে, ফলে দুই উৎস একত্রে করলে ৯টি উপজেলাই কভার হয়।</t>
  </si>
  <si>
    <t xml:space="preserve">গ. চারা/বৃক্ষের প্রজাতিভিত্তিক বিবরণ (ক্যাটাগরি)</t>
  </si>
  <si>
    <t xml:space="preserve">প্রজাতির ক্যাটাগরি</t>
  </si>
  <si>
    <t xml:space="preserve">উৎস</t>
  </si>
  <si>
    <t xml:space="preserve">মোট চারা সংখ্যা</t>
  </si>
  <si>
    <t xml:space="preserve">মিশ্র প্যাকেজ</t>
  </si>
  <si>
    <t xml:space="preserve">মূল_ডাটা</t>
  </si>
  <si>
    <t xml:space="preserve">একক প্রজাতি এন্ট্রি</t>
  </si>
  <si>
    <t xml:space="preserve">১৭_কলাম_প্রতিবেদন</t>
  </si>
  <si>
    <t xml:space="preserve">ফলদ</t>
  </si>
  <si>
    <t xml:space="preserve">ঔষধি</t>
  </si>
  <si>
    <t xml:space="preserve">বনজ</t>
  </si>
  <si>
    <t xml:space="preserve">অন্যান্য</t>
  </si>
  <si>
    <t xml:space="preserve">ঘ. ডাটা মান যাচাই (১৭_কলাম_প্রতিবেদন)</t>
  </si>
  <si>
    <t xml:space="preserve">মানদণ্ড</t>
  </si>
  <si>
    <t xml:space="preserve">সব এন্ট্রির %</t>
  </si>
  <si>
    <t xml:space="preserve">মন্তব্য</t>
  </si>
  <si>
    <t xml:space="preserve">মোট যাচাইকৃত এন্ট্রি</t>
  </si>
  <si>
    <t xml:space="preserve">100%</t>
  </si>
  <si>
    <t xml:space="preserve">১,৩২৯টি এন্ট্রির প্রতিটি যাচাই করা হয়েছে</t>
  </si>
  <si>
    <t xml:space="preserve">সিরিয়াল নম্বর অনুপস্থিত</t>
  </si>
  <si>
    <t xml:space="preserve">উৎস ফাইলে #N/A ছিল</t>
  </si>
  <si>
    <t xml:space="preserve">উপজেলা খালি</t>
  </si>
  <si>
    <t xml:space="preserve">উপজেলা লেখা নেই</t>
  </si>
  <si>
    <t xml:space="preserve">কুড়িগ্রাম জেলার বাইরের উপজেলা</t>
  </si>
  <si>
    <t xml:space="preserve">বদরগঞ্জ/পাটগ্রাম উপজেলা</t>
  </si>
  <si>
    <t xml:space="preserve">জিও-কোঅর্ডিনেট ত্রুটিপূর্ণ</t>
  </si>
  <si>
    <t xml:space="preserve">ভুল/খালি কোঅর্ডিনেট</t>
  </si>
  <si>
    <t xml:space="preserve">রোপণের তারিখ খালি</t>
  </si>
  <si>
    <t xml:space="preserve">তারিখ লেখা নেই</t>
  </si>
  <si>
    <t xml:space="preserve">মনিটরিং অফিসার খালি</t>
  </si>
  <si>
    <t xml:space="preserve">মনিটরিং অফিসারের নাম নেই</t>
  </si>
  <si>
    <t xml:space="preserve">মোট চিহ্নিত এন্ট্রি</t>
  </si>
  <si>
    <t xml:space="preserve">কমপক্ষে একটি সমস্যাসহ এন্ট্রি (একটি এন্ট্রিতে একাধিক সমস্যা থাকতে পারে)</t>
  </si>
  <si>
    <t xml:space="preserve">নোট: এন্ট্রিগুলোর মধ্যে ১টি এন্ট্রিতে একাধিক সমস্যা থাকতে পারে, তাই মানদণ্ডগুলোর যোগফল "মোট চিহ্নিত এন্ট্রি" থেকে বেশি হতে পারে। সমস্যাগুলো সংশ্লিষ্ট ইউনিয়ন/উপজেলার এসএএও ও মনিটরিং অফিসারের মাধ্যমে ভেরিফাই করে পরবর্তী প্রতিবেদনে সংশোধন করতে হবে।</t>
  </si>
  <si>
    <t xml:space="preserve">উৎস: গুগল শিট "Tree_Plantation_Reporting_Workbook.xlsx" — ministry report (৯৪৬ এন্ট্রি) ও 17_column_report (১,৩২৯ এন্ট্রি)। ইউনিকোড NFC নরমালাইজেশন ও উপজেলার নামের বানান সামঞ্জস্য করা হয়েছে।</t>
  </si>
  <si>
    <t xml:space="preserve">ক্রঃ নং</t>
  </si>
  <si>
    <t xml:space="preserve">বৃক্ষরোপণের স্থান (গ্রাম/ইউনিয়ন/উপজেলা/জেলা)</t>
  </si>
  <si>
    <t xml:space="preserve">উপজেলা</t>
  </si>
  <si>
    <t xml:space="preserve">প্রজাতির নাম</t>
  </si>
  <si>
    <t xml:space="preserve">রোপণকৃত সংখ্যা</t>
  </si>
  <si>
    <t xml:space="preserve">জিওগ্রাফিক্যাল কোঅর্ডিনেট</t>
  </si>
  <si>
    <t xml:space="preserve">পরিচর্যাকারী কৃষক (নাম ও ফোন)</t>
  </si>
  <si>
    <t xml:space="preserve">এসএএও (নাম ও ফোন)</t>
  </si>
  <si>
    <t xml:space="preserve">মনিটরিং অফিসার (নাম ও ফোন)</t>
  </si>
  <si>
    <t xml:space="preserve">প্রজাতি ক্যাটাগরি</t>
  </si>
  <si>
    <t xml:space="preserve">বদরপুর, রাজিবপুর, চর রাজিবপুর, কুড়িগ্রাম।</t>
  </si>
  <si>
    <t xml:space="preserve">আম, কাঠাল, নিম, জলপাই ও মেহগনি</t>
  </si>
  <si>
    <t xml:space="preserve">25.46272-89.80184</t>
  </si>
  <si>
    <t xml:space="preserve">মোঃ জাহিদুল ইসলাম ১৯৫৪২৭৮৭৫৮</t>
  </si>
  <si>
    <t xml:space="preserve">মোঃ নজরুল ইসলাম ১৯১৭১৮৬৬৮৫</t>
  </si>
  <si>
    <t xml:space="preserve">দিপক দেব নাথ     ১৭৩৮৩৮৫৮১৯</t>
  </si>
  <si>
    <t xml:space="preserve">25.4597-89.80306</t>
  </si>
  <si>
    <t xml:space="preserve">মোঃ আশরাফুল ইসলাম ০১৯৩৪৯২৯৫৩৩</t>
  </si>
  <si>
    <t xml:space="preserve">25.46249-89.80164</t>
  </si>
  <si>
    <t xml:space="preserve">মোঃ গোলাম মোস্তফা  ০১৯৮৯৮৩৫৬৯১</t>
  </si>
  <si>
    <t xml:space="preserve">25.4616-89.8001</t>
  </si>
  <si>
    <t xml:space="preserve">মোঃ ইব্রাহীম মিয়া  ০১৯১৯৪৩০০৩১</t>
  </si>
  <si>
    <t xml:space="preserve">25.45859-89.80315</t>
  </si>
  <si>
    <t xml:space="preserve">মোঃ হাবিবুর রহমান  ০১৯৩৪৯২৮৭০৮</t>
  </si>
  <si>
    <t xml:space="preserve">25.46175-89.80015</t>
  </si>
  <si>
    <t xml:space="preserve">মোঃ ইয়াছিন আলী   ০১৭২৬৭৬০১৪৪</t>
  </si>
  <si>
    <t xml:space="preserve">25.4626-89.8012</t>
  </si>
  <si>
    <t xml:space="preserve">মোঃ শাহাদত হোসেন  ০১৯১৯৪৩০০৩১</t>
  </si>
  <si>
    <t xml:space="preserve">25.44285-89.78961</t>
  </si>
  <si>
    <t xml:space="preserve">মোঃ আঃ ছাত্তার  ০১৬১৪৯৮৬৬০৬</t>
  </si>
  <si>
    <t xml:space="preserve">25.46239-89.80166</t>
  </si>
  <si>
    <t xml:space="preserve">মোঃ সিরাজুল ইসলাম  ০১৯৩০৩৯০৪৪২</t>
  </si>
  <si>
    <t xml:space="preserve">25.46215-89.80161</t>
  </si>
  <si>
    <t xml:space="preserve">মোঃ ছয়নুদ্দিন  ০১৯৪৩০৭১৯২২</t>
  </si>
  <si>
    <t xml:space="preserve">করাতিপাড়া, রাজিবপুর, চর রাজিবপুর, কুড়িগ্রাম।</t>
  </si>
  <si>
    <t xml:space="preserve">25.44121-89.78539</t>
  </si>
  <si>
    <t xml:space="preserve">মোছাঃ সুলতানা পারভীন  ০১৯৮৯৩৩৯৫৭৬</t>
  </si>
  <si>
    <t xml:space="preserve">আজগড় দেওয়ানীপাড়া, রাজিবপুর, চর রাজিবপুর, কুড়িগ্রাম।</t>
  </si>
  <si>
    <t xml:space="preserve">25.44401-89.78675</t>
  </si>
  <si>
    <t xml:space="preserve">মোঃ ছরোয়ার হোসেন  ০১৯০৩১২৪৮৮১</t>
  </si>
  <si>
    <t xml:space="preserve">25.44063-89.78534</t>
  </si>
  <si>
    <t xml:space="preserve">মোছাঃ শরিফা খাতুন  ০১৯১৪৯৪৩৪৬৪</t>
  </si>
  <si>
    <t xml:space="preserve">25.43533-89.77657</t>
  </si>
  <si>
    <t xml:space="preserve">মোছাঃ আনিছা খাতুন  ০১৯৫৫১৫৬৪৪৭</t>
  </si>
  <si>
    <t xml:space="preserve">25.44216-89.78666</t>
  </si>
  <si>
    <t xml:space="preserve">মোছাঃ মজিরন খাতুন  ০১৯৭৭৮৮২৪৭৪</t>
  </si>
  <si>
    <t xml:space="preserve">25.43564-89.7833</t>
  </si>
  <si>
    <t xml:space="preserve">মোঃ হেকমত আলী  ০১৭১৯৫০৮২১১</t>
  </si>
  <si>
    <t xml:space="preserve">মোছাঃ সাবানা আক্তার  ০১৯৩০৮৩৩৩২৭</t>
  </si>
  <si>
    <t xml:space="preserve">মেম্বারপাড়া, রাজিবপুর, চর রাজিবপুর, কুড়িগ্রাম।</t>
  </si>
  <si>
    <t xml:space="preserve">25.44969-89.79031</t>
  </si>
  <si>
    <t xml:space="preserve">মোছাঃ আছিয়া খাতুন  ০১৯৪৭২২৬৭৩০</t>
  </si>
  <si>
    <t xml:space="preserve">টাংগালিয়া পাড়া, রাজিবপুর, চর রাজিবপুর, কুড়িগ্রাম।</t>
  </si>
  <si>
    <t xml:space="preserve">25.46134-89.79856</t>
  </si>
  <si>
    <t xml:space="preserve">মোছাঃ শ্যামলী আকতার   ০১৪০৮০০০৮৬২</t>
  </si>
  <si>
    <t xml:space="preserve">25.45972-89.79661</t>
  </si>
  <si>
    <t xml:space="preserve">মোঃ আকবর হোসেন  ০১৮৯১৭২৩৪৭১</t>
  </si>
  <si>
    <t xml:space="preserve">25.45675-89.79392</t>
  </si>
  <si>
    <t xml:space="preserve">মোঃ আঃ আলিম ০১৯১২২৬৯৪২০</t>
  </si>
  <si>
    <t xml:space="preserve">25.45845-89.79543</t>
  </si>
  <si>
    <t xml:space="preserve">মোছাঃ জমিলা খাতুন  ০১৮৪৫১৯৯৩০২</t>
  </si>
  <si>
    <t xml:space="preserve">25.45699-89.79346</t>
  </si>
  <si>
    <t xml:space="preserve">মোছাঃ ছালেহা খাতুন   ০১৯১২২৬৯৪২০</t>
  </si>
  <si>
    <t xml:space="preserve">25.45466-89.79129</t>
  </si>
  <si>
    <t xml:space="preserve">মোঃ রমজান আলী  ০১৮২২৪০৭৮৩৩</t>
  </si>
  <si>
    <t xml:space="preserve">মদনের চর, রাজিবপুর, চর রাজিবপুর, কুড়িগ্রাম।</t>
  </si>
  <si>
    <t xml:space="preserve">25.45667-89.7662</t>
  </si>
  <si>
    <t xml:space="preserve">মোঃ আঃ সামাদ   ০১৯৮৯৬২৩৬১৯</t>
  </si>
  <si>
    <t xml:space="preserve">25.44236-89.78676</t>
  </si>
  <si>
    <t xml:space="preserve">মোঃ লুৎফর রহমান  ০১৮৪৯৭০২১৫৪</t>
  </si>
  <si>
    <t xml:space="preserve">25.45699-89.76707</t>
  </si>
  <si>
    <t xml:space="preserve">মোঃ আবু বক্কর  ০১৯৮৯০০৮৭০৯</t>
  </si>
  <si>
    <t xml:space="preserve">25.45780-89.76787</t>
  </si>
  <si>
    <t xml:space="preserve">মোঃ বদিউজ্জামান  ০১৯৬৪৩৪৪৯২২</t>
  </si>
  <si>
    <t xml:space="preserve">25.45916-89.80309</t>
  </si>
  <si>
    <t xml:space="preserve">মোঃ গোলাম হোসেন  ০১৯৪১৪১০৫৯</t>
  </si>
  <si>
    <t xml:space="preserve">২৫.৪৫৬৬১-৮৯.৮১১৩১</t>
  </si>
  <si>
    <t xml:space="preserve">মোঃ আব্দুল ওয়াদুদ ০১৭৩৪৪২০২৭৭</t>
  </si>
  <si>
    <t xml:space="preserve">দক্ষনি মরচিা কান্দ,ি ইউনয়িনঃ রাজবিপুর, উপজলোঃ চর রাজবিপুর, জলোঃ কুড়গ্রিাম</t>
  </si>
  <si>
    <t xml:space="preserve">২৫.৪৫৫২২-৮৯.৮০৮০২</t>
  </si>
  <si>
    <t xml:space="preserve">মোছাঃ লতফিা বগেম ০১৯৪৪৩২২২৭০</t>
  </si>
  <si>
    <t xml:space="preserve">মোঃ জহুরুল হক, ০১৭৮৫৬৬২৩৩৬</t>
  </si>
  <si>
    <t xml:space="preserve">২৫.৪৫৪৬৫-৮৯.৮০৭৭১</t>
  </si>
  <si>
    <t xml:space="preserve">মোঃ মালকো বগেম ০১৯৮৯৮৩৫৬৯০</t>
  </si>
  <si>
    <t xml:space="preserve">বড়াইডাঙ্গী কলজে পাড়া, ইউনয়িনঃ রাজবিপুর, উপজলোঃ চর রাজবিপুর, জলোঃ কুড়গ্রিাম</t>
  </si>
  <si>
    <t xml:space="preserve">২৫.৪৪৬৬৩-৮৯.৮০১০৫</t>
  </si>
  <si>
    <t xml:space="preserve">মোঃ আছমত আলী ০১৯৩৪২৩৮২৩৭</t>
  </si>
  <si>
    <t xml:space="preserve">শবিরে ডাঙ্গী, ইউনয়িনঃ রাজবিপুর, উপজলোঃ চর রাজবিপুর, জলোঃ কুড়গ্রিাম</t>
  </si>
  <si>
    <t xml:space="preserve">২৫.৪৭৫০২-৮৯.৮১৭২৭</t>
  </si>
  <si>
    <t xml:space="preserve">মোঃ রুমানুর রহমান ০১৯৩২২১৫৮১৩</t>
  </si>
  <si>
    <t xml:space="preserve">ভুইয়া পাড়া, ইউনয়িনঃ রাজবিপুর, উপজলোঃ চর রাজবিপুর, জলোঃ কুড়গ্রিাম</t>
  </si>
  <si>
    <t xml:space="preserve">২৫.৪৫১২১-৮৯.৮০৯৭৫</t>
  </si>
  <si>
    <t xml:space="preserve">মোছাঃ অজুফা খাতুন  ০১৯৫৫১৫৬৭২৩</t>
  </si>
  <si>
    <t xml:space="preserve">২৫.৪৫১১৭-৮৯.৮১৩৫৪</t>
  </si>
  <si>
    <t xml:space="preserve">মোছাঃ মালকো বগেম ০১৯৩৫৬৩৩৫৩৫</t>
  </si>
  <si>
    <t xml:space="preserve">২৫.৪৫১৫৬-৮৯.৮১৩৬৬</t>
  </si>
  <si>
    <t xml:space="preserve">মোছাঃ খাদজিা খাতুন ০১৯৩৫৬৩৩৭৬৯</t>
  </si>
  <si>
    <t xml:space="preserve">২৫.৪৫৩৫৪-৮৯.৮১৫৫১</t>
  </si>
  <si>
    <t xml:space="preserve">মোছাঃ মমতাজ খাতুন ০১৯০৪৯৩৬০০১</t>
  </si>
  <si>
    <t xml:space="preserve">২৫.৪৫৫২৮-৮৯.৮০৭৭৩</t>
  </si>
  <si>
    <t xml:space="preserve">মোঃ মোখলসেুর ০১৯১৭৮৪৪২১৯</t>
  </si>
  <si>
    <t xml:space="preserve">২৫.৪৫২১৭-৮৯.৮০৯৬৪</t>
  </si>
  <si>
    <t xml:space="preserve">মোছাঃ শ্যামলী খাতুন ০১৯৬৩৯৭৬৩৬৬</t>
  </si>
  <si>
    <t xml:space="preserve">২৫.৪৫২৩৮-৮৯.৮০৯২৯</t>
  </si>
  <si>
    <t xml:space="preserve">মোছাঃ মনরিা খাতুন ০১৯০৩৪১০১৪২</t>
  </si>
  <si>
    <t xml:space="preserve">২৫.৪৫০৫৪-৮৯.৮০৯৫</t>
  </si>
  <si>
    <t xml:space="preserve">মোছাঃ রহমিা খাতুন ০১৭২৫২১৬৮৭৩</t>
  </si>
  <si>
    <t xml:space="preserve">২৫.৪৫০৫৩-৮৯.৮১০২৪</t>
  </si>
  <si>
    <t xml:space="preserve">মোছাঃ নপিা খাতুন ০১৯৮১৮১৮৫২৫</t>
  </si>
  <si>
    <t xml:space="preserve">২৫.৪৫০৬৭-৮৯.৮০৯৯৬</t>
  </si>
  <si>
    <t xml:space="preserve">মোছাঃ বগেম খাতুন  ০১৯২২৪৫৫৭১৮</t>
  </si>
  <si>
    <t xml:space="preserve">জয়নাল ডিলার পাড়া, কোদালকাটি, চর রাজিবপুরঃ কুড়িগ্রাম।</t>
  </si>
  <si>
    <t xml:space="preserve">25.50175-89.76284</t>
  </si>
  <si>
    <t xml:space="preserve">মোঃ আব্দুল্লাহ ০১৭৯২৭৭০৮২৩</t>
  </si>
  <si>
    <t xml:space="preserve">হাফিজা খাতুন  ১৯৮৩৬২২২৭৫</t>
  </si>
  <si>
    <t xml:space="preserve">হাজী পাড়া, কোদালকাটি, চর রাজিবপুরঃ কুড়িগ্রাম।</t>
  </si>
  <si>
    <t xml:space="preserve">25.50164-89.76285</t>
  </si>
  <si>
    <t xml:space="preserve">মোঃ রফিকুল ইসলাম ০১৭০৩৩৪২১০৩</t>
  </si>
  <si>
    <t xml:space="preserve">তেররশি পাড়া, কোদালকাটি, চর রাজিবপুরঃ কুড়িগ্রাম।</t>
  </si>
  <si>
    <t xml:space="preserve">25.50169-89.763</t>
  </si>
  <si>
    <t xml:space="preserve">মোঃ আবু সাইদ ০১৬৪৮৭৭৯০৩৬</t>
  </si>
  <si>
    <t xml:space="preserve">25.50172-8976337</t>
  </si>
  <si>
    <t xml:space="preserve">মোঃ আরিফুল ইসলাম  ০১৭৮৮২৩৬৮১৬</t>
  </si>
  <si>
    <t xml:space="preserve">25.50195-89.76439</t>
  </si>
  <si>
    <t xml:space="preserve">মোঃ নুর হোসেন  ০১৯৭১৭৪৫৭৫৭</t>
  </si>
  <si>
    <t xml:space="preserve">25.50191-89.76519</t>
  </si>
  <si>
    <t xml:space="preserve">মোঃ ডাইভার হোসেন  ০১৬২৪২৭৮৪১২</t>
  </si>
  <si>
    <t xml:space="preserve">25.50213-89.76598</t>
  </si>
  <si>
    <t xml:space="preserve">মোঃ মানিক মিয়া  ০১৩২০৫৪৫৮০৪</t>
  </si>
  <si>
    <t xml:space="preserve">25.50236-89.76604</t>
  </si>
  <si>
    <t xml:space="preserve">মোছাঃ রমেছা খাতুন  ০১৪০৬৬৭৬১৬৫</t>
  </si>
  <si>
    <t xml:space="preserve">25.502276-89.76636</t>
  </si>
  <si>
    <t xml:space="preserve">মোঃ শাহ আলম  ০১৭৪১৭৩২৬৭৩</t>
  </si>
  <si>
    <t xml:space="preserve">25.50222-89.76642</t>
  </si>
  <si>
    <t xml:space="preserve">মোঃ ফরিজল হক  ০১৯০৭৯২৩৩৪১</t>
  </si>
  <si>
    <t xml:space="preserve">25.49762-89.76781</t>
  </si>
  <si>
    <t xml:space="preserve">মোঃ আবুল কালাম আজাদ ০১৮২১২২৮২৫৩</t>
  </si>
  <si>
    <t xml:space="preserve">254743-89.7678</t>
  </si>
  <si>
    <t xml:space="preserve">মোঃ মমিনুল ইসলাম ০১৯৫৩৪২৭৩৭৭</t>
  </si>
  <si>
    <t xml:space="preserve">25.49552-89.76726</t>
  </si>
  <si>
    <t xml:space="preserve">মোঃ নুরুল হক  ০১৬৪৮৭৭৯০৩৬</t>
  </si>
  <si>
    <t xml:space="preserve">25.50257-89.76734</t>
  </si>
  <si>
    <t xml:space="preserve">মোছাঃ মৌসুমী খাতুন  ০১৮৫৪৫৪৮৪৯৪</t>
  </si>
  <si>
    <t xml:space="preserve">25.50335-89.768669</t>
  </si>
  <si>
    <t xml:space="preserve">মোঃ সাইদুর রহমান ০১৭৫২০৫৪১৮২</t>
  </si>
  <si>
    <t xml:space="preserve">25.49771-89.76855</t>
  </si>
  <si>
    <t xml:space="preserve">মোঃ মমিনুল হক  ০১৯৫৩৪২৭৩৭৭</t>
  </si>
  <si>
    <t xml:space="preserve">25.49786-89.76835</t>
  </si>
  <si>
    <t xml:space="preserve">মোঃ খলিল ০১৯৬৫৮৬৭৪৬৭</t>
  </si>
  <si>
    <t xml:space="preserve">25.49765-89.76818</t>
  </si>
  <si>
    <t xml:space="preserve">মোঃ আঃ মান্নান  ০১৮২৮০৫৮৮০১</t>
  </si>
  <si>
    <t xml:space="preserve">25.50258-89.76701</t>
  </si>
  <si>
    <t xml:space="preserve">মোঃ মেহেদুল ইসলাম ০১৭৫২০৫৪১৮২</t>
  </si>
  <si>
    <t xml:space="preserve">25.49765-89.76809</t>
  </si>
  <si>
    <t xml:space="preserve">মোঃ রাশেদুল ইসলাম ০১৯৭৮০৫২২৭৯</t>
  </si>
  <si>
    <t xml:space="preserve">বালিয়ামারী, চর রাজিবপুর, চর রাজিবপুর, কুড়িগ্রাম।</t>
  </si>
  <si>
    <t xml:space="preserve">25.4531-89.82571</t>
  </si>
  <si>
    <t xml:space="preserve">মোঃ আবু বক্কও  ০১৭৩০২১৩৮৮৬</t>
  </si>
  <si>
    <t xml:space="preserve"> মোঃ শাখাওয়াত হোসেন
   ০১৭৪৩৬৬৮৬৮০
</t>
  </si>
  <si>
    <t xml:space="preserve">25.45354-89.82546</t>
  </si>
  <si>
    <t xml:space="preserve">মোঃ তৌকির আহমেদ ০১৯৬৬৩৪৯১৬২</t>
  </si>
  <si>
    <t xml:space="preserve">25.45334-89.82611</t>
  </si>
  <si>
    <t xml:space="preserve">মোছাঃ আফরোজা খাতুন ০১৬১৩৯৪৭৭৭৫</t>
  </si>
  <si>
    <t xml:space="preserve">25.45348-89.82685</t>
  </si>
  <si>
    <t xml:space="preserve">মোছাঃ পারুল  ০১৯৪২৮৮৫০০২</t>
  </si>
  <si>
    <t xml:space="preserve">25.45361-89.82681</t>
  </si>
  <si>
    <t xml:space="preserve">মোঃ জয়নাল আবেদীন  ০১৯৪২৮৮৫৯৯২</t>
  </si>
  <si>
    <t xml:space="preserve">25.4541-89.82674</t>
  </si>
  <si>
    <t xml:space="preserve">মোঃ মোকলেছ উদ্দিন  ০১৪০৫২৫৬০৬৮</t>
  </si>
  <si>
    <t xml:space="preserve">25.45403-89.82729</t>
  </si>
  <si>
    <t xml:space="preserve">মোছাঃ সুফিয়া খাতুন ০১৯৮৩৩৪৯৩৫৭</t>
  </si>
  <si>
    <t xml:space="preserve">25.4535-89.82733</t>
  </si>
  <si>
    <t xml:space="preserve">বছির আলম ০১৯৪২০৬৮৩৬৭</t>
  </si>
  <si>
    <t xml:space="preserve">25.45354-8982736</t>
  </si>
  <si>
    <t xml:space="preserve">মোছাঃ মাহমুদা খাতুন ০১৯১৬৪২১৩৯৫</t>
  </si>
  <si>
    <t xml:space="preserve">25.45341-89.82812</t>
  </si>
  <si>
    <t xml:space="preserve">মোঃ মানিক মিয়া  ০১৯২২০২৮৯৭৫</t>
  </si>
  <si>
    <t xml:space="preserve">জালচিরাপাড়া, চর রাজিবপুর, চর রাজিবপুর, কুড়িগ্রাম।</t>
  </si>
  <si>
    <t xml:space="preserve">মোঃ গোলাম হোসেন  ০১৮১৫৮১৪২২১</t>
  </si>
  <si>
    <t xml:space="preserve">25.43995-89.82345</t>
  </si>
  <si>
    <t xml:space="preserve">মোঃ নুরুজ্জামান  ০১৯৭৬১০০৬৮৬</t>
  </si>
  <si>
    <t xml:space="preserve">25.43827-89.82528</t>
  </si>
  <si>
    <t xml:space="preserve">মোছাঃ ওযুফা  খাতুন  ০১৯১০৫৩৮০০২</t>
  </si>
  <si>
    <t xml:space="preserve">25.43814-89.82607</t>
  </si>
  <si>
    <t xml:space="preserve">মোঃ ই¯্রাফিল হক  ০১৭৪৭৫৪৯৭৯৬</t>
  </si>
  <si>
    <t xml:space="preserve">25.43283-89.82583</t>
  </si>
  <si>
    <t xml:space="preserve">মোঃ ছালাম মিয়া ০১৯৩৫৬৩৩৯২৫</t>
  </si>
  <si>
    <t xml:space="preserve">25.44033-89.82836</t>
  </si>
  <si>
    <t xml:space="preserve">মোঃ মানিক মিয়া   ০১৮২৯৫৪৮৯৭৬</t>
  </si>
  <si>
    <t xml:space="preserve">পূর্ব জালচিরাপাড়া, চর রাজিবপুর, চর রাজিবপুর, কুড়িগ্রাম।</t>
  </si>
  <si>
    <t xml:space="preserve">25.43313-89.82374</t>
  </si>
  <si>
    <t xml:space="preserve">মোঃ আজিবর রহমান  ০১৪০১৯৬৩০৩৬</t>
  </si>
  <si>
    <t xml:space="preserve">25.44095-89.82433</t>
  </si>
  <si>
    <t xml:space="preserve">মোঃ আইজুল ইসলাম  ০১৯৮৭৮৭৯৩৭৮</t>
  </si>
  <si>
    <t xml:space="preserve">25.4384-89.82476</t>
  </si>
  <si>
    <t xml:space="preserve">মোঃ নজরুল ইসলাম  ০১৯১৪২৯০৭৬২</t>
  </si>
  <si>
    <t xml:space="preserve">25.49897-89.82783</t>
  </si>
  <si>
    <t xml:space="preserve">মোঃ সফিউর রহমান  ০১৯৮৭৮৭৯৩৭৮</t>
  </si>
  <si>
    <t xml:space="preserve">25.43863-89.82468</t>
  </si>
  <si>
    <t xml:space="preserve">মোঃ সফিকুল ইসলাম ০১৯২৬৪৬১২০৭</t>
  </si>
  <si>
    <t xml:space="preserve">25.44089-89.82812</t>
  </si>
  <si>
    <t xml:space="preserve">মোঃ রাশেদুল ইসলাম ০১৯২০৪১০৪২৭</t>
  </si>
  <si>
    <t xml:space="preserve">25.4388-89.82367</t>
  </si>
  <si>
    <t xml:space="preserve">মোঃ মোনাহার আলী  ০১৩৪৩৮১৯৪৭৭</t>
  </si>
  <si>
    <t xml:space="preserve">25.43369-89.82366</t>
  </si>
  <si>
    <t xml:space="preserve">মোঃ মৈনুদ্দিন  ০১৯৩৪০৫২৪৯৪</t>
  </si>
  <si>
    <t xml:space="preserve">25.4383-89.82489</t>
  </si>
  <si>
    <t xml:space="preserve">মোছাঃ কহিনুর  ০১৯৮৪৩৫৭০৮</t>
  </si>
  <si>
    <t xml:space="preserve">25.43891-89.82782</t>
  </si>
  <si>
    <t xml:space="preserve">মোঃ তারু মিয়া  ০১৯৬২০৯৫৯৮</t>
  </si>
  <si>
    <t xml:space="preserve">গোয়ালপাড়া, মোহনগঞ্জ, চর রাজিবপুর, কুড়িগ্রাম।</t>
  </si>
  <si>
    <t xml:space="preserve">25.413209-89.767715</t>
  </si>
  <si>
    <t xml:space="preserve">মোছাঃ সুলতানা পারভীন ০১৭৯৩৬৪৬৪০৬</t>
  </si>
  <si>
    <t xml:space="preserve">মোছাঃ দিলশাদ জাহান
০১৯৩৭৩৭১৬০৪
</t>
  </si>
  <si>
    <t xml:space="preserve">25.412461-89.767388</t>
  </si>
  <si>
    <t xml:space="preserve">মোঃ আব্দুস সালাম  ০১৬১৫২৫২৭৬২</t>
  </si>
  <si>
    <t xml:space="preserve">25.412654-89.767452</t>
  </si>
  <si>
    <t xml:space="preserve">মোঃ সোহেল রানা  ০১৬৪৮৪৯১১৪২</t>
  </si>
  <si>
    <t xml:space="preserve">25.413470-89.767654</t>
  </si>
  <si>
    <t xml:space="preserve">মোঃ ছলিম উদ্দিন ০১৯৯৫৬৬৮৮৭২</t>
  </si>
  <si>
    <t xml:space="preserve">25.414145-89.765339</t>
  </si>
  <si>
    <t xml:space="preserve">মোঃ মাইদুল ইসলাম  ০১৯২৫৭২৬৮০৯</t>
  </si>
  <si>
    <t xml:space="preserve">25.413133-89.767455</t>
  </si>
  <si>
    <t xml:space="preserve">মোঃ আল মামুন  ০১৭৬৬১০৭৬১৩</t>
  </si>
  <si>
    <t xml:space="preserve">25.412798-89.767453</t>
  </si>
  <si>
    <t xml:space="preserve">মোঃ ছানোয়ার হোসেন  ০১৮৩১৪৮৪০৪০</t>
  </si>
  <si>
    <t xml:space="preserve">25.413274-89.767470</t>
  </si>
  <si>
    <t xml:space="preserve">মোছাঃ কদভানু বেগম ০১৮২৮১৯২৯৪০</t>
  </si>
  <si>
    <t xml:space="preserve">25.413472-89.766374</t>
  </si>
  <si>
    <t xml:space="preserve">মোঃ রাশেদুল ইসলাম  ০১৭৩৪৩৭০৫০৯</t>
  </si>
  <si>
    <t xml:space="preserve">25.413118-89.767415</t>
  </si>
  <si>
    <t xml:space="preserve">মোঃ মাসুদ রানা  ০১৭৫৩৬৫৬৬০৩</t>
  </si>
  <si>
    <t xml:space="preserve">চর নেওয়াজী, মোহনগঞ্জ, চর রাজিবপুর, কুড়িগ্রাম।</t>
  </si>
  <si>
    <t xml:space="preserve">25.42506-89.76709</t>
  </si>
  <si>
    <t xml:space="preserve">মোছাঃ আশামণি ০১৯৯৪৫৮৯০৮৯</t>
  </si>
  <si>
    <t xml:space="preserve">25.42571-89.76702</t>
  </si>
  <si>
    <t xml:space="preserve">মোঃ মাসুদ রানা ০১৯৯৪৫৮৯০৮৯</t>
  </si>
  <si>
    <t xml:space="preserve">25.42818-89.77167</t>
  </si>
  <si>
    <t xml:space="preserve">মোঃ জহুরুল ইসলাম  ০১৫১৯৬০৬০১১</t>
  </si>
  <si>
    <t xml:space="preserve">দিয়ারার চর, মোহনগঞ্জ, চর রাজিবপুর, কুড়িগ্রাম।</t>
  </si>
  <si>
    <t xml:space="preserve">25.42281-89.77098</t>
  </si>
  <si>
    <t xml:space="preserve">মোঃ বদিউজ্জামান  ০১৯৩৭১৮২৩৩৬</t>
  </si>
  <si>
    <t xml:space="preserve">25.42813-89.77142</t>
  </si>
  <si>
    <t xml:space="preserve">মোছাঃ জবেদা বেগম  ০১৫১৯৬০৬০১০</t>
  </si>
  <si>
    <t xml:space="preserve">25.42876-89.77143</t>
  </si>
  <si>
    <t xml:space="preserve">মোঃ আকরাম হোসেন  ০১৫১৯৬০৬০১০</t>
  </si>
  <si>
    <t xml:space="preserve">25.42284-89.77108</t>
  </si>
  <si>
    <t xml:space="preserve">মোঃ হাফিজুর   ০১৯৩৪৭৮৮৯৩৪</t>
  </si>
  <si>
    <t xml:space="preserve">25.4298-89.77101</t>
  </si>
  <si>
    <t xml:space="preserve">মোঃ শফিকুল ইসলাম  ০১৭৮১১৭৫৫৬৫</t>
  </si>
  <si>
    <t xml:space="preserve">25.42669-89.77173</t>
  </si>
  <si>
    <t xml:space="preserve">মোঃ অছিউজ্জামান  ০১৪০৬২১৭৭৭১</t>
  </si>
  <si>
    <t xml:space="preserve">25.42811-89.77108</t>
  </si>
  <si>
    <t xml:space="preserve">মোছাঃ তানজিনা খাতুন  ০১৬৪৫৭৫০৪০৭</t>
  </si>
  <si>
    <t xml:space="preserve">25.42482-89.76615</t>
  </si>
  <si>
    <t xml:space="preserve">মোছাঃ আসমাউল হুসনা  ০১৭০৫১০৫৩৪৬</t>
  </si>
  <si>
    <t xml:space="preserve">25.42489-89.76602</t>
  </si>
  <si>
    <t xml:space="preserve">মোঃ সিরাজ উদ্দৌল্লা ০১৭০৬১০৫৩৪৬</t>
  </si>
  <si>
    <t xml:space="preserve">মোঃ আতোয়ার হোসেন
০১৭১০৮২৫৬২৩
</t>
  </si>
  <si>
    <t xml:space="preserve">25.4275-89.76555</t>
  </si>
  <si>
    <t xml:space="preserve">মোঃ মেহের চান  ০১৯১৭৬৮৩৯৫</t>
  </si>
  <si>
    <t xml:space="preserve">25.42747-89.7655</t>
  </si>
  <si>
    <t xml:space="preserve">মোঃ মাইদুল ইসলাম ০১৯১৭৬৮৩০৯৫</t>
  </si>
  <si>
    <t xml:space="preserve">25.42533-89.76436</t>
  </si>
  <si>
    <t xml:space="preserve">মোঃ রবিউল ইসলাম  ০১৬০৮০৯৯২৮৭</t>
  </si>
  <si>
    <t xml:space="preserve">25.42502-89.76367</t>
  </si>
  <si>
    <t xml:space="preserve">মোছাঃ রুপালী বেগম  ০১৬০৮০৯৯২৮০</t>
  </si>
  <si>
    <t xml:space="preserve">25.426060-8976383</t>
  </si>
  <si>
    <t xml:space="preserve">মোছাঃ মনির মিয়া ০১৮৫৯৭৯৩৮৩১</t>
  </si>
  <si>
    <t xml:space="preserve">25.403302-89.736597</t>
  </si>
  <si>
    <t xml:space="preserve">মোঃ আনোয়ার হোসেন  ০১৯৮৩৭৯৫৪২৯</t>
  </si>
  <si>
    <t xml:space="preserve">মোঃ শাবলু মিয়া  ০১৩২২১৪৮৩২২</t>
  </si>
  <si>
    <t xml:space="preserve">মোঃ আয়নাল হক  ০১৮৭৪৫৮২৫৩৪</t>
  </si>
  <si>
    <t xml:space="preserve">25.4249-89.77169</t>
  </si>
  <si>
    <t xml:space="preserve">মোছাঃ নুরুন্নাহার বেগম ০১৯৯৭৪৩৭৪৪২</t>
  </si>
  <si>
    <t xml:space="preserve">25.42515-89.77137</t>
  </si>
  <si>
    <t xml:space="preserve">মোছাঃ নাছিমা খাতুন ০১৮১০৭০৭৬২৬</t>
  </si>
  <si>
    <t xml:space="preserve">25.42481-89.77102</t>
  </si>
  <si>
    <t xml:space="preserve">মোঃ আব্দুল আজিজ ০১৬১০৩২৯১৫৪</t>
  </si>
  <si>
    <t xml:space="preserve">25.4285-89.77186</t>
  </si>
  <si>
    <t xml:space="preserve">মোঃ মতিউর রহমান ০১৯৩৭১৭৭৯৫২</t>
  </si>
  <si>
    <t xml:space="preserve">25.42492-89.77183</t>
  </si>
  <si>
    <t xml:space="preserve">মোঃ মিজানুর রহমান  ০১৯১৩৮৪৫২৫৩</t>
  </si>
  <si>
    <t xml:space="preserve">25.46405-89.77541</t>
  </si>
  <si>
    <t xml:space="preserve">মোঃ হাসানুল হক  ০১৮৬৪৮৬৮৬৫৮</t>
  </si>
  <si>
    <t xml:space="preserve">শংকরমাধবপুর নতুনপাড়া, কোদালকাটি, চর রাজিবপুর, কুড়িগ্রাম।</t>
  </si>
  <si>
    <t xml:space="preserve">25.463507-89.77526</t>
  </si>
  <si>
    <t xml:space="preserve">মোঃ সোরহাব হোসেন  ০১৯৩৫৬৭৫৮৬৮</t>
  </si>
  <si>
    <t xml:space="preserve">মোঃ শফিকুল ইসলাম
০১৯২৪৬৯২০৭৫
</t>
  </si>
  <si>
    <t xml:space="preserve">25.463459-89.775239</t>
  </si>
  <si>
    <t xml:space="preserve">মোঃ নুর ইসলাম  ০১৯৩৮৫৬২৩৫৪</t>
  </si>
  <si>
    <t xml:space="preserve">25.46319-89.77541</t>
  </si>
  <si>
    <t xml:space="preserve">মোঃ ফুল মিয়া  ০১৮০৬০৪৮৯৯৯</t>
  </si>
  <si>
    <t xml:space="preserve">25.46288-89.77583</t>
  </si>
  <si>
    <t xml:space="preserve">মোঃ এমদাদুল হক  ০১৬৪১৩৫৬৭৮৬</t>
  </si>
  <si>
    <t xml:space="preserve">25.46053-89.77564</t>
  </si>
  <si>
    <t xml:space="preserve">মোঃ হানিফ আলী  ০১৮৫৮৮৮১৮৬৭</t>
  </si>
  <si>
    <t xml:space="preserve">25.46114-89.77571</t>
  </si>
  <si>
    <t xml:space="preserve">মোঃ হাবিবুর রহমান  ০১৮২৩২৯৮৮৩২</t>
  </si>
  <si>
    <t xml:space="preserve">25.45605-89.7765</t>
  </si>
  <si>
    <t xml:space="preserve">মোঃ আবুল হোসেন  ০১৬০৯২২১৭৩০</t>
  </si>
  <si>
    <t xml:space="preserve">25.46129-89.77545</t>
  </si>
  <si>
    <t xml:space="preserve">মোঃ আশরাফ আলী  ০১৬১১৩৬৫১৫৫</t>
  </si>
  <si>
    <t xml:space="preserve">25.47209-89.77721</t>
  </si>
  <si>
    <t xml:space="preserve">মোঃ সাইফুল ইসলাম ০১৯৬৯৫৯৬০৪৬</t>
  </si>
  <si>
    <t xml:space="preserve">25.45789-89.76852</t>
  </si>
  <si>
    <t xml:space="preserve">মোঃ ইকবাল হোসেন ০১৯৫৯৫৮৮৫৫৭</t>
  </si>
  <si>
    <t xml:space="preserve">শংকরমাধবপুর বিলপাড়া, কোদালকাটি, চর রাজিবপুর, কুড়িগ্রাম।</t>
  </si>
  <si>
    <t xml:space="preserve">25.45807-89.767</t>
  </si>
  <si>
    <t xml:space="preserve">মোঃ শুক্কুর আলী ০১৯১৮৭৫৩২২০</t>
  </si>
  <si>
    <t xml:space="preserve">25.45833-89.7761</t>
  </si>
  <si>
    <t xml:space="preserve">মোঃ জয়েন উদ্দিন  ০১৯৩১৮২৬৬৬৪</t>
  </si>
  <si>
    <t xml:space="preserve">25.45583-89.76702</t>
  </si>
  <si>
    <t xml:space="preserve">মোঃ জোসন আলী</t>
  </si>
  <si>
    <t xml:space="preserve">25.45522-89.76677</t>
  </si>
  <si>
    <t xml:space="preserve">মোঃ আঃ মজিদ ০১৯১৮৪৮২১৯১৪৮</t>
  </si>
  <si>
    <t xml:space="preserve">25.47167-89.77596</t>
  </si>
  <si>
    <t xml:space="preserve">মোঃ হারুন মিয়া  ০১৬২৭০৪১৩১০</t>
  </si>
  <si>
    <t xml:space="preserve">25.45636-89.77661</t>
  </si>
  <si>
    <t xml:space="preserve">মোছাঃ আনোয়ারা খাতুন  ০১৬০৯৮৬০২৫</t>
  </si>
  <si>
    <t xml:space="preserve">25.463031-89.77541</t>
  </si>
  <si>
    <t xml:space="preserve">মোঃ আঃ আজিজ  ০১৮৫৮৮৮১৮৬৭</t>
  </si>
  <si>
    <t xml:space="preserve">25.46978-89.77595</t>
  </si>
  <si>
    <t xml:space="preserve">মোঃ আছর উদ্দিন  ০১৫৮০৪৭৩৯৭৭</t>
  </si>
  <si>
    <t xml:space="preserve">মোঃ মশিউর রহমান  ০১৩৬৪৭৭০৪৩</t>
  </si>
  <si>
    <t xml:space="preserve">25.47199-89.77729</t>
  </si>
  <si>
    <t xml:space="preserve">মোছাঃ জহুরা খাতুন  ০১৮৮৯৯৫২০২৩</t>
  </si>
  <si>
    <t xml:space="preserve">আনন্দ বাজার, কোদালকাটি, চর রাজিবপুর, কুড়িগ্রাম।</t>
  </si>
  <si>
    <t xml:space="preserve">2547209-89.77741</t>
  </si>
  <si>
    <t xml:space="preserve">মোছাঃ জেসমিন খাতুন  ০১৯০৪৮৫৯১২০</t>
  </si>
  <si>
    <t xml:space="preserve">25.46668-89.7619</t>
  </si>
  <si>
    <t xml:space="preserve">মোছাঃ আদর আলী  ০১৯৪২১৭৫৬৫০</t>
  </si>
  <si>
    <t xml:space="preserve">25.45807-89.76712</t>
  </si>
  <si>
    <t xml:space="preserve">মোছাঃ মর্জিনা বেগম ০১৯৬৯১৬৫৫৬০</t>
  </si>
  <si>
    <t xml:space="preserve">25.45806-89.76861</t>
  </si>
  <si>
    <t xml:space="preserve">মোঃ আলীম  ০১৯২৬২৩৯৮১৪</t>
  </si>
  <si>
    <t xml:space="preserve">দক্ষিণ চর সাজাই, কোদালকাটি, চর রাজিবপুর, কুড়িগ্রাম।</t>
  </si>
  <si>
    <t xml:space="preserve">25.483434-89.792378</t>
  </si>
  <si>
    <t xml:space="preserve">মোঃ সমের আলী ০১৭৮৩০২৭৯৫৩</t>
  </si>
  <si>
    <t xml:space="preserve">মোঃ আনোয়ার হোসেন
০১৭১৮১৬৫৪৯১
</t>
  </si>
  <si>
    <t xml:space="preserve">25.482685-89.792396</t>
  </si>
  <si>
    <t xml:space="preserve">মোঃ দুলাল মিয়া  ০১৯১৪৫৭৪০৭৫</t>
  </si>
  <si>
    <t xml:space="preserve">25.486542-89.795362</t>
  </si>
  <si>
    <t xml:space="preserve">মোঃ শাহজাহান ০১৯৮৮১৪৮১৩১</t>
  </si>
  <si>
    <t xml:space="preserve">25.467781-89.794970</t>
  </si>
  <si>
    <t xml:space="preserve">মোঃ আঃ করিম  ০১৯০৮২৩৬২১৫</t>
  </si>
  <si>
    <t xml:space="preserve">চর সাজাই তাজউদ্দিন মন্ডলপাড়া, কোদালকাটি, চর রাজিবপুর, কুড়িগ্রাম।</t>
  </si>
  <si>
    <t xml:space="preserve">25.498313-89.779273</t>
  </si>
  <si>
    <t xml:space="preserve">মোঃ হাবেজ উদ্দিন  ০১৪০৫৯৬০৩০০</t>
  </si>
  <si>
    <t xml:space="preserve">25.496947-89.779314</t>
  </si>
  <si>
    <t xml:space="preserve">মোঃ আবু সামা ০১৯২২৫২৭৮৪০</t>
  </si>
  <si>
    <t xml:space="preserve">চর সাজাই ম্ষ্টার পাড়া, কোদালকাটি, চর রাজিবপুর, কুড়িগ্রাম।</t>
  </si>
  <si>
    <t xml:space="preserve">25.496424-89.773006</t>
  </si>
  <si>
    <t xml:space="preserve">মোঃ হাসান মিয়া  ০১৯৪৮৪৫৩৭৭৫</t>
  </si>
  <si>
    <t xml:space="preserve">25.497345-89.778231</t>
  </si>
  <si>
    <t xml:space="preserve">মোছাঃ দেলোয়ারা খাতুন ০১৯৩৮১০৩২১৫</t>
  </si>
  <si>
    <t xml:space="preserve">চর সাজাই মন্ডলপাড়া, কোদালকাটি, চর রাজিবপুর, কুড়িগ্রাম।</t>
  </si>
  <si>
    <t xml:space="preserve">25.498034-89.780624</t>
  </si>
  <si>
    <t xml:space="preserve">মোঃ মাজেদা খাতুন  ০১৯৬৮১৮৬৬৮৯</t>
  </si>
  <si>
    <t xml:space="preserve">25.497393-89.778170</t>
  </si>
  <si>
    <t xml:space="preserve">মোছাঃ ছাহেরা খাতুন  ০১৯২৭০৯৫৭৪৩</t>
  </si>
  <si>
    <t xml:space="preserve">25.496565-89.778095</t>
  </si>
  <si>
    <t xml:space="preserve">মোঃ আঃ কাদের  ০১৯৬৮১৯১৫১৩</t>
  </si>
  <si>
    <t xml:space="preserve">25.495823-89.775805</t>
  </si>
  <si>
    <t xml:space="preserve">মোঃ সোহানুর মিয়া  ০১৮১৬৯৪৪১০৯</t>
  </si>
  <si>
    <t xml:space="preserve">25.50488-89.77825</t>
  </si>
  <si>
    <t xml:space="preserve">মোঃ জায়েদুল রহমান  ০১৯৮৮৮৩২২১৩</t>
  </si>
  <si>
    <t xml:space="preserve">25.50766-89.78096</t>
  </si>
  <si>
    <t xml:space="preserve">মোঃ ইনছান আলী  ০১৯০৯০১৯৯০৪</t>
  </si>
  <si>
    <t xml:space="preserve">2550778-89.78210</t>
  </si>
  <si>
    <t xml:space="preserve">মোঃ দুদু মিয়া</t>
  </si>
  <si>
    <t xml:space="preserve">25.50996-89.78164</t>
  </si>
  <si>
    <t xml:space="preserve">মোছাঃ জাহানারা খাতুন ০১৩৩০২৫৯১২০</t>
  </si>
  <si>
    <t xml:space="preserve">25.50786-8978236</t>
  </si>
  <si>
    <t xml:space="preserve">মোঃ মোবশের আলম  ০১৯২২৯৮১৪৭৬</t>
  </si>
  <si>
    <t xml:space="preserve">25.51108-89.78194</t>
  </si>
  <si>
    <t xml:space="preserve">মোঃ এবাদুল হক  ০১৯৮৬৫৯১৮১১</t>
  </si>
  <si>
    <t xml:space="preserve">25.51042-89.7836</t>
  </si>
  <si>
    <t xml:space="preserve">মোঃ সবুজ মিয়া  ০১৯৮০১১৮৯৭৯</t>
  </si>
  <si>
    <t xml:space="preserve">25.50683-8978051</t>
  </si>
  <si>
    <t xml:space="preserve">মোঃ উজির আলী ০১৯৮০১৫১৩১১</t>
  </si>
  <si>
    <t xml:space="preserve">25.51009-89.78142</t>
  </si>
  <si>
    <t xml:space="preserve">মোঃ কালাম  ০১৩১৯৫৮৪৬৫</t>
  </si>
  <si>
    <t xml:space="preserve">25.50916-89.78147</t>
  </si>
  <si>
    <t xml:space="preserve">মোঃ মর্জিনা খাতুন  ০১৯৩০৫৩২২১১৮</t>
  </si>
  <si>
    <t xml:space="preserve">25.51056-89.7821</t>
  </si>
  <si>
    <t xml:space="preserve">মোছাঃ সাবিনা ইয়াসমিন  ০১৯৯৮২০৩৬০৪</t>
  </si>
  <si>
    <t xml:space="preserve">25.51016-89.78296</t>
  </si>
  <si>
    <t xml:space="preserve">মোঃ এরশাদুল হক  ০১৯৭৯৯৩৪৮৮৩</t>
  </si>
  <si>
    <t xml:space="preserve">25.51158-89.78213</t>
  </si>
  <si>
    <t xml:space="preserve">মোঃ তোতা মিয়া ০১৭৪২৮৮২০৭৯</t>
  </si>
  <si>
    <t xml:space="preserve">মন্ডলপাড়া, কোদালকাটি, চর রাজিবপুর, কুড়িগ্রাম।</t>
  </si>
  <si>
    <t xml:space="preserve">25.50534-89.77894</t>
  </si>
  <si>
    <t xml:space="preserve">মোছাঃ চায়না খাতুন  ০১৭৮০৪৫৮৮৬৪</t>
  </si>
  <si>
    <t xml:space="preserve">চর সাজাই সরকার পাড়া, কোদালকাটি, চর রাজিবপুর, কুড়িগ্রাম।</t>
  </si>
  <si>
    <t xml:space="preserve">25.484813-89.769911</t>
  </si>
  <si>
    <t xml:space="preserve">মোঃ সিরাজুল ইসলাম  ০১৯৩১৪২১২৫৫</t>
  </si>
  <si>
    <t xml:space="preserve">দক্ষিণ চর সাজাই পাখিউড়া, কোদালকাটি, চর রাজিবপুর, কুড়িগ্রাম।</t>
  </si>
  <si>
    <t xml:space="preserve">25.472249-89.792834</t>
  </si>
  <si>
    <t xml:space="preserve">মোঃ নজরুল ইসলাম  ০১৯৪৫৮০৪৮৬৫</t>
  </si>
  <si>
    <t xml:space="preserve">পাটাধোয়া পাড়া, মোহানগঞ্জ, চর রাজিবপুর, কুড়িগ্রা</t>
  </si>
  <si>
    <t xml:space="preserve">25.44297-89.79102</t>
  </si>
  <si>
    <t xml:space="preserve">মোছাঃ আফরোজা খাতুন  ০১৮৪৫৫৬৪৬৫৫</t>
  </si>
  <si>
    <t xml:space="preserve">মোঃ মশিউর রহমান
০১৭১২৩৪০৯৯৬
</t>
  </si>
  <si>
    <t xml:space="preserve">25.44292-89.791</t>
  </si>
  <si>
    <t xml:space="preserve">মোঃ হাফিজুর রহমান  ০১৭৪২৭৩৭৭৭১</t>
  </si>
  <si>
    <t xml:space="preserve">তেররশি পাড়া, মোহানগঞ্জ, চর রাজিবপুর, কুড়িগ্রাম।</t>
  </si>
  <si>
    <t xml:space="preserve">25.44276-89.79085</t>
  </si>
  <si>
    <t xml:space="preserve">মোঃ হাফিজুর রহমান  ০১৮১০৪২৮৮৫৩</t>
  </si>
  <si>
    <t xml:space="preserve">পাটাধোয়া পাড়া, মোহানগঞ্জ, চর রাজিবপুর, কুড়িগ্রাম।</t>
  </si>
  <si>
    <t xml:space="preserve">25.44268-89.79083</t>
  </si>
  <si>
    <t xml:space="preserve">মোঃ ফরহাদ হোসেন  ০১৮২৩৩০৫৪৬৪</t>
  </si>
  <si>
    <t xml:space="preserve">25.44275-89.79072</t>
  </si>
  <si>
    <t xml:space="preserve">মোছাঃ সাজেদা খাতুন  ০১৮৭৮৪৫১৩৮৭</t>
  </si>
  <si>
    <t xml:space="preserve">নয়ারচর, মোহানগঞ্জ, চর রাজিবপুর, কুড়িগ্রাম।</t>
  </si>
  <si>
    <t xml:space="preserve">25.40475-89.76402</t>
  </si>
  <si>
    <t xml:space="preserve">মোঃ এরশাদ হোসেন  ০১৩২৫১২৫৮১৭</t>
  </si>
  <si>
    <t xml:space="preserve">25.40475-89.76399</t>
  </si>
  <si>
    <t xml:space="preserve">মোঃ মিজানুর রহমান  ০১৭২১২১৭৬১৮</t>
  </si>
  <si>
    <t xml:space="preserve">25.40472-89.76398</t>
  </si>
  <si>
    <t xml:space="preserve">মোঃ নুরজাহান  ০১৮৭৮৪৪৩৯৯৩</t>
  </si>
  <si>
    <t xml:space="preserve">25.40472-89.76397</t>
  </si>
  <si>
    <t xml:space="preserve">মোঃ ফরিদুল ইসলাম ০১৩২৫১২৫৮১৭</t>
  </si>
  <si>
    <t xml:space="preserve">25.40477-89.76394</t>
  </si>
  <si>
    <t xml:space="preserve">মোছাঃ আলুফা ০১৭২১২১৭৬১৮</t>
  </si>
  <si>
    <t xml:space="preserve">25.40479-89.76355</t>
  </si>
  <si>
    <t xml:space="preserve">মোছাঃ জাহানারা খাতুন  ০১৮৭৮৪৪৩৯৯৩</t>
  </si>
  <si>
    <t xml:space="preserve">মোঃ চান মিয়া  ০১৯৮২৯১৫৯৭৫</t>
  </si>
  <si>
    <t xml:space="preserve">25.40468-89.76395</t>
  </si>
  <si>
    <t xml:space="preserve">মোছাঃ আসমা খাতুন ০১৩০৫৪৫৫৮৪২</t>
  </si>
  <si>
    <t xml:space="preserve">মোছাঃ খইফুল নেছা ০১৭৮৭১১৩৮৪০</t>
  </si>
  <si>
    <t xml:space="preserve">25.40475-89.76403</t>
  </si>
  <si>
    <t xml:space="preserve">মোঃ আজাহার আলী  ০১৯২১২১৩৫৭০</t>
  </si>
  <si>
    <t xml:space="preserve">মাষ্টারপাড়া, মোহানগঞ্জ, চর রাজিবপুর, কুড়িগ্রাম।</t>
  </si>
  <si>
    <t xml:space="preserve">25.44262-89.79068</t>
  </si>
  <si>
    <t xml:space="preserve">মোঃ আঃ রশিদ  ০১৭৭৭৮৭০৭৫৮</t>
  </si>
  <si>
    <t xml:space="preserve">25.44292-89.7908</t>
  </si>
  <si>
    <t xml:space="preserve">মোছাঃ লাকী পাভীন ০১৮৭৯৫৬০৫৮২</t>
  </si>
  <si>
    <t xml:space="preserve">সরকারপাড়া, মোহানগঞ্জ, চর রাজিবপুর, কুড়িগ্রাম।</t>
  </si>
  <si>
    <t xml:space="preserve">25.44295-89.79082</t>
  </si>
  <si>
    <t xml:space="preserve">মোঃ এরশাদুল হক ০১৭৯৪৪৭৮৯৬৩</t>
  </si>
  <si>
    <t xml:space="preserve">25.4048-89.76387</t>
  </si>
  <si>
    <t xml:space="preserve">মোঃ জাকিরুল ইসলাম  ০১৭৩১৫৭২৭১৮</t>
  </si>
  <si>
    <t xml:space="preserve">মোঃ আমিনুল ইসলাম ০১৭৯৬৪৫০৯২২</t>
  </si>
  <si>
    <t xml:space="preserve">25.45156-89.81366</t>
  </si>
  <si>
    <t xml:space="preserve">মোঃ নাসির আহমেদ ০১৭০০৬৩২৩১০</t>
  </si>
  <si>
    <t xml:space="preserve">25.44277-89.78998</t>
  </si>
  <si>
    <t xml:space="preserve">মোঃ সোলায়মান হোসেন ০১৭৯৬৬৯৩০৯২</t>
  </si>
  <si>
    <t xml:space="preserve">25.44267-89.79017</t>
  </si>
  <si>
    <t xml:space="preserve">আব্দুল্লাহ আল নোমান ০১৯৪৬৭৭৬২১০</t>
  </si>
  <si>
    <t xml:space="preserve">25.44273-89.79039</t>
  </si>
  <si>
    <t xml:space="preserve">মোঃ নুরুল ইসলাম ০১৭২৯৩১৪৬৮৩</t>
  </si>
  <si>
    <t xml:space="preserve">25.44257-89.79065</t>
  </si>
  <si>
    <t xml:space="preserve">মোঃ দুলাল হোসেন  ০১৯১৭৪৬৪২৩০</t>
  </si>
  <si>
    <t xml:space="preserve">25.45053-89.81024</t>
  </si>
  <si>
    <t xml:space="preserve">মোঃ দেলোয়ার হোসেন  ০১৭৭৯০৫২৫৪৪</t>
  </si>
  <si>
    <t xml:space="preserve">25.45067-89.80996</t>
  </si>
  <si>
    <t xml:space="preserve">মোঃ আজিজুর রহমান  ০১৭৮২৯১২৯০০</t>
  </si>
  <si>
    <t xml:space="preserve">25.50488-89.77826</t>
  </si>
  <si>
    <t xml:space="preserve">মোঃ সোলায়মান হোসেন ০১৭৬৭৫৪৯৫৭৪</t>
  </si>
  <si>
    <t xml:space="preserve">25.45121-89.80975</t>
  </si>
  <si>
    <t xml:space="preserve">মোঃ ছাইফুল ইসলাম  ০১৯৩২২০১২১০</t>
  </si>
  <si>
    <t xml:space="preserve">25.45117-89.81354</t>
  </si>
  <si>
    <t xml:space="preserve">মোঃ ইব্রাহীম হোসেন ০১৮৪৮৫৯৪১৩৯</t>
  </si>
  <si>
    <t xml:space="preserve">বড় মাদারটিলা চুলিয়ার চর রৌমারী রৌমারী কুড়িগ্রাম</t>
  </si>
  <si>
    <t xml:space="preserve">25°31'40.1"N 89°49'37.3"E</t>
  </si>
  <si>
    <t xml:space="preserve">মোঃ মোকছেদুল আলম, 1929827361</t>
  </si>
  <si>
    <t xml:space="preserve">মোঃ জিয়াউর রহমান, 1912054284</t>
  </si>
  <si>
    <t xml:space="preserve">মোঃ একরামুল হক , 1727358724</t>
  </si>
  <si>
    <t xml:space="preserve">25°31'39.3"N 89°49'38.5"E</t>
  </si>
  <si>
    <t xml:space="preserve">মোঃ রিয়াজ উদ্দিন, 1932817165</t>
  </si>
  <si>
    <t xml:space="preserve">মোঃ একরামুল হক , 1727358725</t>
  </si>
  <si>
    <t xml:space="preserve">খাঁ পাড়া চুলিয়ার চর রৌমারী রৌমারী কুড়িগ্রাম</t>
  </si>
  <si>
    <t xml:space="preserve">25°32'53.0"N 89°49'11.5"E</t>
  </si>
  <si>
    <t xml:space="preserve">মোঃ রিয়াজুল হক, 1908891803</t>
  </si>
  <si>
    <t xml:space="preserve">মোঃ একরামুল হক , 1727358726</t>
  </si>
  <si>
    <t xml:space="preserve">বাওয়ার গ্রাম চুলিয়ার চর রৌমারী রৌমারী কুড়িগ্রাম</t>
  </si>
  <si>
    <t xml:space="preserve">25°32'35.0"N 89°48'44.9"E</t>
  </si>
  <si>
    <t xml:space="preserve">মোঃ সাদেক হোসেন, 1714565543</t>
  </si>
  <si>
    <t xml:space="preserve">মোঃ একরামুল হক , 1727358727</t>
  </si>
  <si>
    <t xml:space="preserve">ফলুয়ার চর চুলিয়ার চর রৌমারী রৌমারী কুড়িগ্রাম</t>
  </si>
  <si>
    <t xml:space="preserve">25°33'36.6"N 89°47'15.1"E</t>
  </si>
  <si>
    <t xml:space="preserve">মোছাঃ লাইলী বেগম, 1962824315</t>
  </si>
  <si>
    <t xml:space="preserve">মোঃ একরামুল হক , 1727358728</t>
  </si>
  <si>
    <t xml:space="preserve">গোয়াল গ্রাম চুলিয়ার চর রৌমারী রৌমারী কুড়িগ্রাম</t>
  </si>
  <si>
    <t xml:space="preserve">25°32'57.3"N 89°50'02.4"E</t>
  </si>
  <si>
    <t xml:space="preserve">মোঃ সুরুজ্জামান, 1947841670</t>
  </si>
  <si>
    <t xml:space="preserve">মোঃ একরামুল হক , 1727358729</t>
  </si>
  <si>
    <t xml:space="preserve">25°32'37.7"N 89°49'57.6"E</t>
  </si>
  <si>
    <t xml:space="preserve">মোঃ আঃ ছামাদ, 1916721338</t>
  </si>
  <si>
    <t xml:space="preserve">মোঃ একরামুল হক , 1727358730</t>
  </si>
  <si>
    <t xml:space="preserve">কান্দা পাড়া চুলিয়ার চর রৌমারী রৌমারী কুড়িগ্রাম</t>
  </si>
  <si>
    <t xml:space="preserve">25°33'04.6"N 89°48'18.9"E</t>
  </si>
  <si>
    <t xml:space="preserve">মোছাঃ জমিরন খাতুন, 1962076864</t>
  </si>
  <si>
    <t xml:space="preserve">মোঃ একরামুল হক , 1727358731</t>
  </si>
  <si>
    <t xml:space="preserve">25°33'05.5"N 89°48'14.9"E</t>
  </si>
  <si>
    <t xml:space="preserve">মোঃ হাসমত আলী, 1965486449</t>
  </si>
  <si>
    <t xml:space="preserve">মোঃ একরামুল হক , 1727358732</t>
  </si>
  <si>
    <t xml:space="preserve">25°32'37.5"N 89°48'23.9"E</t>
  </si>
  <si>
    <t xml:space="preserve">মোঃ সাইফুল ইসলাম, 1875908287</t>
  </si>
  <si>
    <t xml:space="preserve">মোঃ একরামুল হক , 1727358733</t>
  </si>
  <si>
    <t xml:space="preserve">25°32'53.1"N 89°48'24.6"E </t>
  </si>
  <si>
    <t xml:space="preserve">মোছাঃ সাজেদা খাতুন, 1907930765</t>
  </si>
  <si>
    <t xml:space="preserve">মোঃ একরামুল হক , 1727358734</t>
  </si>
  <si>
    <t xml:space="preserve">25°32'50.2"N 89°48'24.9"E</t>
  </si>
  <si>
    <t xml:space="preserve">মোঃমোজাম্মেল, 1945676985</t>
  </si>
  <si>
    <t xml:space="preserve">মোঃ একরামুল হক , 1727358735</t>
  </si>
  <si>
    <t xml:space="preserve">চাকতাবাড়ি চুলিয়ার চর রৌমারী রৌমারী কুড়িগ্রাম</t>
  </si>
  <si>
    <t xml:space="preserve">25°32'37.8"N 89°48'45.0"E</t>
  </si>
  <si>
    <t xml:space="preserve">মোঃ হাবিজুর রহমান, 1944806605</t>
  </si>
  <si>
    <t xml:space="preserve">মোঃ একরামুল হক , 1727358736</t>
  </si>
  <si>
    <t xml:space="preserve">ফুলবাড়ি চুলিয়ার চর রৌমারী রৌমারী কুড়িগ্রাম</t>
  </si>
  <si>
    <t xml:space="preserve">25°32'54.7"N 89°50'11.8"E</t>
  </si>
  <si>
    <t xml:space="preserve">মোঃ আবু সায়েম হাবিব, 1974475145</t>
  </si>
  <si>
    <t xml:space="preserve">মোঃ একরামুল হক , 1727358737</t>
  </si>
  <si>
    <t xml:space="preserve">25°33'04.4"N 89°48'43.4"E</t>
  </si>
  <si>
    <t xml:space="preserve">মোঃ মাহমুদুল হাসান, 1611235079</t>
  </si>
  <si>
    <t xml:space="preserve">মোঃ একরামুল হক , 1727358738</t>
  </si>
  <si>
    <t xml:space="preserve">25°33'03.9"N 89°48'44.1"E</t>
  </si>
  <si>
    <t xml:space="preserve">মোছাঃ রিনা খাতুন, 1952771205</t>
  </si>
  <si>
    <t xml:space="preserve">মোঃ একরামুল হক , 1727358739</t>
  </si>
  <si>
    <t xml:space="preserve">25°32'58.3"N 89°48'53.8"E</t>
  </si>
  <si>
    <t xml:space="preserve">মোছাঃ শরিফা খাতুন, 1909008350</t>
  </si>
  <si>
    <t xml:space="preserve">মোঃ একরামুল হক , 1727358740</t>
  </si>
  <si>
    <t xml:space="preserve">25°32'58.1"N 89°48'54.9"E</t>
  </si>
  <si>
    <t xml:space="preserve">মোছাঃ রিনা  খাতুন, 1995343781</t>
  </si>
  <si>
    <t xml:space="preserve">মোঃ একরামুল হক , 1727358741</t>
  </si>
  <si>
    <t xml:space="preserve">25°32'57.8"N 89°48'55.0"E</t>
  </si>
  <si>
    <t xml:space="preserve">মোঃ আশরাফুল, 1946690982</t>
  </si>
  <si>
    <t xml:space="preserve">মোঃ একরামুল হক , 1727358742</t>
  </si>
  <si>
    <t xml:space="preserve">বাঘমারা চুলিয়ার চর রৌমারী রৌমারী কুড়িগ্রাম</t>
  </si>
  <si>
    <t xml:space="preserve">25°33'07.1"N 89°48'45.9"E</t>
  </si>
  <si>
    <t xml:space="preserve">মোছাঃ নাজমা  খাতুন, 1931702332</t>
  </si>
  <si>
    <t xml:space="preserve">মোঃ একরামুল হক , 1727358743</t>
  </si>
  <si>
    <t xml:space="preserve">25°33'06.3"N 89°48'45.8"E</t>
  </si>
  <si>
    <t xml:space="preserve">মোছাঃ খুরশিদা খাতুন, 1918255431</t>
  </si>
  <si>
    <t xml:space="preserve">মোঃ একরামুল হক , 1727358744</t>
  </si>
  <si>
    <t xml:space="preserve">25°33'06.8"N 89°48'45.8"E</t>
  </si>
  <si>
    <t xml:space="preserve">মোছাঃ আরজিনা খাতুন, 1966945451</t>
  </si>
  <si>
    <t xml:space="preserve">মোঃ একরামুল হক , 1727358745</t>
  </si>
  <si>
    <t xml:space="preserve">25°32'27.4"N 89°48'46.4"E</t>
  </si>
  <si>
    <t xml:space="preserve">মোঃ নবিন আলী, 1939945964</t>
  </si>
  <si>
    <t xml:space="preserve">মোঃ একরামুল হক , 1727358746</t>
  </si>
  <si>
    <t xml:space="preserve">25°33'01.1"N 89°48'50.5"E</t>
  </si>
  <si>
    <t xml:space="preserve">আঃ রশিদ, 1957952582</t>
  </si>
  <si>
    <t xml:space="preserve">মোঃ একরামুল হক , 1727358747</t>
  </si>
  <si>
    <t xml:space="preserve">পূর্ব জালচিরা পাড়া, রাজিবপুর, চর রাজিবপুর, কুড়িগ্রাম।</t>
  </si>
  <si>
    <t xml:space="preserve">25.43981.89.82782</t>
  </si>
  <si>
    <t xml:space="preserve">মোঃ তারু মিয়া 01962095998</t>
  </si>
  <si>
    <t xml:space="preserve">মোঃ শাখাওয়াত হোসেন
  ০১৭৪৩৬৬৮৬৮০</t>
  </si>
  <si>
    <t xml:space="preserve">25.4485289.82069</t>
  </si>
  <si>
    <t xml:space="preserve">মোঃ শহিদুর 01733816438</t>
  </si>
  <si>
    <t xml:space="preserve">25.4491889.82104</t>
  </si>
  <si>
    <t xml:space="preserve">মোঃ আফিন 01949003272</t>
  </si>
  <si>
    <t xml:space="preserve">25.4480889.82033</t>
  </si>
  <si>
    <t xml:space="preserve">মোঃ সবুজ মিয়া 01983323605</t>
  </si>
  <si>
    <t xml:space="preserve">25.4484489.82157</t>
  </si>
  <si>
    <t xml:space="preserve">মোছাঃ রশিদা খাতুন 01933867816</t>
  </si>
  <si>
    <t xml:space="preserve">বালিয়ামারী মন্ডল পাড়া, রাজিবপুর, চর রাজিবপুর, কুড়িগ্রাম।</t>
  </si>
  <si>
    <t xml:space="preserve">25.448489.82149</t>
  </si>
  <si>
    <t xml:space="preserve">মোঃ মশিউর রহমান 01821482130</t>
  </si>
  <si>
    <t xml:space="preserve">25.4478789.82045</t>
  </si>
  <si>
    <t xml:space="preserve">মোঃ শুভ মিয়া 01918128054</t>
  </si>
  <si>
    <t xml:space="preserve">25.4474989.82072</t>
  </si>
  <si>
    <t xml:space="preserve">মোঃ মালেক 01911623900</t>
  </si>
  <si>
    <t xml:space="preserve">25.4466889.821</t>
  </si>
  <si>
    <t xml:space="preserve">মোঃ সোনা মিয়া 01981727773</t>
  </si>
  <si>
    <t xml:space="preserve">25.4464589.82095</t>
  </si>
  <si>
    <t xml:space="preserve">মোঃ ইয়াজল হক 01701325577</t>
  </si>
  <si>
    <t xml:space="preserve">25.4487589.8202</t>
  </si>
  <si>
    <t xml:space="preserve">মোঃ মশিউর রহমান 01729792448</t>
  </si>
  <si>
    <t xml:space="preserve">25.4488989.82029</t>
  </si>
  <si>
    <t xml:space="preserve">মোছাঃ পারুল 01962095980</t>
  </si>
  <si>
    <t xml:space="preserve">25.448789.82030</t>
  </si>
  <si>
    <t xml:space="preserve">মোছাঃ আজিরন নেছা 01929827721</t>
  </si>
  <si>
    <t xml:space="preserve">25.4481, 89.82035</t>
  </si>
  <si>
    <t xml:space="preserve">মোঃ আশরাফ হোসেন 01989695917</t>
  </si>
  <si>
    <t xml:space="preserve">25448289.82</t>
  </si>
  <si>
    <t xml:space="preserve">মোঃ মাহবুর রহমান 01929827721</t>
  </si>
  <si>
    <t xml:space="preserve">পশ্চিম কল্যাণ, বেলাগাছা, কুড়িগ্রাম সদর, কুড়িগ্রাম</t>
  </si>
  <si>
    <t xml:space="preserve">আম (আমরুপালী), কাঠাল, নিম, জাম/জলপাই (হাইব্রীড) ও মেহগনি</t>
  </si>
  <si>
    <t xml:space="preserve">25.773262,89.616999</t>
  </si>
  <si>
    <t xml:space="preserve">রবীন্দ্র নাথ বর্মন 01724583090</t>
  </si>
  <si>
    <t xml:space="preserve">মোঃ শফিকুল ইসলাম ০১৭১২৪৭৯৯০৬</t>
  </si>
  <si>
    <t xml:space="preserve">দিপু রায়, ০১৭৩৭৬৬৫৩৩১</t>
  </si>
  <si>
    <t xml:space="preserve">25.774252,89.617465</t>
  </si>
  <si>
    <t xml:space="preserve">রবীন্দ্র নাথ বর্মন 01724583091</t>
  </si>
  <si>
    <t xml:space="preserve">25.773803,89.617335</t>
  </si>
  <si>
    <t xml:space="preserve">রবীন্দ্র নাথ বর্মন 01724583092</t>
  </si>
  <si>
    <t xml:space="preserve">25.774441,89.617158</t>
  </si>
  <si>
    <t xml:space="preserve">রবীন্দ্র নাথ বর্মন 01724583093</t>
  </si>
  <si>
    <t xml:space="preserve">25.774201,89.617334</t>
  </si>
  <si>
    <t xml:space="preserve">রবীন্দ্র নাথ বর্মন 01724583094</t>
  </si>
  <si>
    <t xml:space="preserve">25.773158,89.617325</t>
  </si>
  <si>
    <t xml:space="preserve">মিলন চন্দ্র বর্মন ০১৭৫০৬৭২৫৬৯</t>
  </si>
  <si>
    <t xml:space="preserve">মোঃ শফিকুল ইসলাম ০১৭১২৪৭৯৯০৭</t>
  </si>
  <si>
    <t xml:space="preserve">25.773167,89.617227</t>
  </si>
  <si>
    <t xml:space="preserve">মিলন চন্দ্র বর্মন ০১৭৫০৬৭২৫৭০</t>
  </si>
  <si>
    <t xml:space="preserve">মোঃ শফিকুল ইসলাম ০১৭১২৪৭৯৯০৮</t>
  </si>
  <si>
    <t xml:space="preserve">25.773371,89.617292</t>
  </si>
  <si>
    <t xml:space="preserve">মিলন চন্দ্র বর্মন ০১৭৫০৬৭২৫৭১</t>
  </si>
  <si>
    <t xml:space="preserve">মোঃ শফিকুল ইসলাম ০১৭১২৪৭৯৯০৯</t>
  </si>
  <si>
    <t xml:space="preserve">25.773146,89.617254</t>
  </si>
  <si>
    <t xml:space="preserve">মিলন চন্দ্র বর্মন ০১৭৫০৬৭২৫৭২</t>
  </si>
  <si>
    <t xml:space="preserve">মোঃ শফিকুল ইসলাম ০১৭১২৪৭৯৯১০</t>
  </si>
  <si>
    <t xml:space="preserve">25.773363,89.617337</t>
  </si>
  <si>
    <t xml:space="preserve">মিলন চন্দ্র বর্মন ০১৭৫০৬৭২৫৭৩</t>
  </si>
  <si>
    <t xml:space="preserve">মোঃ শফিকুল ইসলাম ০১৭১২৪৭৯৯১১</t>
  </si>
  <si>
    <t xml:space="preserve">কুড়িগ্রাম, কুড়িগ্রাম সদর, বেলগাছা, পশ্চিম কল্যাণ</t>
  </si>
  <si>
    <t xml:space="preserve">আম (আমরুপালী)</t>
  </si>
  <si>
    <t xml:space="preserve">রবীন্দ্র নাথ বর্মন, 01724583090</t>
  </si>
  <si>
    <t xml:space="preserve">মোঃ শফিকুল ইসলাম, ০১৭১২৪৭৯৯১১</t>
  </si>
  <si>
    <t xml:space="preserve">একক প্রজাতি</t>
  </si>
  <si>
    <t xml:space="preserve">কাঠাল</t>
  </si>
  <si>
    <t xml:space="preserve">রবীন্দ্র নাথ বর্মন, 01724583091</t>
  </si>
  <si>
    <t xml:space="preserve"> নিম</t>
  </si>
  <si>
    <t xml:space="preserve">রবীন্দ্র নাথ বর্মন, 01724583092</t>
  </si>
  <si>
    <t xml:space="preserve">মেহগনি</t>
  </si>
  <si>
    <t xml:space="preserve">রবীন্দ্র নাথ বর্মন, 01724583093</t>
  </si>
  <si>
    <t xml:space="preserve">জাম/জলপাই (হাইব্রীড)</t>
  </si>
  <si>
    <t xml:space="preserve">রবীন্দ্র নাথ বর্মন, 01724583094</t>
  </si>
  <si>
    <t xml:space="preserve">মিলন চন্দ্র বর্মন, ০১৭৫০৬৭২৫৬৯</t>
  </si>
  <si>
    <t xml:space="preserve">কুড়িগ্রাম, কুড়িগ্রাম সদর, বেলগাছা,ধুলাউড়া </t>
  </si>
  <si>
    <t xml:space="preserve">25.777341, 89.617972</t>
  </si>
  <si>
    <t xml:space="preserve">সহিদুল ইসলাম, 01793301760</t>
  </si>
  <si>
    <t xml:space="preserve">25.777194, 89.618186</t>
  </si>
  <si>
    <t xml:space="preserve">সহিদুল ইসলাম, 01793301761</t>
  </si>
  <si>
    <t xml:space="preserve">25.777191, 89.618012</t>
  </si>
  <si>
    <t xml:space="preserve">সহিদুল ইসলাম, 01793301762</t>
  </si>
  <si>
    <t xml:space="preserve">25.777306, 89.618260</t>
  </si>
  <si>
    <t xml:space="preserve">সহিদুল ইসলাম, 01793301763</t>
  </si>
  <si>
    <t xml:space="preserve">25.777099, 89.618281</t>
  </si>
  <si>
    <t xml:space="preserve">সহিদুল ইসলাম, 01793301764</t>
  </si>
  <si>
    <t xml:space="preserve">কুড়িগ্রাম, কুড়িগ্রাম সদর, বেলগাছা, পশ্চিম কল্যাণ বলাইরপাঠ </t>
  </si>
  <si>
    <t xml:space="preserve">25.773368 ,89.617514</t>
  </si>
  <si>
    <t xml:space="preserve">গৌতম চন্দ্র, 01717832535</t>
  </si>
  <si>
    <t xml:space="preserve">25.773179 ,89.617319</t>
  </si>
  <si>
    <t xml:space="preserve">গৌতম চন্দ্র, 01717832536</t>
  </si>
  <si>
    <t xml:space="preserve">25.77291 ,89.617348</t>
  </si>
  <si>
    <t xml:space="preserve">গৌতম চন্দ্র, 01717832537</t>
  </si>
  <si>
    <t xml:space="preserve">25.773399 ,89.617546</t>
  </si>
  <si>
    <t xml:space="preserve">গৌতম চন্দ্র, 01717832538</t>
  </si>
  <si>
    <t xml:space="preserve">25.774067 ,89.618462</t>
  </si>
  <si>
    <t xml:space="preserve">গৌতম চন্দ্র, 01717832539</t>
  </si>
  <si>
    <t xml:space="preserve">25.774757, 89.616065</t>
  </si>
  <si>
    <t xml:space="preserve">আকতারুল ইসলাম, 01713765892</t>
  </si>
  <si>
    <t xml:space="preserve">25.774840, 89.616278</t>
  </si>
  <si>
    <t xml:space="preserve">আকতারুল ইসলাম, 01713765893</t>
  </si>
  <si>
    <t xml:space="preserve">25.774980, 89.616168</t>
  </si>
  <si>
    <t xml:space="preserve">আকতারুল ইসলাম, 01713765894</t>
  </si>
  <si>
    <t xml:space="preserve">25.774956, 89.616337</t>
  </si>
  <si>
    <t xml:space="preserve">আকতারুল ইসলাম, 01713765895</t>
  </si>
  <si>
    <t xml:space="preserve">25.774781, 89.615733</t>
  </si>
  <si>
    <t xml:space="preserve">আকতারুল ইসলাম, 01713765896</t>
  </si>
  <si>
    <t xml:space="preserve">25.773960, 89.616050</t>
  </si>
  <si>
    <t xml:space="preserve">রমিছা খাতুন, 01792405696</t>
  </si>
  <si>
    <t xml:space="preserve">25774134, 89.616022</t>
  </si>
  <si>
    <t xml:space="preserve">রমিছা খাতুন, 01792405697</t>
  </si>
  <si>
    <t xml:space="preserve">25.774167, 89.615899</t>
  </si>
  <si>
    <t xml:space="preserve">রমিছা খাতুন, 01792405698</t>
  </si>
  <si>
    <t xml:space="preserve">25.771304, 89.616032</t>
  </si>
  <si>
    <t xml:space="preserve">রমিছা খাতুন, 01792405699</t>
  </si>
  <si>
    <t xml:space="preserve">25.774211, 89.615846</t>
  </si>
  <si>
    <t xml:space="preserve">রমিছা খাতুন, 01792405700</t>
  </si>
  <si>
    <t xml:space="preserve">25.772759, 89.617012</t>
  </si>
  <si>
    <t xml:space="preserve">শ্যামল চন্দ্র, 01737693578</t>
  </si>
  <si>
    <t xml:space="preserve">25.773032, 89.617091</t>
  </si>
  <si>
    <t xml:space="preserve">শ্যামল চন্দ্র, 01737693579</t>
  </si>
  <si>
    <t xml:space="preserve">25.773320, 89.617610</t>
  </si>
  <si>
    <t xml:space="preserve">শ্যামল চন্দ্র, 01737693580</t>
  </si>
  <si>
    <t xml:space="preserve">25.772980, 89.617946</t>
  </si>
  <si>
    <t xml:space="preserve">শ্যামল চন্দ্র, 01737693581</t>
  </si>
  <si>
    <t xml:space="preserve">25.773031, 89.617163</t>
  </si>
  <si>
    <t xml:space="preserve">শ্যামল চন্দ্র, 01737693582</t>
  </si>
  <si>
    <t xml:space="preserve">25.775179, 89.615705</t>
  </si>
  <si>
    <t xml:space="preserve">সিরাজুল ইসলাম, 01722906927</t>
  </si>
  <si>
    <t xml:space="preserve">25.775154, 89.615721</t>
  </si>
  <si>
    <t xml:space="preserve">সিরাজুল ইসলাম, 01722906928</t>
  </si>
  <si>
    <t xml:space="preserve">25.775254, 89.616132</t>
  </si>
  <si>
    <t xml:space="preserve">সিরাজুল ইসলাম, 01722906929</t>
  </si>
  <si>
    <t xml:space="preserve">25.775274, 89.615860</t>
  </si>
  <si>
    <t xml:space="preserve">সিরাজুল ইসলাম, 01722906930</t>
  </si>
  <si>
    <t xml:space="preserve">25.775296, 89.615635</t>
  </si>
  <si>
    <t xml:space="preserve">সিরাজুল ইসলাম, 01722906931</t>
  </si>
  <si>
    <t xml:space="preserve">25.772775, 89.617166</t>
  </si>
  <si>
    <t xml:space="preserve">কাঞ্চন কুমার, 01755407778</t>
  </si>
  <si>
    <t xml:space="preserve">25.772997, 89.616835</t>
  </si>
  <si>
    <t xml:space="preserve">কাঞ্চন কুমার, 01755407779</t>
  </si>
  <si>
    <t xml:space="preserve">25.772844, 89.616805</t>
  </si>
  <si>
    <t xml:space="preserve">কাঞ্চন কুমার, 01755407780</t>
  </si>
  <si>
    <t xml:space="preserve">25.772932, 89.617127</t>
  </si>
  <si>
    <t xml:space="preserve">কাঞ্চন কুমার, 01755407781</t>
  </si>
  <si>
    <t xml:space="preserve">25.772985, 89.616980</t>
  </si>
  <si>
    <t xml:space="preserve">কাঞ্চন কুমার, 01755407782</t>
  </si>
  <si>
    <t xml:space="preserve">25.773319, 89.617012</t>
  </si>
  <si>
    <t xml:space="preserve">মৃনাল কান্তি, 01325893577</t>
  </si>
  <si>
    <t xml:space="preserve">25.773001, 89.616923</t>
  </si>
  <si>
    <t xml:space="preserve">মৃনাল কান্তি, 01325893578</t>
  </si>
  <si>
    <t xml:space="preserve">25.773004, 89.616949</t>
  </si>
  <si>
    <t xml:space="preserve">মৃনাল কান্তি, 01325893579</t>
  </si>
  <si>
    <t xml:space="preserve">25.773431, 89.616769</t>
  </si>
  <si>
    <t xml:space="preserve">মৃনাল কান্তি, 01325893580</t>
  </si>
  <si>
    <t xml:space="preserve">25.773194, 89.616928</t>
  </si>
  <si>
    <t xml:space="preserve">মৃনাল কান্তি, 01325893581</t>
  </si>
  <si>
    <t xml:space="preserve">25.773620, 89.617204</t>
  </si>
  <si>
    <t xml:space="preserve">রমজান আলী, 01717010330</t>
  </si>
  <si>
    <t xml:space="preserve">25.773870, 89.617482</t>
  </si>
  <si>
    <t xml:space="preserve">রমজান আলী, 01717010331</t>
  </si>
  <si>
    <t xml:space="preserve">25.773824, 89.617481</t>
  </si>
  <si>
    <t xml:space="preserve">রমজান আলী, 01717010332</t>
  </si>
  <si>
    <t xml:space="preserve">25.773954, 89.617580</t>
  </si>
  <si>
    <t xml:space="preserve">রমজান আলী, 01717010333</t>
  </si>
  <si>
    <t xml:space="preserve">25.773850, 89.617584</t>
  </si>
  <si>
    <t xml:space="preserve">রমজান আলী, 01717010334</t>
  </si>
  <si>
    <t xml:space="preserve">25.775426, 89.615960</t>
  </si>
  <si>
    <t xml:space="preserve">ইমদাদুল হক, 01783811186</t>
  </si>
  <si>
    <t xml:space="preserve">25.775310, 89.615814</t>
  </si>
  <si>
    <t xml:space="preserve">ইমদাদুল হক, 01783811187</t>
  </si>
  <si>
    <t xml:space="preserve">25.775310, 89.615982</t>
  </si>
  <si>
    <t xml:space="preserve">ইমদাদুল হক, 01783811188</t>
  </si>
  <si>
    <t xml:space="preserve">25.775371, 89.615846</t>
  </si>
  <si>
    <t xml:space="preserve">ইমদাদুল হক, 01783811189</t>
  </si>
  <si>
    <t xml:space="preserve">25.775188, 89.615593</t>
  </si>
  <si>
    <t xml:space="preserve">ইমদাদুল হক, 01783811190</t>
  </si>
  <si>
    <t xml:space="preserve">25.775035, 89.615671</t>
  </si>
  <si>
    <t xml:space="preserve">আশরাফুল আলম, 01712924397</t>
  </si>
  <si>
    <t xml:space="preserve">25.775267, 89.616210</t>
  </si>
  <si>
    <t xml:space="preserve">আশরাফুল আলম, 01712924398</t>
  </si>
  <si>
    <t xml:space="preserve">25.774898, 89.616101</t>
  </si>
  <si>
    <t xml:space="preserve">আশরাফুল আলম, 01712924399</t>
  </si>
  <si>
    <t xml:space="preserve">25.774993, 89.616138</t>
  </si>
  <si>
    <t xml:space="preserve">আশরাফুল আলম, 01712924400</t>
  </si>
  <si>
    <t xml:space="preserve">25.774791, 89.616061</t>
  </si>
  <si>
    <t xml:space="preserve">আশরাফুল আলম, 01712924401</t>
  </si>
  <si>
    <t xml:space="preserve">25.776087, 89.615580</t>
  </si>
  <si>
    <t xml:space="preserve">এরশাদুল আলম, 01718617276</t>
  </si>
  <si>
    <t xml:space="preserve">25.776122, 89.615533</t>
  </si>
  <si>
    <t xml:space="preserve">এরশাদুল আলম, 01718617277</t>
  </si>
  <si>
    <t xml:space="preserve">25.776224, 89.615508</t>
  </si>
  <si>
    <t xml:space="preserve">এরশাদুল আলম, 01718617278</t>
  </si>
  <si>
    <t xml:space="preserve">25.776220, 89.615437</t>
  </si>
  <si>
    <t xml:space="preserve">এরশাদুল আলম, 01718617279</t>
  </si>
  <si>
    <t xml:space="preserve">25.776123, 89.615441</t>
  </si>
  <si>
    <t xml:space="preserve">এরশাদুল আলম, 01718617280</t>
  </si>
  <si>
    <t xml:space="preserve">25.774389, 89.613459</t>
  </si>
  <si>
    <t xml:space="preserve">হরিপ্রিয়া রানী, 01764929382</t>
  </si>
  <si>
    <t xml:space="preserve">25.774423, 89.613355</t>
  </si>
  <si>
    <t xml:space="preserve">হরিপ্রিয়া রানী, 01764929383</t>
  </si>
  <si>
    <t xml:space="preserve">25.774314, 89.613433</t>
  </si>
  <si>
    <t xml:space="preserve">হরিপ্রিয়া রানী, 01764929384</t>
  </si>
  <si>
    <t xml:space="preserve">25.774320, 89.613315</t>
  </si>
  <si>
    <t xml:space="preserve">হরিপ্রিয়া রানী, 01764929385</t>
  </si>
  <si>
    <t xml:space="preserve">25.774489, 89.613382</t>
  </si>
  <si>
    <t xml:space="preserve">হরিপ্রিয়া রানী, 01764929386</t>
  </si>
  <si>
    <t xml:space="preserve">25.771679, 89.617721</t>
  </si>
  <si>
    <t xml:space="preserve">সেতু রানী রায়, 01735454548</t>
  </si>
  <si>
    <t xml:space="preserve">25.771783, 89.617980</t>
  </si>
  <si>
    <t xml:space="preserve">সেতু রানী রায়, 01735454549</t>
  </si>
  <si>
    <t xml:space="preserve">25.771886, 89.617757</t>
  </si>
  <si>
    <t xml:space="preserve">সেতু রানী রায়, 01735454550</t>
  </si>
  <si>
    <t xml:space="preserve">25.772104, 89.618089</t>
  </si>
  <si>
    <t xml:space="preserve">সেতু রানী রায়, 01735454551</t>
  </si>
  <si>
    <t xml:space="preserve">25.771842, 89.617812</t>
  </si>
  <si>
    <t xml:space="preserve">সেতু রানী রায়, 01735454552</t>
  </si>
  <si>
    <t xml:space="preserve">25.776768, 89.615899</t>
  </si>
  <si>
    <t xml:space="preserve">রমজান আলী, 01743016309</t>
  </si>
  <si>
    <t xml:space="preserve">25.776850, 89.615982</t>
  </si>
  <si>
    <t xml:space="preserve">রমজান আলী, 01743016310</t>
  </si>
  <si>
    <t xml:space="preserve">25.777072, 89.615901</t>
  </si>
  <si>
    <t xml:space="preserve">রমজান আলী, 01743016311</t>
  </si>
  <si>
    <t xml:space="preserve">25.776744, 89.615907</t>
  </si>
  <si>
    <t xml:space="preserve">রমজান আলী, 01743016312</t>
  </si>
  <si>
    <t xml:space="preserve">25.776647, 89.615867</t>
  </si>
  <si>
    <t xml:space="preserve">রমজান আলী, 01743016313</t>
  </si>
  <si>
    <t xml:space="preserve">25.777240, 89.616177</t>
  </si>
  <si>
    <t xml:space="preserve">ফরিশ মিয়া, 01709199099</t>
  </si>
  <si>
    <t xml:space="preserve">25.776885, 89.616063</t>
  </si>
  <si>
    <t xml:space="preserve">ফরিশ মিয়া, 01709199100</t>
  </si>
  <si>
    <t xml:space="preserve">25.776972, 89.616113</t>
  </si>
  <si>
    <t xml:space="preserve">ফরিশ মিয়া, 01709199101</t>
  </si>
  <si>
    <t xml:space="preserve">25.777361, 89.616254</t>
  </si>
  <si>
    <t xml:space="preserve">ফরিশ মিয়া, 01709199102</t>
  </si>
  <si>
    <t xml:space="preserve">25.777298, 89.616316</t>
  </si>
  <si>
    <t xml:space="preserve">ফরিশ মিয়া, 01709199103</t>
  </si>
  <si>
    <t xml:space="preserve">25.776730, 89.615825</t>
  </si>
  <si>
    <t xml:space="preserve">এনামুল হক, 01346527523</t>
  </si>
  <si>
    <t xml:space="preserve">25.776639, 89.615804</t>
  </si>
  <si>
    <t xml:space="preserve">এনামুল হক, 01346527524</t>
  </si>
  <si>
    <t xml:space="preserve">25.776755, 89.615909</t>
  </si>
  <si>
    <t xml:space="preserve">এনামুল হক, 01346527525</t>
  </si>
  <si>
    <t xml:space="preserve">25.776673, 89.616025</t>
  </si>
  <si>
    <t xml:space="preserve">এনামুল হক, 01346527526</t>
  </si>
  <si>
    <t xml:space="preserve">25.776822, 89.615981</t>
  </si>
  <si>
    <t xml:space="preserve">এনামুল হক, 01346527527</t>
  </si>
  <si>
    <t xml:space="preserve">25.773731, 89.617836</t>
  </si>
  <si>
    <t xml:space="preserve">ঋতু বর্ণা রানী, 01306130625</t>
  </si>
  <si>
    <t xml:space="preserve">25.773604, 89.617670</t>
  </si>
  <si>
    <t xml:space="preserve">ঋতু বর্ণা রানী, 01306130626</t>
  </si>
  <si>
    <t xml:space="preserve">25.779989, 89.617494</t>
  </si>
  <si>
    <t xml:space="preserve">ঋতু বর্ণা রানী, 01306130627</t>
  </si>
  <si>
    <t xml:space="preserve">25.773313, 89.617358</t>
  </si>
  <si>
    <t xml:space="preserve">ঋতু বর্ণা রানী, 01306130628</t>
  </si>
  <si>
    <t xml:space="preserve">25.773644, 89.617442</t>
  </si>
  <si>
    <t xml:space="preserve">ঋতু বর্ণা রানী, 01306130629</t>
  </si>
  <si>
    <t xml:space="preserve">গ্রামঃদিনা  ইউনিয়নঃ রাজারহাট , উপজেলাঃ রাজারহাট, জেলাঃ কুড়িগ্রাম।</t>
  </si>
  <si>
    <t xml:space="preserve">আম (আমরুপালী), কাঠাল, নিম, জলপাই (হাইব্রীড) ও মেহগনি</t>
  </si>
  <si>
    <t xml:space="preserve">25.804925, 89510231</t>
  </si>
  <si>
    <t xml:space="preserve">মোঃ নুর ইসলাম, ০১৩৩৩৯৭৩৫৮৭</t>
  </si>
  <si>
    <t xml:space="preserve">মোছাঃ সোহানা খাতুন, ০১৩১৮২০৭৪৭০</t>
  </si>
  <si>
    <t xml:space="preserve">হৈমন্তী রানী, ০১৭৪৫৫০৬৫২২</t>
  </si>
  <si>
    <t xml:space="preserve">25.804831, 89.510223</t>
  </si>
  <si>
    <t xml:space="preserve">মোঃ আ: মালেক, ০১৯৩২৯৫৬৬২৩</t>
  </si>
  <si>
    <t xml:space="preserve">25.802480, 89509655</t>
  </si>
  <si>
    <t xml:space="preserve">মো: জমির হোসেন, ০১৭৪২৬৯৯১০২</t>
  </si>
  <si>
    <t xml:space="preserve">25.803498, 89.509196</t>
  </si>
  <si>
    <t xml:space="preserve">মো: জাহেদুল ইসলাম,  ০১৭৬২৭৭৫৪৮৫</t>
  </si>
  <si>
    <t xml:space="preserve">25.803625, 89510092 </t>
  </si>
  <si>
    <t xml:space="preserve">মোছা: কাজলী বেগম, ০১৭৩৭১২২৯৫৫</t>
  </si>
  <si>
    <t xml:space="preserve">25.804585, 89.509840</t>
  </si>
  <si>
    <t xml:space="preserve">মো: আলতাব আকবর, ০১৮৯১৯১৮২২৭</t>
  </si>
  <si>
    <t xml:space="preserve">গ্রামঃপুটিকাটা  ইউনিয়নঃ রাজারহাট , উপজেলাঃ রাজারহাট, জেলাঃ কুড়িগ্রাম।</t>
  </si>
  <si>
    <t xml:space="preserve">25.806612, 89.515735</t>
  </si>
  <si>
    <t xml:space="preserve">মো: আইয়ব আলী, ০১৭২৪৫১০৪৬৬</t>
  </si>
  <si>
    <t xml:space="preserve">25.805819, 89.514267</t>
  </si>
  <si>
    <t xml:space="preserve">মো: আউয়াল, ০১৮২৪০১৬১১১</t>
  </si>
  <si>
    <t xml:space="preserve">25.804667, 514558</t>
  </si>
  <si>
    <t xml:space="preserve">মোছা: শাকিলা, ০১৭২১৮৯৬২১৪</t>
  </si>
  <si>
    <t xml:space="preserve">25.805220, 89.513284</t>
  </si>
  <si>
    <t xml:space="preserve">মোছা: সালেহা বেগম, ০১৭০৩১৭৪৫০০</t>
  </si>
  <si>
    <t xml:space="preserve">গ্রামঃপশ্চিম দেবত্তর  ইউনিয়নঃ ঘড়িয়ালডাঙ্গা , উপজেলাঃ রাজারহাট, জেলাঃ কুড়িগ্রাম।</t>
  </si>
  <si>
    <t xml:space="preserve">25.8097870,89.4972500</t>
  </si>
  <si>
    <t xml:space="preserve">জিয়াউর, ০১৩০৮৫৯০২</t>
  </si>
  <si>
    <t xml:space="preserve">রামকৃষ্ণ রায়, ০১৭১৭৬৭৭৫২৩</t>
  </si>
  <si>
    <t xml:space="preserve">25.8097990, 89.4969890</t>
  </si>
  <si>
    <t xml:space="preserve">মনোয়ারা, ০১৭৪৯১৮২৩৬৩</t>
  </si>
  <si>
    <t xml:space="preserve">25.806879,89.497663</t>
  </si>
  <si>
    <t xml:space="preserve">রেজাউল হক, ০১৭৬১১০৮০৫৯৩৭</t>
  </si>
  <si>
    <t xml:space="preserve">25.8042220,89.4932700</t>
  </si>
  <si>
    <t xml:space="preserve">ফুলবাবু, ০১৭২৩৩৭২১৯৮</t>
  </si>
  <si>
    <t xml:space="preserve">25.803905, 89.492127</t>
  </si>
  <si>
    <t xml:space="preserve">সন্দিপন, ০১৭৮৭১৩৪৪০১</t>
  </si>
  <si>
    <t xml:space="preserve">25.8044030,89.4885800</t>
  </si>
  <si>
    <t xml:space="preserve">কেশব চন্দ্র, ০১৭৪১৫৩১৬</t>
  </si>
  <si>
    <t xml:space="preserve">25.809392, 89.496756</t>
  </si>
  <si>
    <t xml:space="preserve">লুতফর রহমান, ০১৭৩৯৯৭১৯৪৩</t>
  </si>
  <si>
    <t xml:space="preserve">25.809504,89.497233</t>
  </si>
  <si>
    <t xml:space="preserve">মো : মাহাফুজার হক, ০১৭৯৩৮০৫৯০৭</t>
  </si>
  <si>
    <t xml:space="preserve">25.8040090,89.4919920</t>
  </si>
  <si>
    <t xml:space="preserve">সুব্রত রায়, ০১৭১৪৫২৪৪৩০</t>
  </si>
  <si>
    <t xml:space="preserve">25.8015000, 89.4916620</t>
  </si>
  <si>
    <t xml:space="preserve">যদুনাথ, ০১৭৩৯৯৭১৯৪৩</t>
  </si>
  <si>
    <t xml:space="preserve">গ্রামঃঝাড়িঝাড় ইউনিয়নঃ নাজিমখান , উপজেলাঃ রাজারহাট, জেলাঃ কুড়িগ্রাম।</t>
  </si>
  <si>
    <t xml:space="preserve">25.731159, 89.533358</t>
  </si>
  <si>
    <t xml:space="preserve">শিমুল সরকার, ০১৩৪৬৩৪০০৭০</t>
  </si>
  <si>
    <t xml:space="preserve"> আমিনা আক্তার, ০১৭২৬২৮১৬০২</t>
  </si>
  <si>
    <t xml:space="preserve">মো: মায়দুল হাসান, ০১৭২৩১৮৩৪৯১</t>
  </si>
  <si>
    <t xml:space="preserve">গ্রামঃঝাড়িঝাড়   ইউনিয়নঃ নাজিমখান , উপজেলাঃ রাজারহাট, জেলাঃ কুড়িগ্রাম।</t>
  </si>
  <si>
    <t xml:space="preserve">25.731358, 89.533358</t>
  </si>
  <si>
    <t xml:space="preserve">মো: আ: হাকিম, ০১৩২৭২২৪৬৪৬</t>
  </si>
  <si>
    <t xml:space="preserve">গ্রামঃঝাড়িঝাড়   ইউনিয়নঃ নাজিমখান  , উপজেলাঃ রাজারহাট, জেলাঃ কুড়িগ্রাম।</t>
  </si>
  <si>
    <t xml:space="preserve">25.730375, 89.533582</t>
  </si>
  <si>
    <t xml:space="preserve">মোছা: রুমিনা বেগম, ০১৭৯২৭৪৪০৮৩</t>
  </si>
  <si>
    <t xml:space="preserve">গ্রামঃরাঘব  ইউনিয়নঃ নাজিমখান  , উপজেলাঃ রাজারহাট, জেলাঃ কুড়িগ্রাম।</t>
  </si>
  <si>
    <t xml:space="preserve">25.730472, 89.533648</t>
  </si>
  <si>
    <t xml:space="preserve">মোছা: মনছুরা বেগম, ০১৭৫৬১৬৫৩১৫</t>
  </si>
  <si>
    <t xml:space="preserve">25.730230, 89.533536</t>
  </si>
  <si>
    <t xml:space="preserve">মো: সহিদুল ইসলাম, ০১৩৩১৯৭২২০৩</t>
  </si>
  <si>
    <t xml:space="preserve">25.730115, 89.533681</t>
  </si>
  <si>
    <t xml:space="preserve">মো: শরিফুল ইসলাম, ০১৭৬৫২৯৫০৫৪</t>
  </si>
  <si>
    <t xml:space="preserve">গ্রামঃবড়বাড়ি  ইউনিয়নঃ নাজিমখান  , উপজেলাঃ রাজারহাট, জেলাঃ কুড়িগ্রাম।</t>
  </si>
  <si>
    <t xml:space="preserve">25.734957, 89.531343</t>
  </si>
  <si>
    <t xml:space="preserve">মো: বয়তাল হোসেন, ০১৭৬২৮৬৭৭২৬</t>
  </si>
  <si>
    <t xml:space="preserve">গ্রামঃবড়বাড়ি   ইউনিয়নঃ নাজিমখান  , উপজেলাঃ রাজারহাট, জেলাঃ কুড়িগ্রাম।</t>
  </si>
  <si>
    <t xml:space="preserve">25. 737764, 89.529059</t>
  </si>
  <si>
    <t xml:space="preserve">মো: আজিজার রহমান, ০১৭৫৬৭৬৩৫১৩</t>
  </si>
  <si>
    <t xml:space="preserve">25.73061, 89.530434</t>
  </si>
  <si>
    <t xml:space="preserve">মোছা: নাজমা বেগম, ০১৯২২৪২২৫৩১</t>
  </si>
  <si>
    <t xml:space="preserve">25.730936, 89.530461</t>
  </si>
  <si>
    <t xml:space="preserve">মোছা: শিউলী বেগম, ০১৭৮৭৯০৯৮৪৪</t>
  </si>
  <si>
    <t xml:space="preserve">25.804018, 89.489072</t>
  </si>
  <si>
    <t xml:space="preserve">কষ্ণ কমল, ০১৭৫৫১০৩০৭৫</t>
  </si>
  <si>
    <t xml:space="preserve">ব্যাপারী টারি , কেদার, নাগেশ্বরী, কুড়িগ্রাম</t>
  </si>
  <si>
    <t xml:space="preserve">আম, জাম, কাঁঠাল, মেহগনি, নিম</t>
  </si>
  <si>
    <t xml:space="preserve">26.035136,89.779144</t>
  </si>
  <si>
    <t xml:space="preserve">আফজাল হোসেন, 1728826489</t>
  </si>
  <si>
    <t xml:space="preserve">খন্দকার মোশারফ হোসেন, 1718878257</t>
  </si>
  <si>
    <t xml:space="preserve">15.07.26</t>
  </si>
  <si>
    <t xml:space="preserve">26.035071,89.777057</t>
  </si>
  <si>
    <t xml:space="preserve">বেলাল হোসেন, 1717030972</t>
  </si>
  <si>
    <t xml:space="preserve">ঢলুয়াবাড়ি , কেদার, নাগেশ্বরী, কুড়িগ্রাম</t>
  </si>
  <si>
    <t xml:space="preserve">26.034747,89778279</t>
  </si>
  <si>
    <t xml:space="preserve">রোকসানা বেগম,</t>
  </si>
  <si>
    <t xml:space="preserve">ব্যাপারী টারি, কেদার, নাগেশ্বরী, কুড়িগ্রাম</t>
  </si>
  <si>
    <t xml:space="preserve">26.034062,89.777857</t>
  </si>
  <si>
    <t xml:space="preserve">রিয়াজুল ইসলাম, 1765262331</t>
  </si>
  <si>
    <t xml:space="preserve">26.033880,89.778226</t>
  </si>
  <si>
    <t xml:space="preserve">সিরাজুল ইসলাম, 1723881600</t>
  </si>
  <si>
    <t xml:space="preserve">বাহের কেদার , কেদার, নাগেশ্বরী, কুড়িগ্রাম</t>
  </si>
  <si>
    <t xml:space="preserve">26.037311,89.775876</t>
  </si>
  <si>
    <t xml:space="preserve">দুলাল হোসেন, 1722699557</t>
  </si>
  <si>
    <t xml:space="preserve">26.034948,89.777754</t>
  </si>
  <si>
    <t xml:space="preserve">সিরাজুল ইসলাম, 1750848760</t>
  </si>
  <si>
    <t xml:space="preserve">26.044875,89.774223</t>
  </si>
  <si>
    <t xml:space="preserve">রফিকুল ইসলাম, 1740280429</t>
  </si>
  <si>
    <t xml:space="preserve">কাইম টেপার কুটি , কেদার, নাগেশ্বরী, কুড়িগ্রাম</t>
  </si>
  <si>
    <t xml:space="preserve">26.033587,89.777578</t>
  </si>
  <si>
    <t xml:space="preserve">জাহাঙ্গীর আলম, 1775818745</t>
  </si>
  <si>
    <t xml:space="preserve">মো: আবু তারেক, 01737456407</t>
  </si>
  <si>
    <t xml:space="preserve">26.047296,89.760559</t>
  </si>
  <si>
    <t xml:space="preserve">নুর হক, 1763160528</t>
  </si>
  <si>
    <t xml:space="preserve">26.034088,89.777402</t>
  </si>
  <si>
    <t xml:space="preserve">ফরিদুল ইসলাম, 1763269319</t>
  </si>
  <si>
    <t xml:space="preserve">26.047088,89.760358</t>
  </si>
  <si>
    <t xml:space="preserve">আব্দুর রশিদ, 1776937129</t>
  </si>
  <si>
    <t xml:space="preserve">26.045035,89.762124</t>
  </si>
  <si>
    <t xml:space="preserve">বাচ্চু মিয়া, 1741357782</t>
  </si>
  <si>
    <t xml:space="preserve">26.036687,89.779123</t>
  </si>
  <si>
    <t xml:space="preserve">সাইদুল হক, 1300902777</t>
  </si>
  <si>
    <t xml:space="preserve">26.032879,89.779294</t>
  </si>
  <si>
    <t xml:space="preserve">মজিবর রহমান, 1332015449</t>
  </si>
  <si>
    <t xml:space="preserve">প্রধানী পাড়া, কেদার, নাগেশ্বরী, কুড়িগ্রাম</t>
  </si>
  <si>
    <t xml:space="preserve">26.024261,89.776481</t>
  </si>
  <si>
    <t xml:space="preserve">আব্দুস সামাদ, 1747591571</t>
  </si>
  <si>
    <t xml:space="preserve">26.045011,89.767510</t>
  </si>
  <si>
    <t xml:space="preserve">মোস্তাকিন মিয়া, 1793050640</t>
  </si>
  <si>
    <t xml:space="preserve">26.046633,89.767690</t>
  </si>
  <si>
    <t xml:space="preserve">আকবর আলী, 1774504601</t>
  </si>
  <si>
    <t xml:space="preserve">26.046129,89.767262</t>
  </si>
  <si>
    <t xml:space="preserve">রবিউল ইসলাম, 1765051963</t>
  </si>
  <si>
    <t xml:space="preserve">প্রধান পাড়া, কেদার, নাগেশ্বরী, কুড়িগ্রাম</t>
  </si>
  <si>
    <t xml:space="preserve">26.046505,89.767381</t>
  </si>
  <si>
    <t xml:space="preserve">নজরুল ইসলাম, 1301323992</t>
  </si>
  <si>
    <t xml:space="preserve">তেলিপাড়া, কেদার, নাগেশ্বরী, কুড়িগ্রাম</t>
  </si>
  <si>
    <t xml:space="preserve">26.019611,89.777826</t>
  </si>
  <si>
    <t xml:space="preserve">মইনুল ইসলাম, 1728727925</t>
  </si>
  <si>
    <t xml:space="preserve">বিষ্ণুপুর, কেদার, নাগেশ্বরী, কুড়িগ্রাম</t>
  </si>
  <si>
    <t xml:space="preserve">26.023914,89.768953</t>
  </si>
  <si>
    <t xml:space="preserve">আব্দুল করিম, 1750314304</t>
  </si>
  <si>
    <t xml:space="preserve">গোলের হাট , কেদার, নাগেশ্বরী, কুড়িগ্রাম</t>
  </si>
  <si>
    <t xml:space="preserve">26.024523,89.770529</t>
  </si>
  <si>
    <t xml:space="preserve">বজলুর রহমান, 1768917669</t>
  </si>
  <si>
    <t xml:space="preserve">সর্দার টারি , কেদার, নাগেশ্বরী, কুড়িগ্রাম</t>
  </si>
  <si>
    <t xml:space="preserve">26.023844,89.769509</t>
  </si>
  <si>
    <t xml:space="preserve">নজরুল ইসলাম, 1747141535</t>
  </si>
  <si>
    <t xml:space="preserve">হাজিপাড়া , কেদার, নাগেশ্বরী, কুড়িগ্রাম</t>
  </si>
  <si>
    <t xml:space="preserve">26.024089,89.769652</t>
  </si>
  <si>
    <t xml:space="preserve">মমিনুর রহমান, 1722257707</t>
  </si>
  <si>
    <t xml:space="preserve">ঝাকুয়া টারি, কেদার, নাগেশ্বরী, কুড়িগ্রাম</t>
  </si>
  <si>
    <t xml:space="preserve">26.032046,89.774177</t>
  </si>
  <si>
    <t xml:space="preserve">রাহিমুল ইসলাম, 1761734428</t>
  </si>
  <si>
    <t xml:space="preserve">সাহেবের খাস , কেদার, নাগেশ্বরী, কুড়িগ্রাম</t>
  </si>
  <si>
    <t xml:space="preserve">26.032347,89.775035</t>
  </si>
  <si>
    <t xml:space="preserve">মনসার আলী, 1744469152</t>
  </si>
  <si>
    <t xml:space="preserve">ডাক্তার পাড়া, কেদার, নাগেশ্বরী, কুড়িগ্রাম</t>
  </si>
  <si>
    <t xml:space="preserve">26.027034,89.774776</t>
  </si>
  <si>
    <t xml:space="preserve">আব্দুল মান্নান, 1737038309</t>
  </si>
  <si>
    <t xml:space="preserve">26.034374,89.783433</t>
  </si>
  <si>
    <t xml:space="preserve">মোঃ মোস্তাফিজুর রহমান, 1737393501</t>
  </si>
  <si>
    <t xml:space="preserve">26.029895,89.804720</t>
  </si>
  <si>
    <t xml:space="preserve">আজিবর রহমান, 1313336971</t>
  </si>
  <si>
    <t xml:space="preserve">ঘোগারকুটি, বড়ভিটা, বড়ভিটা, ফুলবাড়ী</t>
  </si>
  <si>
    <t xml:space="preserve">আম, কাঠাল, জাম, নিম, মেহগনি</t>
  </si>
  <si>
    <t xml:space="preserve">25.915910, 89.574561</t>
  </si>
  <si>
    <t xml:space="preserve">সবুজ মিয়া, 01739377334</t>
  </si>
  <si>
    <t xml:space="preserve">উদয় কৃষ্ণ রায়</t>
  </si>
  <si>
    <t xml:space="preserve">মোঃ আব্দুল্লাহ আল মামুন, 01710474405</t>
  </si>
  <si>
    <t xml:space="preserve">ঘোগারকুটি, বড়ভিটা, বড়ভিটা</t>
  </si>
  <si>
    <t xml:space="preserve">25.916715, 89.569462</t>
  </si>
  <si>
    <t xml:space="preserve">হারুন অর রশিদ, 01744399668</t>
  </si>
  <si>
    <t xml:space="preserve">মোঃ আব্দুল্লাহ আল মামুন, ০১৭১০৪৭৪৪০৬</t>
  </si>
  <si>
    <t xml:space="preserve">পাতারুটারী, বড়ভিটা, বড়ভিটা</t>
  </si>
  <si>
    <t xml:space="preserve">25.907532, 89.572085</t>
  </si>
  <si>
    <t xml:space="preserve">মকছেদুল হক, 01794806824</t>
  </si>
  <si>
    <t xml:space="preserve">মোঃ আব্দুল্লাহ আল মামুন, ০১৭১০৪৭৪৪০৭</t>
  </si>
  <si>
    <t xml:space="preserve">25.914172, 89.570327</t>
  </si>
  <si>
    <t xml:space="preserve">সাধনা রানী, 01737170745</t>
  </si>
  <si>
    <t xml:space="preserve">মোঃ আব্দুল্লাহ আল মামুন, ০১৭১০৪৭৪৪০৮</t>
  </si>
  <si>
    <t xml:space="preserve">25.907676, 89.572093</t>
  </si>
  <si>
    <t xml:space="preserve">শেফালী বেগম, 01761072837</t>
  </si>
  <si>
    <t xml:space="preserve">মোঃ আব্দুল্লাহ আল মামুন, ০১৭১০৪৭৪৪০৯</t>
  </si>
  <si>
    <t xml:space="preserve">25.918662, 89.569796</t>
  </si>
  <si>
    <t xml:space="preserve">রবিউল ইসলাম, 01734197848</t>
  </si>
  <si>
    <t xml:space="preserve">মোঃ আব্দুল্লাহ আল মামুন, ০১৭১০৪৭৪৪১০</t>
  </si>
  <si>
    <t xml:space="preserve">নওদাবশ, বড়ভিটা, বড়ভিটা</t>
  </si>
  <si>
    <t xml:space="preserve">25.917379, 89.51731</t>
  </si>
  <si>
    <t xml:space="preserve">লিটন চন্দ্র, 01788279002</t>
  </si>
  <si>
    <t xml:space="preserve">মোঃ আব্দুল্লাহ আল মামুন, ০১৭১০৪৭৪৪১১</t>
  </si>
  <si>
    <t xml:space="preserve">25.918513, 89.594006</t>
  </si>
  <si>
    <t xml:space="preserve">মমিনুল ইসলাম, 01733462455</t>
  </si>
  <si>
    <t xml:space="preserve">মোঃ আব্দুল্লাহ আল মামুন, ০১৭১০৪৭৪৪১২</t>
  </si>
  <si>
    <t xml:space="preserve">25.916527, 89.590755</t>
  </si>
  <si>
    <t xml:space="preserve">পলাশ কুমার, 01750549630</t>
  </si>
  <si>
    <t xml:space="preserve">মোঃ আব্দুল্লাহ আল মামুন, ০১৭১০৪৭৪৪১৩</t>
  </si>
  <si>
    <t xml:space="preserve">25.921551, 89.587194</t>
  </si>
  <si>
    <t xml:space="preserve">অঞ্জনা, 01737803051</t>
  </si>
  <si>
    <t xml:space="preserve">মোঃ আব্দুল্লাহ আল মামুন, ০১৭১০৪৭৪৪১৪</t>
  </si>
  <si>
    <t xml:space="preserve">25.916759, 89.592764</t>
  </si>
  <si>
    <t xml:space="preserve">মেরিনা বেগম, 01750066531</t>
  </si>
  <si>
    <t xml:space="preserve">মোঃ আব্দুল্লাহ আল মামুন, ০১৭১০৪৭৪৪১৫</t>
  </si>
  <si>
    <t xml:space="preserve">বড়ভিটা, বড়ভিটা, বড়ভিটা</t>
  </si>
  <si>
    <t xml:space="preserve">25.903954, 89.581964</t>
  </si>
  <si>
    <t xml:space="preserve">ওহাব আলী, 01752101216</t>
  </si>
  <si>
    <t xml:space="preserve">মোঃ আব্দুল্লাহ আল মামুন, ০১৭১০৪৭৪৪১৬</t>
  </si>
  <si>
    <t xml:space="preserve">25.9044, 89.583009</t>
  </si>
  <si>
    <t xml:space="preserve">শহিদুল ইসলাম, 01778127204</t>
  </si>
  <si>
    <t xml:space="preserve">মোঃ আব্দুল্লাহ আল মামুন, ০1710474405</t>
  </si>
  <si>
    <t xml:space="preserve">25.904263, 89.581821</t>
  </si>
  <si>
    <t xml:space="preserve">আঃ বাতেন খন্দকার, 01752101216</t>
  </si>
  <si>
    <t xml:space="preserve">ভিতরকুটি, বড়ভিটা, বড়ভিটা</t>
  </si>
  <si>
    <t xml:space="preserve">25.906676, 89.577202</t>
  </si>
  <si>
    <t xml:space="preserve">টুংকু মিয়া, 01761013963</t>
  </si>
  <si>
    <t xml:space="preserve">25.913193, 89.584340</t>
  </si>
  <si>
    <t xml:space="preserve">সামসুল হক, 01743331764</t>
  </si>
  <si>
    <t xml:space="preserve">উত্তর বড়ভিটা, বড়ভিটা, বড়ভিটা</t>
  </si>
  <si>
    <t xml:space="preserve">25.918860, 89.569892</t>
  </si>
  <si>
    <t xml:space="preserve">আঞ্জু বেগম, 01764831254</t>
  </si>
  <si>
    <t xml:space="preserve">25.919077, 89.569271</t>
  </si>
  <si>
    <t xml:space="preserve">শাহিনা আক্তার, 01625384410</t>
  </si>
  <si>
    <t xml:space="preserve">25.922150, 89.571349</t>
  </si>
  <si>
    <t xml:space="preserve">বায়েজিদ আলম, 01753159606</t>
  </si>
  <si>
    <t xml:space="preserve">25.899810, 89.600632</t>
  </si>
  <si>
    <t xml:space="preserve">গোলাম রব্বানী, 01719245097</t>
  </si>
  <si>
    <t xml:space="preserve">25.907720, 89.585866</t>
  </si>
  <si>
    <t xml:space="preserve">খয়বর আলী, 01714011468</t>
  </si>
  <si>
    <t xml:space="preserve">হাজিটারী, বড়লই, বড়ভিটা</t>
  </si>
  <si>
    <t xml:space="preserve">25.898391, 89.597107</t>
  </si>
  <si>
    <t xml:space="preserve">ছামাদ আলী, 01722648451</t>
  </si>
  <si>
    <t xml:space="preserve">ফকরের চর, বড়লই, বড়ভিটা</t>
  </si>
  <si>
    <t xml:space="preserve">25.899217, 89.597482</t>
  </si>
  <si>
    <t xml:space="preserve">মোজাম্মেল হক, 01751137743</t>
  </si>
  <si>
    <t xml:space="preserve">25.897453, 89.591202</t>
  </si>
  <si>
    <t xml:space="preserve">ফজলুল হক, 01780878188</t>
  </si>
  <si>
    <t xml:space="preserve">বড়লই, বড়লই, বড়ভিটা</t>
  </si>
  <si>
    <t xml:space="preserve">25.895098, 89.595431</t>
  </si>
  <si>
    <t xml:space="preserve">রেজাউল করিম, 01750693802</t>
  </si>
  <si>
    <t xml:space="preserve">25.908877, 89.566378</t>
  </si>
  <si>
    <t xml:space="preserve">আনিছুর রহমান, 01741460496</t>
  </si>
  <si>
    <t xml:space="preserve">ভিতরকুটি, বড়লই, বড়ভিটা</t>
  </si>
  <si>
    <t xml:space="preserve">25.907812, 89.562621</t>
  </si>
  <si>
    <t xml:space="preserve">রিয়াজুল হক, 01770981857</t>
  </si>
  <si>
    <t xml:space="preserve">25.901022, 89.567821</t>
  </si>
  <si>
    <t xml:space="preserve">তুলি খাতুন, 01783022898</t>
  </si>
  <si>
    <t xml:space="preserve">কাজীটারী, বড়লই, বড়ভিটা</t>
  </si>
  <si>
    <t xml:space="preserve">25.913771, 89.598866</t>
  </si>
  <si>
    <t xml:space="preserve">বাবুল হোসেন, 01759028748</t>
  </si>
  <si>
    <t xml:space="preserve">25.911787, 89.597019</t>
  </si>
  <si>
    <t xml:space="preserve">মাহাবুল মিয়া, 01862146039</t>
  </si>
  <si>
    <t xml:space="preserve">ফাতেমা বেগম, 01740172751</t>
  </si>
  <si>
    <t xml:space="preserve">25.913771, 89.598848</t>
  </si>
  <si>
    <t xml:space="preserve">মাসুদ রানা, 01746716918</t>
  </si>
  <si>
    <t xml:space="preserve">সরদারপাড়া, বড়লই, বড়ভিটা</t>
  </si>
  <si>
    <t xml:space="preserve">253912134, 89.596821</t>
  </si>
  <si>
    <t xml:space="preserve">ফারুক হোসেন, 01761251831</t>
  </si>
  <si>
    <t xml:space="preserve">নওদাবশ, বড়লই, বড়ভিটা</t>
  </si>
  <si>
    <t xml:space="preserve">25.923275, 89.594138</t>
  </si>
  <si>
    <t xml:space="preserve">আঃ রশিদ, 01761280952</t>
  </si>
  <si>
    <t xml:space="preserve">25.922419, 89.564330</t>
  </si>
  <si>
    <t xml:space="preserve">আঃ গফুর, 01737232817</t>
  </si>
  <si>
    <t xml:space="preserve">পূর্ব ধনিরাম, ধনিরাম, বড়ভিটা</t>
  </si>
  <si>
    <t xml:space="preserve">25.919195, 89.557555</t>
  </si>
  <si>
    <t xml:space="preserve">রিয়াজুল ইসলাম , 01764987163</t>
  </si>
  <si>
    <t xml:space="preserve">25.916765, 89.559387</t>
  </si>
  <si>
    <t xml:space="preserve">মজিবুল ইসলাম, 01868791976</t>
  </si>
  <si>
    <t xml:space="preserve">25.919327, 89.555199</t>
  </si>
  <si>
    <t xml:space="preserve">আয়শা বেগম, 01738613324</t>
  </si>
  <si>
    <t xml:space="preserve">25.919018, 89.556328</t>
  </si>
  <si>
    <t xml:space="preserve">হমিদা খাতুন, 01765930596</t>
  </si>
  <si>
    <t xml:space="preserve">25.917398, 89.553849</t>
  </si>
  <si>
    <t xml:space="preserve">খাদিজা বেগম, 01762855504</t>
  </si>
  <si>
    <t xml:space="preserve">25.902319, 89.572548</t>
  </si>
  <si>
    <t xml:space="preserve">বিষ্ণু চন্দ্র, 01795517028</t>
  </si>
  <si>
    <t xml:space="preserve">25.902724, 89.570860</t>
  </si>
  <si>
    <t xml:space="preserve">হামিদুল ইসলাম, 01774427776</t>
  </si>
  <si>
    <t xml:space="preserve">25.900442, 89.571247</t>
  </si>
  <si>
    <t xml:space="preserve">হামিদুল ইসলাম, 01308763054</t>
  </si>
  <si>
    <t xml:space="preserve">25.899612, 89.564042</t>
  </si>
  <si>
    <t xml:space="preserve">শারমিন আক্তার, 01722592015</t>
  </si>
  <si>
    <t xml:space="preserve">25.902451, 89.571880</t>
  </si>
  <si>
    <t xml:space="preserve">রুপালী বেগম, 01785449751</t>
  </si>
  <si>
    <t xml:space="preserve">25.9025663, 89.570941</t>
  </si>
  <si>
    <t xml:space="preserve">জেসমিন বেগম, 1704226771</t>
  </si>
  <si>
    <t xml:space="preserve">25.904554, 89.566009</t>
  </si>
  <si>
    <t xml:space="preserve">নাজমা বেগম, 01814560562</t>
  </si>
  <si>
    <t xml:space="preserve">25.904264, 89.566922</t>
  </si>
  <si>
    <t xml:space="preserve">সুমিনা বেগম, 01740426574</t>
  </si>
  <si>
    <t xml:space="preserve">25.905212, 89.566388</t>
  </si>
  <si>
    <t xml:space="preserve">খোতাজে বেগম, 01701984232</t>
  </si>
  <si>
    <t xml:space="preserve">25.904284, 89.569953</t>
  </si>
  <si>
    <t xml:space="preserve">নুর জাহান বেগম, 01776813949</t>
  </si>
  <si>
    <t xml:space="preserve">25.904219, 89.568671</t>
  </si>
  <si>
    <t xml:space="preserve">পীযুষ রায়, 01717591105</t>
  </si>
  <si>
    <t xml:space="preserve">25.908406, 89.564927</t>
  </si>
  <si>
    <t xml:space="preserve">মোজাম্মেল হক, 01771604275</t>
  </si>
  <si>
    <t xml:space="preserve">25.908065, 89.564646</t>
  </si>
  <si>
    <t xml:space="preserve">জাদু মিয়া, 01740387886</t>
  </si>
  <si>
    <t xml:space="preserve">25.906967, 89.566004</t>
  </si>
  <si>
    <t xml:space="preserve">মমিনুল ইসলাম, 01755344571</t>
  </si>
  <si>
    <t xml:space="preserve">25.907323, 89.564810</t>
  </si>
  <si>
    <t xml:space="preserve">সহিদার রহমান, 01746715976</t>
  </si>
  <si>
    <t xml:space="preserve">বালাবাড়ী, বড়লই, বড়ভিটা</t>
  </si>
  <si>
    <t xml:space="preserve">25.937825, 89.542962</t>
  </si>
  <si>
    <t xml:space="preserve">আশাদুজ্জামান, 01788227885</t>
  </si>
  <si>
    <t xml:space="preserve">25.932672, 89.607236</t>
  </si>
  <si>
    <t xml:space="preserve">মুকুল মিয়া, 01728606931</t>
  </si>
  <si>
    <t xml:space="preserve">25.921014, 89.594270</t>
  </si>
  <si>
    <t xml:space="preserve">ইসমাইল হোসেন, 01725192396</t>
  </si>
  <si>
    <t xml:space="preserve">25.937826, 89.603628</t>
  </si>
  <si>
    <t xml:space="preserve">আফজাল হোসেন, 01767597705</t>
  </si>
  <si>
    <t xml:space="preserve">25.909367, 89.597882</t>
  </si>
  <si>
    <t xml:space="preserve">আলতাব হোসেন, 01749425848</t>
  </si>
  <si>
    <t xml:space="preserve">বালাতারী, গোড়কমন্ডপ, নাওডাঙ্গা</t>
  </si>
  <si>
    <t xml:space="preserve">25.996595, 89.512249</t>
  </si>
  <si>
    <t xml:space="preserve">মোছাঃ আফরোজা বেগম, ০1742004764</t>
  </si>
  <si>
    <t xml:space="preserve">25.996772, 89.512202</t>
  </si>
  <si>
    <t xml:space="preserve">মোঃ আমিনুল হক, 01786525536</t>
  </si>
  <si>
    <t xml:space="preserve">25.995706, 89.512925</t>
  </si>
  <si>
    <t xml:space="preserve">মোঃ আনিছুর রহমান, 01723261733</t>
  </si>
  <si>
    <t xml:space="preserve">26.004379, 89.519806</t>
  </si>
  <si>
    <t xml:space="preserve">মোঃ এমদাদুল হক, 01719462677</t>
  </si>
  <si>
    <t xml:space="preserve">25.996325, 89.513222</t>
  </si>
  <si>
    <t xml:space="preserve">মোঃ তাজুল ইসলাম, 01749635690</t>
  </si>
  <si>
    <t xml:space="preserve">চর গোড়কমন্ডপ, গোড়কমন্ডপ, নাওডাঙ্গা</t>
  </si>
  <si>
    <t xml:space="preserve">25.979267, 89.488299</t>
  </si>
  <si>
    <t xml:space="preserve">মোঃ আয়াজ উদ্দিন, 01745294281</t>
  </si>
  <si>
    <t xml:space="preserve">কৃষ্ণানন্দ বকশী, গোড়কমন্ডপ, নাওডাঙ্গা</t>
  </si>
  <si>
    <t xml:space="preserve">26.000484, 89.516419</t>
  </si>
  <si>
    <t xml:space="preserve">মোঃ রুকনুদৌলা, 01723257028</t>
  </si>
  <si>
    <t xml:space="preserve">উচাটারী, গোড়কমন্ডপ, নাওডাঙ্গা</t>
  </si>
  <si>
    <t xml:space="preserve">26.000003, 89.509409</t>
  </si>
  <si>
    <t xml:space="preserve">মোঃ এরশাদুল হক, 01737624490</t>
  </si>
  <si>
    <t xml:space="preserve">26.000540, 89.506444</t>
  </si>
  <si>
    <t xml:space="preserve">মোঃ মাসুদ রানা, 01837155072</t>
  </si>
  <si>
    <t xml:space="preserve">26.000025, 89.508484</t>
  </si>
  <si>
    <t xml:space="preserve">মোঃ মিনহাজুল ইসলাম, 01719462257</t>
  </si>
  <si>
    <t xml:space="preserve">গ্রাম : ফুলকুমার ইউনিয়ন : পাথরডুবি উপজেলা: ভূরুঙ্গামারী জেলা : কুড়িগ্রাম</t>
  </si>
  <si>
    <t xml:space="preserve">26.148643,89.620377</t>
  </si>
  <si>
    <t xml:space="preserve">শেফালী খাতুন ০১৭১৯৪০১৭০৯</t>
  </si>
  <si>
    <t xml:space="preserve">মোঃ আবুল বাশার, ০১৭৭৩০৮৩৫৫৩</t>
  </si>
  <si>
    <t xml:space="preserve">মোঃ আব্দুল জব্বার ০১৭২২৬৮৩২৯১</t>
  </si>
  <si>
    <t xml:space="preserve">26.159168,89.621219</t>
  </si>
  <si>
    <t xml:space="preserve">শিরিনা আক্তার (হাসি) ০১৬১০১১৩৬৪৬</t>
  </si>
  <si>
    <t xml:space="preserve">26.148694,89.620440</t>
  </si>
  <si>
    <t xml:space="preserve">আবুল হাসেম ০১৭১৪৯২৫২৪৯</t>
  </si>
  <si>
    <t xml:space="preserve">26.148750,89.620416</t>
  </si>
  <si>
    <t xml:space="preserve">আবুল কাশেম ০১৭১৩৭৬৩১২২</t>
  </si>
  <si>
    <t xml:space="preserve">26.148362,89.620373</t>
  </si>
  <si>
    <t xml:space="preserve">নুরুল ইসলাম ০১৭৭২৮৪৮৯১৯</t>
  </si>
  <si>
    <t xml:space="preserve">26.125636,89.615926</t>
  </si>
  <si>
    <t xml:space="preserve">মোঃ জাহিদুল ইসলাম ০১৭২৩৩১৫৩৮৪</t>
  </si>
  <si>
    <t xml:space="preserve">26.148457,89.620425</t>
  </si>
  <si>
    <t xml:space="preserve">মোঃ কায়সার আলী ০১৭২৪৫৬৪৪৬৬</t>
  </si>
  <si>
    <t xml:space="preserve">26.147627,89.621250</t>
  </si>
  <si>
    <t xml:space="preserve">মোঃ খাদেম আলী ০১৭৩৭৫৬৬১১৮</t>
  </si>
  <si>
    <t xml:space="preserve">26.140840,89.602650</t>
  </si>
  <si>
    <t xml:space="preserve">মোঃ আনছার আলী ০১৭২৯৬৭৯৬৭৭</t>
  </si>
  <si>
    <t xml:space="preserve">26.163407,89..623200</t>
  </si>
  <si>
    <t xml:space="preserve">মোঃ খাদেমুল ইসলাম ১৭১৯৭০৮৯৩২</t>
  </si>
  <si>
    <t xml:space="preserve">26.148486,89.620398</t>
  </si>
  <si>
    <t xml:space="preserve">মোঃ ফজলুল রহমান ০১৭২০৮৪৮০৩০</t>
  </si>
  <si>
    <t xml:space="preserve">26.145836,89.621058</t>
  </si>
  <si>
    <t xml:space="preserve">মোঃ শহিদুল ইসলাম ০১৭১৫৮৪৩৯৫২</t>
  </si>
  <si>
    <t xml:space="preserve">26.139085,89.626040</t>
  </si>
  <si>
    <t xml:space="preserve">মোঃ বাবলু ০১৬০৭২৮২১৯২</t>
  </si>
  <si>
    <t xml:space="preserve">26.158133,89.616068</t>
  </si>
  <si>
    <t xml:space="preserve">মোঃ হাসেম ০১৭৭৪০৩৮৪১৫</t>
  </si>
  <si>
    <t xml:space="preserve">26.154621,89.627062</t>
  </si>
  <si>
    <t xml:space="preserve">আঃ হালিম ০১৮২৫৪৭২২৭১</t>
  </si>
  <si>
    <t xml:space="preserve">26.159287,89.625551</t>
  </si>
  <si>
    <t xml:space="preserve">সোজাম্মেল ০১৭৯৪৯৮৮৬৫০</t>
  </si>
  <si>
    <t xml:space="preserve">26.148400,89.622497</t>
  </si>
  <si>
    <t xml:space="preserve">জান্নাতুল ০১৭২১৭৭২৬৮৭</t>
  </si>
  <si>
    <t xml:space="preserve">26.146202,89.621320</t>
  </si>
  <si>
    <t xml:space="preserve">জোসনা ০১৭৬৮৯৫৮৪৬৩</t>
  </si>
  <si>
    <t xml:space="preserve">গ্রাম : পাথরডুবি ইউনিয়ন :পাথরডুবি উপজেলা: ভূরুঙ্গামারী জেলা : কুড়িগ্রাম</t>
  </si>
  <si>
    <t xml:space="preserve">26.159815,89.615337</t>
  </si>
  <si>
    <t xml:space="preserve">শারমিন ০১৩৪১৩৩৮৮০০</t>
  </si>
  <si>
    <t xml:space="preserve">26.146645,89.620733</t>
  </si>
  <si>
    <t xml:space="preserve">শাপলা ০১৭২৯১২১২৮২</t>
  </si>
  <si>
    <t xml:space="preserve">26.10127,89.365465</t>
  </si>
  <si>
    <t xml:space="preserve">কাজিম ০১৭২৯৩১৫৪৬২</t>
  </si>
  <si>
    <t xml:space="preserve">26.146249,89.622495</t>
  </si>
  <si>
    <t xml:space="preserve">রোজিনা ০১৮৯৭৯৭২২৪৯</t>
  </si>
  <si>
    <t xml:space="preserve">26.157018,89.629005</t>
  </si>
  <si>
    <t xml:space="preserve">ছাহারা ০১৬২৮৮৪৬১৮৪</t>
  </si>
  <si>
    <t xml:space="preserve">26.148838,89.644579</t>
  </si>
  <si>
    <t xml:space="preserve">আবেদা বেগম ০১৭৮৯৯১৭৮০</t>
  </si>
  <si>
    <t xml:space="preserve">গ্রাম : বাঁশজানী ইউনিয়ন : পাথরডুবি উপজেলা: ভূরুঙ্গামারী জেলা : কুড়িগ্রাম</t>
  </si>
  <si>
    <t xml:space="preserve">26.152470,89.622932</t>
  </si>
  <si>
    <t xml:space="preserve">আল্পনা ০১৭৬১৩১০৮২০</t>
  </si>
  <si>
    <t xml:space="preserve">গ্রাম : মইদাম ইউনিয়ন : পাথরডুবি উপজেলা: ভূরুঙ্গামারী জেলা : কুড়িগ্রাম</t>
  </si>
  <si>
    <t xml:space="preserve">26.159991,89.617252</t>
  </si>
  <si>
    <t xml:space="preserve">খুকিরন ০১৭৩৪৫২৫১০</t>
  </si>
  <si>
    <t xml:space="preserve">মোঃ জীবন সরকার, ০১৭৫৫১০৩১৭৮</t>
  </si>
  <si>
    <t xml:space="preserve">গ্রাম : পাথরডুবি ইউনিয়ন : পাথরডুবি উপজেলা: ভূরুঙ্গামারী জেলা : কুড়িগ্রাম</t>
  </si>
  <si>
    <t xml:space="preserve">26.156421,89.627872</t>
  </si>
  <si>
    <t xml:space="preserve">ইনছার ০১৭৯৭৭৮৩৭৭৬</t>
  </si>
  <si>
    <t xml:space="preserve">গ্রাম : বাঁশজানী ইউনিয়ন :পাথরডুবি উপজেলা: ভূরুঙ্গামারী জেলা : কুড়িগ্রাম</t>
  </si>
  <si>
    <t xml:space="preserve">26.159576,89.615474</t>
  </si>
  <si>
    <t xml:space="preserve">রোকেয়া ০১৮৫১৩৫৫৭০৫</t>
  </si>
  <si>
    <t xml:space="preserve">গ্রাম : ফুলকুমার ইউনিয়ন :পাথরডুবি উপজেলা: ভূরুঙ্গামারী জেলা : কুড়িগ্রাম</t>
  </si>
  <si>
    <t xml:space="preserve">26.147620,89.620757</t>
  </si>
  <si>
    <t xml:space="preserve">শাকিল ০১৭৮৬৯৫৩৯৪</t>
  </si>
  <si>
    <t xml:space="preserve">26.132956,89.624165</t>
  </si>
  <si>
    <t xml:space="preserve">মিনহাজুল ০১৬৮৩১৪৯৩৩</t>
  </si>
  <si>
    <t xml:space="preserve">26.152434,89.622829</t>
  </si>
  <si>
    <t xml:space="preserve">সাইদুর ০১৭৫০৫২৭২১৫</t>
  </si>
  <si>
    <t xml:space="preserve">26.154385,89.636003</t>
  </si>
  <si>
    <t xml:space="preserve">সইতন ০১৭৪৯১৩৩৫৮৮</t>
  </si>
  <si>
    <t xml:space="preserve">26.148313,89.634155</t>
  </si>
  <si>
    <t xml:space="preserve">মজিদা ০১৭৩৪৯৯৮০৯৬</t>
  </si>
  <si>
    <t xml:space="preserve">26.152924,89.635313</t>
  </si>
  <si>
    <t xml:space="preserve">হাফিজুল ০১৭৩৪৯৯৮০৯৬</t>
  </si>
  <si>
    <t xml:space="preserve">26.150368,89.636993</t>
  </si>
  <si>
    <t xml:space="preserve">আমিনুল ০১৭১৮১৫৭৪৩৭</t>
  </si>
  <si>
    <t xml:space="preserve">26.152773,89.635332</t>
  </si>
  <si>
    <t xml:space="preserve">রমজান ০১৮৩১৭৯৯০৭</t>
  </si>
  <si>
    <t xml:space="preserve">26.157362,89.621820</t>
  </si>
  <si>
    <t xml:space="preserve">রইচ ০১৭২২৯৭৭৫২৩</t>
  </si>
  <si>
    <t xml:space="preserve">26.142857,89.620995</t>
  </si>
  <si>
    <t xml:space="preserve">সেলিমা ০১৩০৭৯৫৯৫৮৭</t>
  </si>
  <si>
    <t xml:space="preserve">26.1559625,89.370321</t>
  </si>
  <si>
    <t xml:space="preserve">মনিরুজ্জামান ০১৭৫৫১৯৫৬৯৮</t>
  </si>
  <si>
    <t xml:space="preserve">26.159334,89.651938</t>
  </si>
  <si>
    <t xml:space="preserve">হানিফ ০১৩১৮৯৭৩৯৩৮</t>
  </si>
  <si>
    <t xml:space="preserve">26.146862,89.605779</t>
  </si>
  <si>
    <t xml:space="preserve">আবুল কালাম ০১৮৩৬৩৭৫০২২</t>
  </si>
  <si>
    <t xml:space="preserve">গ্রাম : উঃ ধলডাঙ্গা ইউনিয়ন : শিলখুড়ি উপজেলা: ভূরুঙ্গামারী জেলা : কুড়িগ্রাম</t>
  </si>
  <si>
    <t xml:space="preserve">26.208125,89.666980</t>
  </si>
  <si>
    <t xml:space="preserve">রফিকুল ০১৭৩৭০৪৩৮৯১</t>
  </si>
  <si>
    <t xml:space="preserve">মোঃ সাদ্দাম হোসেন, ০১৭৩৮১৫৫১৭৮</t>
  </si>
  <si>
    <t xml:space="preserve">26.208495,89666813</t>
  </si>
  <si>
    <t xml:space="preserve">সুখজান ০১৭৬৩০৫২৪৮৬</t>
  </si>
  <si>
    <t xml:space="preserve">26.208006,89666213</t>
  </si>
  <si>
    <t xml:space="preserve">সুজন ০১৭৭৪১৪২৭৮৮</t>
  </si>
  <si>
    <t xml:space="preserve">26.207444,89.666183</t>
  </si>
  <si>
    <t xml:space="preserve">শাহআলম ০১৩৪৬৪৯৯৯২৭</t>
  </si>
  <si>
    <t xml:space="preserve">26.205751,89.667500</t>
  </si>
  <si>
    <t xml:space="preserve">সাইফুর ০১৭৬১০৪৭৬৭৮</t>
  </si>
  <si>
    <t xml:space="preserve">26.208476,89.667391</t>
  </si>
  <si>
    <t xml:space="preserve">সাইফুর ০১৩১৮৬৯৯২৭৭</t>
  </si>
  <si>
    <t xml:space="preserve">গ্রাম : চরপাড়া চার মাথা ইউনিয়ন : শিলখুড়ি উপজেলা: ভূরুঙ্গামারী জেলা : কুড়িগ্রাম</t>
  </si>
  <si>
    <t xml:space="preserve">26.204429,89667861</t>
  </si>
  <si>
    <t xml:space="preserve">জহুরা ০১৭৭৩২৫০৭৯০</t>
  </si>
  <si>
    <t xml:space="preserve">26.206161,89.659973</t>
  </si>
  <si>
    <t xml:space="preserve">আবুল হোসেন ০১৭৪৪৮৫৫৫৪০</t>
  </si>
  <si>
    <t xml:space="preserve">26.206711,89666191</t>
  </si>
  <si>
    <t xml:space="preserve">আঃ জলিল ০১৩৩২০১৫৭৬২</t>
  </si>
  <si>
    <t xml:space="preserve">26.205751,89.667340</t>
  </si>
  <si>
    <t xml:space="preserve">সাহাবুদ্দিন ০১৭৬০৩২৫০৩১</t>
  </si>
  <si>
    <t xml:space="preserve">26.218101,89.636046</t>
  </si>
  <si>
    <t xml:space="preserve">রফিকুল ০১৭৬০৩২৫০৩১</t>
  </si>
  <si>
    <t xml:space="preserve">গ্রাম : কাজিয়ার চর ইউনিয়ন : শিলখুড়ি উপজেলা: ভূরুঙ্গামারী জেলা : কুড়িগ্রাম</t>
  </si>
  <si>
    <t xml:space="preserve">26.219092,89.634068</t>
  </si>
  <si>
    <t xml:space="preserve">তোফাজ্জল ০১৭৫১৩৭৬৪৫১</t>
  </si>
  <si>
    <t xml:space="preserve">26.218975,89.637045</t>
  </si>
  <si>
    <t xml:space="preserve">জহুরা ০১৭৫৫২৫৫৫৯৮</t>
  </si>
  <si>
    <t xml:space="preserve">26.217164,89.641598</t>
  </si>
  <si>
    <t xml:space="preserve">সোনা মিয়া ০১৭৪৩৫৮২৩৩৯</t>
  </si>
  <si>
    <t xml:space="preserve">26.218749,89.637486</t>
  </si>
  <si>
    <t xml:space="preserve">ছমির ০১৭১৫৮০৬৩৩৩</t>
  </si>
  <si>
    <t xml:space="preserve">26.218436,89.637263</t>
  </si>
  <si>
    <t xml:space="preserve">জাহিদুল ০১৭৫১৪৪৫৫২৮</t>
  </si>
  <si>
    <t xml:space="preserve">26.219146,89.638071</t>
  </si>
  <si>
    <t xml:space="preserve">খলিল ০১৭৯২০৭৭৫১২</t>
  </si>
  <si>
    <t xml:space="preserve">গ্রাম : ইউনিয়ন : উপজেলা: ভূরুঙ্গামারী জেলা : কুড়িগ্রাম</t>
  </si>
  <si>
    <t xml:space="preserve">26.218776,89.632760</t>
  </si>
  <si>
    <t xml:space="preserve">আনিছুর ০১৭২৩৪৬৬৫২৫</t>
  </si>
  <si>
    <t xml:space="preserve">26.177638,89.672199</t>
  </si>
  <si>
    <t xml:space="preserve">নজরুল ০১৭৩৩৬৪৮৪৩১</t>
  </si>
  <si>
    <t xml:space="preserve">26.178482,89.672012</t>
  </si>
  <si>
    <t xml:space="preserve">জাহিদুল ০১৭৯১৮৭৩৪৯৬</t>
  </si>
  <si>
    <t xml:space="preserve">গ্রাম : উঃ তিলাই ইউনিয়ন : শিলখুড়ি উপজেলা: ভূরুঙ্গামারী জেলা : কুড়িগ্রাম</t>
  </si>
  <si>
    <t xml:space="preserve">26.185850,89.671675</t>
  </si>
  <si>
    <t xml:space="preserve">মুকুল ০১৭২৩৫৫৩১৬৭</t>
  </si>
  <si>
    <t xml:space="preserve">26.189071,89.661221</t>
  </si>
  <si>
    <t xml:space="preserve">আমিনুল ০১৭১৬৪৯৭৪০৯</t>
  </si>
  <si>
    <t xml:space="preserve">গ্রাম : সরকারপাড়া ইউনিয়ন : শিলখুড়ি উপজেলা: ভূরুঙ্গামারী জেলা : কুড়িগ্রাম</t>
  </si>
  <si>
    <t xml:space="preserve">26.187821,89.634350</t>
  </si>
  <si>
    <t xml:space="preserve">জুবায়েদ ০১৭২৩০৮৮৮১৮</t>
  </si>
  <si>
    <t xml:space="preserve">গ্রাম : কাটাগীড় ইউনিয়ন : শিলখুড়ি উপজেলা: ভূরুঙ্গামারী জেলা : কুড়িগ্রাম</t>
  </si>
  <si>
    <t xml:space="preserve">26.196425,89.644664</t>
  </si>
  <si>
    <t xml:space="preserve">আবু সাইদ ০১৭৭৩২৭১৫৬২</t>
  </si>
  <si>
    <t xml:space="preserve">গ্রাম : বটতলা ইউনিয়ন :শিলখুড়ি উপজেলা: ভূরুঙ্গামারী জেলা : কুড়িগ্রাম</t>
  </si>
  <si>
    <t xml:space="preserve">26.184905,89.660867</t>
  </si>
  <si>
    <t xml:space="preserve">মোন্নফা ০১৭২৩৫৯৪১৬১</t>
  </si>
  <si>
    <t xml:space="preserve">26.191285,89.661217</t>
  </si>
  <si>
    <t xml:space="preserve">নুরুল ০১৭১০৩৩৩০২১</t>
  </si>
  <si>
    <t xml:space="preserve">গ্রাম : ডাক্তারপাড়া ইউনিয়ন : শিলখুড়ি উপজেলা: ভূরুঙ্গামারী জেলা : কুড়িগ্রাম</t>
  </si>
  <si>
    <t xml:space="preserve">26.191693,89.672159</t>
  </si>
  <si>
    <t xml:space="preserve">কাদের আলী ০১৭১৪০৫০৫২</t>
  </si>
  <si>
    <t xml:space="preserve">26.182621,89.662923</t>
  </si>
  <si>
    <t xml:space="preserve">আতাউর ০১৭৩৭৫৪১৪৪২</t>
  </si>
  <si>
    <t xml:space="preserve">গ্রাম : দঃ ধলডাঙ্গা ইউনিয়ন :শিলখুড়ি উপজেলা: ভূরুঙ্গামারী জেলা : কুড়িগ্রাম</t>
  </si>
  <si>
    <t xml:space="preserve">26.186236,89.656968</t>
  </si>
  <si>
    <t xml:space="preserve">ইসমাইল ০১৭৪০১০৫৩১৪</t>
  </si>
  <si>
    <t xml:space="preserve">26.177642,89.677865</t>
  </si>
  <si>
    <t xml:space="preserve">সবুজ ০১৭১৭৯৯১৫৯৬</t>
  </si>
  <si>
    <t xml:space="preserve">গ্রাম : উঃ তিলাই ইউনিয়ন :শিলখুড়ি উপজেলা: ভূরুঙ্গামারী জেলা : কুড়িগ্রাম</t>
  </si>
  <si>
    <t xml:space="preserve">26.178961,89.678860</t>
  </si>
  <si>
    <t xml:space="preserve">আঃ রাজ্জাক ০১৭৩৬৩৫৯৭১৪</t>
  </si>
  <si>
    <t xml:space="preserve">26.181640,89.663241</t>
  </si>
  <si>
    <t xml:space="preserve">জাহাঙ্গীর ০১৭১৩৭৭৩৮১৪</t>
  </si>
  <si>
    <t xml:space="preserve">গ্রাম : দঃ ধলডাঙ্গা ইউনিয়ন : শিলখুড়ি উপজেলা: ভূরুঙ্গামারী জেলা : কুড়িগ্রাম</t>
  </si>
  <si>
    <t xml:space="preserve">26.170824,89.662867</t>
  </si>
  <si>
    <t xml:space="preserve">লুৎফর ০১৩১২৭১০৪২৪</t>
  </si>
  <si>
    <t xml:space="preserve">গ্রাম : উঃ ছাটগোপালপুর ইউনিয়ন : শিলখুড়ি উপজেলা: ভূরুঙ্গামারী জেলা : কুড়িগ্রাম</t>
  </si>
  <si>
    <t xml:space="preserve">26.171000,89,663695</t>
  </si>
  <si>
    <t xml:space="preserve">মোফাজ্জল ০১৭৫১৪৪৬৯২৫</t>
  </si>
  <si>
    <t xml:space="preserve">গ্রাম : উঃ ছাটগোপাপুর ইউনিয়ন : শিলখুড়ি উপজেলা: ভূরুঙ্গামারী জেলা : কুড়িগ্রাম</t>
  </si>
  <si>
    <t xml:space="preserve">26.171003,89666735</t>
  </si>
  <si>
    <t xml:space="preserve">জাবেদ আলী ০১৭৩৯১১৩২৩৩</t>
  </si>
  <si>
    <t xml:space="preserve">26.171831,89.663589</t>
  </si>
  <si>
    <t xml:space="preserve">হোসেন মুন্সী ০১৭৪৮০৬৪১৪২</t>
  </si>
  <si>
    <t xml:space="preserve">26.199636,89.643690</t>
  </si>
  <si>
    <t xml:space="preserve">ফজলুর ০১৭৪০৮৪০৩৬১</t>
  </si>
  <si>
    <t xml:space="preserve">26.178971,89.669941</t>
  </si>
  <si>
    <t xml:space="preserve">বাবলু ০১৩৪৪২৪৯০৯৭</t>
  </si>
  <si>
    <t xml:space="preserve">গ্রাম : উঃ ছাটগোপালপুর ইউনিয়ন :শিলখুড়ি উপজেলা: ভূরুঙ্গামারী জেলা : কুড়িগ্রাম</t>
  </si>
  <si>
    <t xml:space="preserve">26.188784,89.661717</t>
  </si>
  <si>
    <t xml:space="preserve">কাদের আলী ০১৭১৩৭৭৩৮১৪</t>
  </si>
  <si>
    <t xml:space="preserve">26.186167,89.679349</t>
  </si>
  <si>
    <t xml:space="preserve">আল আমিন ০১৭৯৩৯৭০৮৭৮</t>
  </si>
  <si>
    <t xml:space="preserve">গ্রাম : শিলখুড়ি ইউনিয়ন : শিলখুড়ি উপজেলা: ভূরুঙ্গামারী জেলা : কুড়িগ্রাম</t>
  </si>
  <si>
    <t xml:space="preserve">26.206821,89.660142</t>
  </si>
  <si>
    <t xml:space="preserve">জাহিদুল ০১৭৯১৩৩৫১৯৯</t>
  </si>
  <si>
    <t xml:space="preserve">গ্রাম : উঃ ধলডাঙ্গা ইউনিয়ন :শিলখুড়ি উপজেলা: ভূরুঙ্গামারী জেলা : কুড়িগ্রাম</t>
  </si>
  <si>
    <t xml:space="preserve">আবদুস সালাম ০১৭১৮৬১৫০৫৪</t>
  </si>
  <si>
    <t xml:space="preserve">গ্রাম :দঃ ছাটগোপালপুর ইউনিয়ন :তিলাই উপজেলা: ভূরুঙ্গামারী জেলা : কুড়িগ্রাম</t>
  </si>
  <si>
    <t xml:space="preserve">২৬.১৪৫৪৫৩,৮৯.৬৭০৩১১</t>
  </si>
  <si>
    <t xml:space="preserve">আমজাদ ০১৭৩৭৫৯২৫৮</t>
  </si>
  <si>
    <t xml:space="preserve">মোঃ জাহাঙ্গীর আলম, ০১৭৮০৫৩৮২৮৪</t>
  </si>
  <si>
    <t xml:space="preserve">গ্রাম : দঃ ছাটগোপালপুর ইউনিয়ন : তিলাই উপজেলা: ভূরুঙ্গামারী জেলা : কুড়িগ্রাম</t>
  </si>
  <si>
    <t xml:space="preserve">রোজিনা ০১৭৭৪৩৮৭৩৯৬</t>
  </si>
  <si>
    <t xml:space="preserve">আশরাফুল ০১৭১৭০১৪৯৯৬</t>
  </si>
  <si>
    <t xml:space="preserve">২৬,১৪৫৩৯৬,৮৯.৬৬৩৮৯৬</t>
  </si>
  <si>
    <t xml:space="preserve">গোলাম মোস্তফা ০১৭৬৭১১৯৩১৯</t>
  </si>
  <si>
    <t xml:space="preserve">শহিদুল ০১৭৬২৫২৬৫৫৯</t>
  </si>
  <si>
    <t xml:space="preserve">২৬.১৪৭২৭৩,৮৯.৬৭৫৩৫</t>
  </si>
  <si>
    <t xml:space="preserve">সেলিনা খাতুন</t>
  </si>
  <si>
    <t xml:space="preserve">গোলাম মোস্তফা ০১৭৬৭৩৩২৪০৬</t>
  </si>
  <si>
    <t xml:space="preserve">আছর ০১৭৩৬০৬৪৯৮১</t>
  </si>
  <si>
    <t xml:space="preserve">২৬.১৪৭১৪৬,৮৯.৬৬৪০৫১</t>
  </si>
  <si>
    <t xml:space="preserve">খোকন ০১৭৩৮৪৩৪৩৪৫</t>
  </si>
  <si>
    <t xml:space="preserve">২৬.১৪৪৫৯০,৮৯.৬৬৩০৯১</t>
  </si>
  <si>
    <t xml:space="preserve">হাজেরা ০১৩৩৩৮৬৮৩৩১</t>
  </si>
  <si>
    <t xml:space="preserve">২৬.১৪৭৮২৯,৮৯.৬৭২৮৬৬</t>
  </si>
  <si>
    <t xml:space="preserve">রফিকুল ০১৭০৯০৫৩৮০২</t>
  </si>
  <si>
    <t xml:space="preserve">২৬.১৪৫৩২৮,৮৯.৬৬৫৬১১</t>
  </si>
  <si>
    <t xml:space="preserve">আরিফুল ০১৭৬১৭৬০১৬৫</t>
  </si>
  <si>
    <t xml:space="preserve">আমিনুর ০১৭৮৭৭৮৪১২৯</t>
  </si>
  <si>
    <t xml:space="preserve">মনোয়ারা ০১৭৬১৬৬১৫০৬</t>
  </si>
  <si>
    <t xml:space="preserve">২৬.১৪৫১৪৪,৮৯.৬৬১৩৫১</t>
  </si>
  <si>
    <t xml:space="preserve">লোকমান ০১৭৬২৭৭২৪৫০</t>
  </si>
  <si>
    <t xml:space="preserve">মোশারফ ০১৭৪৭২৮৩৯৩৯</t>
  </si>
  <si>
    <t xml:space="preserve">শাহিন ০১৭২৯১০৫৭১৭</t>
  </si>
  <si>
    <t xml:space="preserve">২৬.১৪৫৫৮৪,৮৯.৬৬৬০৩৬</t>
  </si>
  <si>
    <t xml:space="preserve">গোলাম মোস্তফা ০১৭১৪৯৬৪৬৬৮</t>
  </si>
  <si>
    <t xml:space="preserve">২৬.১৪৪৫৪৪,৮৯.৬৬৫২১২</t>
  </si>
  <si>
    <t xml:space="preserve">আতোয়ার ০১৩০৭৩৩৭৫৪৮</t>
  </si>
  <si>
    <t xml:space="preserve">২৬.১৪৫৭৪১,৮৯.৬৭০৩৬২</t>
  </si>
  <si>
    <t xml:space="preserve">বাবলু ০১৭৬৪৮১৭৪০২</t>
  </si>
  <si>
    <t xml:space="preserve">২৬.১৪৫৫৮৫,৮৯.৬৬৭৬৪১</t>
  </si>
  <si>
    <t xml:space="preserve">আবুল কালাম ০১৭৩৮৩৭২৭৯৪</t>
  </si>
  <si>
    <t xml:space="preserve">গ্রাম : পঃ ছাটগোপালপুর ইউনিয়ন : তিলাই উপজেলা: ভূরুঙ্গামারী জেলা : কুড়িগ্রাম</t>
  </si>
  <si>
    <t xml:space="preserve">সোহরাব ০১৭৬২৯৫৮৪৭০</t>
  </si>
  <si>
    <t xml:space="preserve">২৬.১৪০৫৭০,৮৯,৬৬১৬৮৪</t>
  </si>
  <si>
    <t xml:space="preserve">আফছার ০১৭১৩৭১৪২০২</t>
  </si>
  <si>
    <t xml:space="preserve">২৬.১৫২৬৩১,৮৯.৬৫৫৯৪৯</t>
  </si>
  <si>
    <t xml:space="preserve">আনিছুর ০১৭৪০১৬৫৬৫৫</t>
  </si>
  <si>
    <t xml:space="preserve">২৬.১৩৮৭১৪,৮৯.৬৫৫০৮০</t>
  </si>
  <si>
    <t xml:space="preserve">গোলাম মোস্তফা ০১৭২৯০৮১৭১৭</t>
  </si>
  <si>
    <t xml:space="preserve">২৬.১৪৭২৪৮,৮৯.৬৩৯৫২৫</t>
  </si>
  <si>
    <t xml:space="preserve">কফিল ০১৭২৭৯৮৮৭৯৬</t>
  </si>
  <si>
    <t xml:space="preserve">২৬.১৪১৫১৭৮,৮৯.৬৬৭৮৯২</t>
  </si>
  <si>
    <t xml:space="preserve">রিপা খাতুন ০১৭৮০৬৬৪৮৬৮</t>
  </si>
  <si>
    <t xml:space="preserve">২৬.১৪৪৫৯০,৮৯.৬৬৩০৯৬</t>
  </si>
  <si>
    <t xml:space="preserve">তফের ০১৭৪৩৯৮৪০১২</t>
  </si>
  <si>
    <t xml:space="preserve">২৬.১৪৫৫৪৩,৮৯.৬৬৪৯৯২</t>
  </si>
  <si>
    <t xml:space="preserve">রেজিয়া ০১৩২৪০৩৬৪৭৪</t>
  </si>
  <si>
    <t xml:space="preserve">২৬.১৪৫২০১,৮৯.৬৬৬১৬৮</t>
  </si>
  <si>
    <t xml:space="preserve">ছকির ০১৭১৫৮০৬৩৩৩</t>
  </si>
  <si>
    <t xml:space="preserve">২৬.১৪৬৮২৫,৮৯.৬৭২৪৫৭</t>
  </si>
  <si>
    <t xml:space="preserve">চান মিয়া ০১৭১৫৮০৬৩৩৩</t>
  </si>
  <si>
    <t xml:space="preserve">২৬.১৫৩৮৩৬,৮৯.৬৫৪১২৩</t>
  </si>
  <si>
    <t xml:space="preserve">শেখ কামাল ০১৭৯১৭৬১৫১৬</t>
  </si>
  <si>
    <t xml:space="preserve">২৬.১৪৩৩৪৮,৮৯.৬৫৯০৯৫</t>
  </si>
  <si>
    <t xml:space="preserve">সাদ্দাম ০১৩১৩২৮৮৭৯৯</t>
  </si>
  <si>
    <t xml:space="preserve">২৬.১৫২৭০০,৮৯.৬৬৬৯৭১</t>
  </si>
  <si>
    <t xml:space="preserve">সালমা ০১৭২৮০৫২৬০৬</t>
  </si>
  <si>
    <t xml:space="preserve">২৬.১৪৫৩৬৮,৮৯.৬৬৬১৮১</t>
  </si>
  <si>
    <t xml:space="preserve">আঃ রহিম ০১৭২৮০৫২৬০৬</t>
  </si>
  <si>
    <t xml:space="preserve">২৬.১৪২৮১২,৮৯.৬৫৮১৬৩</t>
  </si>
  <si>
    <t xml:space="preserve">নুরুন্নাহার ০১৭৭৩৬৪১২৭৮</t>
  </si>
  <si>
    <t xml:space="preserve">২৬.১৪২৭৯৩,৮৯.৬৫৮২২১</t>
  </si>
  <si>
    <t xml:space="preserve">লাভলী ০১৭৩৫১৪০৩৫০</t>
  </si>
  <si>
    <t xml:space="preserve">২৬.১৪২৮৮৫,৮৯.৬৫৭৯৩০</t>
  </si>
  <si>
    <t xml:space="preserve">আল্পনা ০১৭২৮২৬৬৮৫০</t>
  </si>
  <si>
    <t xml:space="preserve">২৬.১৪৩৩৪৮,৮৯.৬৫৯০৯</t>
  </si>
  <si>
    <t xml:space="preserve">আয়নাল ০১৭০৬৮৫৫৬৯৯</t>
  </si>
  <si>
    <t xml:space="preserve">আছমা ০১৭৫২২৬৫৭৮১</t>
  </si>
  <si>
    <t xml:space="preserve">গ্রাম : বেলদহ ইউনিয়ন : পাইকেরছড়া উপজেলা: ভূরুঙ্গামারী জেলা : কুড়িগ্রাম</t>
  </si>
  <si>
    <t xml:space="preserve">বেলদহ মুসললী পাড়া মসজিদ</t>
  </si>
  <si>
    <t xml:space="preserve">মোঃ শাহানুর আলম, ০১৭৩৭০৮৪৯০৯</t>
  </si>
  <si>
    <t xml:space="preserve">গ্রাম : গছিডাঙ্গা ইউনিয়ন : পাইকেরছড়া উপজেলা: ভূরুঙ্গামারী জেলা : কুড়িগ্রাম</t>
  </si>
  <si>
    <t xml:space="preserve">গছিডাঙ্গা জামে মসজিদ</t>
  </si>
  <si>
    <t xml:space="preserve">গ্রাম : কালিরহাট ইউনিয়ন :পাইকেরছড়া উপজেলা: ভূরুঙ্গামারী জেলা : কুড়িগ্রাম</t>
  </si>
  <si>
    <t xml:space="preserve">গ্রাম : পাইকেরছড়া ইউনিয়ন : পাইকেরছড়া উপজেলা: ভূরুঙ্গামারী জেলা : কুড়িগ্রাম</t>
  </si>
  <si>
    <t xml:space="preserve">পাইকেরছড়া জামে মসজিদ</t>
  </si>
  <si>
    <t xml:space="preserve">মোঃ রাফসানুরজামান, ০১৭৫০৫১৮২৩৭</t>
  </si>
  <si>
    <t xml:space="preserve">গ্রাম : কচুবাড়ি ইউনিয়ন : পাইকেরছড়া উপজেলা: ভূরুঙ্গামারী জেলা : কুড়িগ্রাম</t>
  </si>
  <si>
    <t xml:space="preserve">কাজিমুদ্দিন মন্ডল জামে মসজিদ</t>
  </si>
  <si>
    <t xml:space="preserve">গ্রাম : ময়নাতলা ইউনিয়ন : পাইকেরছড়া উপজেলা: ভূরুঙ্গামারী জেলা : কুড়িগ্রাম</t>
  </si>
  <si>
    <t xml:space="preserve">পুকুর পাড়া জামে মসজিদ</t>
  </si>
  <si>
    <t xml:space="preserve">গ্রাম : ছিটপাইকেরছড়া ইউনিয়ন : পাইকেরছড়া উপজেলা: ভূরুঙ্গামারী জেলা : কুড়িগ্রাম</t>
  </si>
  <si>
    <t xml:space="preserve">কঢ়ুবাড়ি জামে মসজিদ</t>
  </si>
  <si>
    <t xml:space="preserve">মোঃ দুলাল মিয়া</t>
  </si>
  <si>
    <t xml:space="preserve">মোঃ মোছাদ্দেকুর হোসেন</t>
  </si>
  <si>
    <t xml:space="preserve">মোঃ জাকির হোসেন</t>
  </si>
  <si>
    <t xml:space="preserve">মোছাঃ ছুফিয়া বেগম</t>
  </si>
  <si>
    <t xml:space="preserve">মোঃ রহমত আলী</t>
  </si>
  <si>
    <t xml:space="preserve">মোছাঃ হাসনা ভানু</t>
  </si>
  <si>
    <t xml:space="preserve">মোঃ ইব্রাহিম আলী</t>
  </si>
  <si>
    <t xml:space="preserve">মোঃ আঃ হাই</t>
  </si>
  <si>
    <t xml:space="preserve">মোঃ আঃ হামিদ সরকার</t>
  </si>
  <si>
    <t xml:space="preserve">মোঃ হাবিল</t>
  </si>
  <si>
    <t xml:space="preserve">মোছাঃ রাহেলা বেগম</t>
  </si>
  <si>
    <t xml:space="preserve">মোছাঃ আন</t>
  </si>
  <si>
    <t xml:space="preserve">মোঃ ফজর আলী</t>
  </si>
  <si>
    <t xml:space="preserve">মোঃ রফিকুল ইসলাম</t>
  </si>
  <si>
    <t xml:space="preserve">মোঃ আবু হোসেন</t>
  </si>
  <si>
    <t xml:space="preserve">আহসান হাবিব</t>
  </si>
  <si>
    <t xml:space="preserve">নুর আমিন</t>
  </si>
  <si>
    <t xml:space="preserve">লিটন শেখ</t>
  </si>
  <si>
    <t xml:space="preserve">আল্পনা খাতুন</t>
  </si>
  <si>
    <t xml:space="preserve">শফিকুল ইসলাম</t>
  </si>
  <si>
    <t xml:space="preserve">মুক্তা পারভীন</t>
  </si>
  <si>
    <t xml:space="preserve">খালেদা বেগম</t>
  </si>
  <si>
    <t xml:space="preserve">শাহআলম</t>
  </si>
  <si>
    <t xml:space="preserve">সুফ্ফাতুল</t>
  </si>
  <si>
    <t xml:space="preserve">নদীর পাড় মাদ্রসা</t>
  </si>
  <si>
    <t xml:space="preserve">প্রামানিক পাড়া জামে মসজিদ</t>
  </si>
  <si>
    <t xml:space="preserve">ছিটপাইকেরছড়া জামে মসজিদ</t>
  </si>
  <si>
    <t xml:space="preserve">খামার বেলদহ হাফিজিয়া মাদ্রসা</t>
  </si>
  <si>
    <t xml:space="preserve">গ্রাম : দেয়ানের খামার ইউনিয়ন : ভূরুঙ্গামারী উপজেলা: ভূরুঙ্গামারী জেলা : কুড়িগ্রাম</t>
  </si>
  <si>
    <t xml:space="preserve">26.108315,89.666722</t>
  </si>
  <si>
    <t xml:space="preserve">আজিজুল ০১৭১২৫১১৭৪৩</t>
  </si>
  <si>
    <t xml:space="preserve">মোছাঃ আয়শা আক্তার, ০১৭৪০১৪১১৩১</t>
  </si>
  <si>
    <t xml:space="preserve">26.109614,89.665537</t>
  </si>
  <si>
    <t xml:space="preserve">তাইফুর ০১৭১০৮৬৯৭০৪</t>
  </si>
  <si>
    <t xml:space="preserve">26.107289,89.665915</t>
  </si>
  <si>
    <t xml:space="preserve">জসিমউদ্দিন ০১৭৬৬১৭৮৯১</t>
  </si>
  <si>
    <t xml:space="preserve">26.109431,89.665972</t>
  </si>
  <si>
    <t xml:space="preserve">হবিবর রহমান ০১৭২৮৬১৬২১৬</t>
  </si>
  <si>
    <t xml:space="preserve">26.109309,89.665853</t>
  </si>
  <si>
    <t xml:space="preserve">আঃ সোবাহান ০১৭০৬৮১২৮৬৯</t>
  </si>
  <si>
    <t xml:space="preserve">26.113133,89.661859</t>
  </si>
  <si>
    <t xml:space="preserve">ভুরুঙ্গামারী ইউপি. ০১৭৩৮১৪৫৬০৪</t>
  </si>
  <si>
    <t xml:space="preserve">গ্রাম : নলেয়া ইউনিয়ন : ভূরুঙ্গামারী উপজেলা: ভূরুঙ্গামারী জেলা : কুড়িগ্রাম</t>
  </si>
  <si>
    <t xml:space="preserve">26.118737,89.666851</t>
  </si>
  <si>
    <t xml:space="preserve">এস এম নাছিমুল ০১৭৩৪৬৮৫৩৮৩</t>
  </si>
  <si>
    <t xml:space="preserve">মোঃ মঞ্জুরুল ইসলাম, ০১৭১৭৮১৩১৩৮</t>
  </si>
  <si>
    <t xml:space="preserve">গ্রাম : কামাত আঙ্গারীয়া ইউনিয়ন :ভূরুঙ্গামারী উপজেলা: ভূরুঙ্গামারী জেলা : কুড়িগ্রাম</t>
  </si>
  <si>
    <t xml:space="preserve">26.118638,89.667125</t>
  </si>
  <si>
    <t xml:space="preserve">সাইদুল ০১৭৯৪৮০৬৮০৯</t>
  </si>
  <si>
    <t xml:space="preserve">26.124605,89.668049</t>
  </si>
  <si>
    <t xml:space="preserve">মমিনুর ০১৭৭৩৮৯৬৯৭২</t>
  </si>
  <si>
    <t xml:space="preserve">26.113924,89.671764</t>
  </si>
  <si>
    <t xml:space="preserve">রাজিয়া ০১৭৫১০৮৬৯৪৪</t>
  </si>
  <si>
    <t xml:space="preserve">গ্রাম : মানিক কাজি ইউনিয়ন :ভূরুঙ্গামারী উপজেলা: ভূরুঙ্গামারী জেলা : কুড়িগ্রাম</t>
  </si>
  <si>
    <t xml:space="preserve">26.105448,89.637728</t>
  </si>
  <si>
    <t xml:space="preserve">সামছুল ০১৭২৪১৩৯০০৯</t>
  </si>
  <si>
    <t xml:space="preserve">26.102004,89.646400</t>
  </si>
  <si>
    <t xml:space="preserve">লিটন শেখ ০১৭৫৯৩০৩৮০২</t>
  </si>
  <si>
    <t xml:space="preserve">গ্রাম : মানিক কাজি ইউনিয়ন : ভূরুঙ্গামারী উপজেলা: ভূরুঙ্গামারী জেলা : কুড়িগ্রাম</t>
  </si>
  <si>
    <t xml:space="preserve">26.10787589.634240</t>
  </si>
  <si>
    <t xml:space="preserve">নজরুল ০১৭১০০৫১৮০১</t>
  </si>
  <si>
    <t xml:space="preserve">26.105010,89.649383</t>
  </si>
  <si>
    <t xml:space="preserve">সোনাতলী সঃপা্রঃ ০১৭১০৮৬৯৭০৪</t>
  </si>
  <si>
    <t xml:space="preserve">26.104534,89.640858</t>
  </si>
  <si>
    <t xml:space="preserve">মানিক কাজী সঃ প্রাঃ ০১৭২৭৯৮৮৭৯৬</t>
  </si>
  <si>
    <t xml:space="preserve">26.102453,89.646251</t>
  </si>
  <si>
    <t xml:space="preserve">ঘাটপাড় মাদ্রসা ০১৭৫১২২০৯২৪</t>
  </si>
  <si>
    <t xml:space="preserve">26.115145,89.669414</t>
  </si>
  <si>
    <t xml:space="preserve">ভ‚ঃমারী মডেল ০১৭১৯৪৬৪৩০৬</t>
  </si>
  <si>
    <t xml:space="preserve">26.130777,89.668174</t>
  </si>
  <si>
    <t xml:space="preserve">সাইফুর ০১৭১২৩৮৬৬৭১</t>
  </si>
  <si>
    <t xml:space="preserve">26.106954,89.670997</t>
  </si>
  <si>
    <t xml:space="preserve">রিপন ০১৭৪৪৬৫২৫০০</t>
  </si>
  <si>
    <t xml:space="preserve">26.106088,89.668238</t>
  </si>
  <si>
    <t xml:space="preserve">মোজাম্মেল ০১৭২৪৫১২৩৭</t>
  </si>
  <si>
    <t xml:space="preserve">26.106174,89.667745</t>
  </si>
  <si>
    <t xml:space="preserve">আঃ হাই ০১৭৩৯২৬৫২১৪</t>
  </si>
  <si>
    <t xml:space="preserve">26.107866,89633819</t>
  </si>
  <si>
    <t xml:space="preserve">ইসাহাক ০১৭২১৬৩১৮৫৮</t>
  </si>
  <si>
    <t xml:space="preserve">26.113083,89.661790</t>
  </si>
  <si>
    <t xml:space="preserve">আঃ মোতালেব ০১৭৩০১৭৪৪৪৮</t>
  </si>
  <si>
    <t xml:space="preserve">26.107148,89.671278</t>
  </si>
  <si>
    <t xml:space="preserve">এরশাদ ০১৭১৭৫২৩৭৭৪</t>
  </si>
  <si>
    <t xml:space="preserve">গ্রাম : ভোটহাট ইউনিয়ন : ভূরুঙ্গামারী উপজেলা: ভূরুঙ্গামারী জেলা : কুড়িগ্রাম</t>
  </si>
  <si>
    <t xml:space="preserve">26.119030,89.659768</t>
  </si>
  <si>
    <t xml:space="preserve">সোহরাফ ০১৭২২০৯০২৬৬</t>
  </si>
  <si>
    <t xml:space="preserve">26.117375,89.647094</t>
  </si>
  <si>
    <t xml:space="preserve">শহিদুল ০১৭১০২৬৫২২৪</t>
  </si>
  <si>
    <t xml:space="preserve">26.118991,89.659623</t>
  </si>
  <si>
    <t xml:space="preserve">আঃ লতিফ ০১৭৩৮২৩৭৯১৯</t>
  </si>
  <si>
    <t xml:space="preserve">গ্রাম : বাগভান্ডার ইউনিয়ন : ভূরুঙ্গামারী উপজেলা: ভূরুঙ্গামারী জেলা : কুড়িগ্রাম</t>
  </si>
  <si>
    <t xml:space="preserve">26.096237,89.669064</t>
  </si>
  <si>
    <t xml:space="preserve">রিপন ০১৭৩০৩৫৮১৮৭৫</t>
  </si>
  <si>
    <t xml:space="preserve">26.10563989.650074</t>
  </si>
  <si>
    <t xml:space="preserve">নাজমা ০১৭৪১৬৫৯৯১১</t>
  </si>
  <si>
    <t xml:space="preserve">26.115720,89.650731</t>
  </si>
  <si>
    <t xml:space="preserve">রাশেদা পারভীন ০১৭৩৮০২৩৩১৫</t>
  </si>
  <si>
    <t xml:space="preserve">26.116072,89.669893</t>
  </si>
  <si>
    <t xml:space="preserve">রেজিয়া ০১৭৩৬০০০৬৮৫</t>
  </si>
  <si>
    <t xml:space="preserve">26.116007,89.669134</t>
  </si>
  <si>
    <t xml:space="preserve">বাবুল ০১৭৫০৭৬৯৩৪৫</t>
  </si>
  <si>
    <t xml:space="preserve">26.116641,89667985</t>
  </si>
  <si>
    <t xml:space="preserve">শাহদৎ ০১৭৪০১৫১৯২৫</t>
  </si>
  <si>
    <t xml:space="preserve">গ্রাম : সোনাতলী ইউনিয়ন : ভূরুঙ্গামারী উপজেলা: ভূরুঙ্গামারী জেলা : কুড়িগ্রাম</t>
  </si>
  <si>
    <t xml:space="preserve">26.115830,89.667856</t>
  </si>
  <si>
    <t xml:space="preserve">রিনা ০১৭৩৭৬১৯৯৩৭</t>
  </si>
  <si>
    <t xml:space="preserve">26.119704,89.668650</t>
  </si>
  <si>
    <t xml:space="preserve">লাইলী ০১৩৪৫৮৮৭০৪০</t>
  </si>
  <si>
    <t xml:space="preserve">26.119693,89.668273</t>
  </si>
  <si>
    <t xml:space="preserve">আমিনুর ০১৭৪৮৪৯১৫১৯</t>
  </si>
  <si>
    <t xml:space="preserve">26.120335,89337791</t>
  </si>
  <si>
    <t xml:space="preserve">জুয়েল ০১৭৫০৭৩০৫৮৯</t>
  </si>
  <si>
    <t xml:space="preserve">26.121098,89.671589</t>
  </si>
  <si>
    <t xml:space="preserve">রফিকা ০১৭৪৬০৪৮১১</t>
  </si>
  <si>
    <t xml:space="preserve">26.124876,89669801</t>
  </si>
  <si>
    <t xml:space="preserve">মকবুল ০১৭৯৯৯১৫৫৭৯</t>
  </si>
  <si>
    <t xml:space="preserve">গ্রাম : ছোটখাটামারী ইউনিয়ন : জয়মনিরহাট উপজেলা: ভূরুঙ্গামারী জেলা : কুড়িগ্রাম</t>
  </si>
  <si>
    <t xml:space="preserve">আঃ জলিল ০১৭২২৪৫৯৪৮২</t>
  </si>
  <si>
    <t xml:space="preserve">মোঃ শহিদুল ইসলাম, ০১৭৩৭৪৫৮৪৬৪</t>
  </si>
  <si>
    <t xml:space="preserve">আঃ মজিদ ০১৭৪৮৬৮৯২৯১</t>
  </si>
  <si>
    <t xml:space="preserve">রাশেদা বেগম ০১৭৪০৮৬৩৭৭৬</t>
  </si>
  <si>
    <t xml:space="preserve">আশেক ০১১৭০১৫৬৬৬১৭</t>
  </si>
  <si>
    <t xml:space="preserve">মঞ্জুরুল ০১৭১২৩৪৫২৭২</t>
  </si>
  <si>
    <t xml:space="preserve">গ্রাম : বকুলতলী ইউনিয়ন : জয়মনিরহাট উপজেলা: ভূরুঙ্গামারী জেলা : কুড়িগ্রাম</t>
  </si>
  <si>
    <t xml:space="preserve">গোলাম মোস্তফা ০১৩০৪৭৬২২৯</t>
  </si>
  <si>
    <t xml:space="preserve">আমান ০১৯০৬৮৪৮৮৯৫</t>
  </si>
  <si>
    <t xml:space="preserve">গ্রাম : শিংঝাড় ইউনিয়ন: জয়মনিরহাট উপজেলা: ভূরুঙ্গামারী জেলা : কুড়িগ্রাম</t>
  </si>
  <si>
    <t xml:space="preserve">আমিনুর ০১৭৯৬৯১৪০৬৬</t>
  </si>
  <si>
    <t xml:space="preserve">গ্রাম : বড়খাটামারী ইউনিয়ন : জয়মনিরহাট উপজেলা: ভূরুঙ্গামারী জেলা : কুড়িগ্রাম</t>
  </si>
  <si>
    <t xml:space="preserve">নুরনবী ০১৭৬৭৫৬১৬৩৩</t>
  </si>
  <si>
    <t xml:space="preserve">রফিকুল ০১৭৩৮৪৫০০১৫</t>
  </si>
  <si>
    <t xml:space="preserve">গ্রাম : শিংঝাড় ইউনিয়ন : জয়মনিরহাট উপজেলা: ভূরুঙ্গামারী জেলা : কুড়িগ্রাম</t>
  </si>
  <si>
    <t xml:space="preserve">জাহাঙ্গীর আলম ০১৭৪১৭৯৯৭৫০</t>
  </si>
  <si>
    <t xml:space="preserve">গ্রাম ছোটখাটামারী ইউনিয়ন : জয়মনিরহাট উপজেলা: ভূরুঙ্গামারী জেলা : কুড়িগ্রাম</t>
  </si>
  <si>
    <t xml:space="preserve">সানজিদা ০১৭৯২৯৫০৮৯৫</t>
  </si>
  <si>
    <t xml:space="preserve">হারন অর রশিদ ০১৭৪৪৯৫৩৮২৪</t>
  </si>
  <si>
    <t xml:space="preserve">সাইফুর ০১৭৩৬৩৬৫০৫</t>
  </si>
  <si>
    <t xml:space="preserve">হাছেন আলী ০১৭৪০৯৫৪৯৯১</t>
  </si>
  <si>
    <t xml:space="preserve">বাবলু ০১৩১৯১০০৪৭৬</t>
  </si>
  <si>
    <t xml:space="preserve">স্বপন ০১৭৪০২৫১৪৫০</t>
  </si>
  <si>
    <t xml:space="preserve">গ্রাম : ছোটখাটামরী ইউনিয়ন : জয়মনিরহাট উপজেলা: ভূরুঙ্গামারী জেলা : কুড়িগ্রাম</t>
  </si>
  <si>
    <t xml:space="preserve">রাজমুল ০১৭৩১৪৮১৫৭৯</t>
  </si>
  <si>
    <t xml:space="preserve">রাশেদুজ্জামান ০১৯২৮০১৩৩০০</t>
  </si>
  <si>
    <t xml:space="preserve">নজরুল ০১৭১০৪৮৯০৬১</t>
  </si>
  <si>
    <t xml:space="preserve">ওসমান গনি ০১৭৯২৯৪২১৭৮</t>
  </si>
  <si>
    <t xml:space="preserve">শহিদুল ০১৭০৫৯১৫৮৭</t>
  </si>
  <si>
    <t xml:space="preserve">গ্রাম : বড়খাটামরী ইউনিয়ন : জয়মনিরহাট উপজেলা: ভূরুঙ্গামারী জেলা : কুড়িগ্রাম</t>
  </si>
  <si>
    <t xml:space="preserve">শহিদুল ০১৭০৫৯১৫০৮৭</t>
  </si>
  <si>
    <t xml:space="preserve">রুবেল ০১৭৫০৪১৮৩৫৯</t>
  </si>
  <si>
    <t xml:space="preserve">রোমন ০১৭৪০৯৯৮২৬০</t>
  </si>
  <si>
    <t xml:space="preserve">শাহিদা বেগম ০১৭০৬৪৪০৯৫২</t>
  </si>
  <si>
    <t xml:space="preserve">নাজমা বেগম ০১৯৯৮৪৮৫৮৭৭</t>
  </si>
  <si>
    <t xml:space="preserve">আনোয়ার ০১৭৩২৯৯০৮৪২</t>
  </si>
  <si>
    <t xml:space="preserve">আব্বাস ০১৭৮৩৬২৫১৯৯</t>
  </si>
  <si>
    <t xml:space="preserve">মতিয়ার ০১৭১৪৫৫০৯৬৬</t>
  </si>
  <si>
    <t xml:space="preserve">আবুল হোসেন ০১৭৬৯৩৪৬৭৬</t>
  </si>
  <si>
    <t xml:space="preserve">রইসুল ০১৩৩৮৪০৭৭৩৬</t>
  </si>
  <si>
    <t xml:space="preserve">সেলিনা ০১৭৬২৮৯০৪৫৮</t>
  </si>
  <si>
    <t xml:space="preserve">আঃ মজিদ ০১৭৯৯৯০৪১৯৫</t>
  </si>
  <si>
    <t xml:space="preserve">রুমি খাতুন ০১৮১৯২৪৭২১৬</t>
  </si>
  <si>
    <t xml:space="preserve">নাছির ০১৭৩৮১১৫৩২৬৫</t>
  </si>
  <si>
    <t xml:space="preserve">শাহানাজ ০১৭৩৮৭৬২৭০২</t>
  </si>
  <si>
    <t xml:space="preserve">বেগম খাতুন ০১৭৫৪১৭৫৭০৭</t>
  </si>
  <si>
    <t xml:space="preserve">মোমিনুর ০১৭৬০০৪৩৫৭৪</t>
  </si>
  <si>
    <t xml:space="preserve">খায়রুল ০১৭২৫৩৩৯৭২৬</t>
  </si>
  <si>
    <t xml:space="preserve">মমিন ০১৯৫৩০৬৩৭৪৭</t>
  </si>
  <si>
    <t xml:space="preserve">গ্রাম : আন্ধারীঝাড় ইউনিয়ন : আন্ধারীঝাড় উপজেলা: ভূরুঙ্গামারী জেলা : কুড়িগ্রাম</t>
  </si>
  <si>
    <t xml:space="preserve">26.055014,89.697703</t>
  </si>
  <si>
    <t xml:space="preserve">জহুরুল ০১৩২৪০৩৫৭৮৩</t>
  </si>
  <si>
    <t xml:space="preserve">মোঃ মাহমুদুল ইসলাম, ০১৭৪৩৬৩৭৫৬৯</t>
  </si>
  <si>
    <t xml:space="preserve">26.061230,89.684509</t>
  </si>
  <si>
    <t xml:space="preserve">এস এম আশরাফুল ০১৭১৮৮৭৬৯৫২</t>
  </si>
  <si>
    <t xml:space="preserve">26.076983,89.686825</t>
  </si>
  <si>
    <t xml:space="preserve">আমানউল্লাহ ০১৭২৭৭৭৪৮৬১</t>
  </si>
  <si>
    <t xml:space="preserve">26.075993,89.687404</t>
  </si>
  <si>
    <t xml:space="preserve">নিলুফা ০১৮৬৪৩৪১৭১৬৯</t>
  </si>
  <si>
    <t xml:space="preserve">26.077737,89.716013</t>
  </si>
  <si>
    <t xml:space="preserve">মোহাম্মদ ০১৭১৪০০৩৬১৬</t>
  </si>
  <si>
    <t xml:space="preserve">গ্রাম : ধাউরারকুটি ইউনিয়ন : আন্ধারীঝাড় উপজেলা: ভূরুঙ্গামারী জেলা : কুড়িগ্রাম</t>
  </si>
  <si>
    <t xml:space="preserve">26.071529,89.717242</t>
  </si>
  <si>
    <t xml:space="preserve">বাদশা ০১৭৫০৫৪৮৩৯৭</t>
  </si>
  <si>
    <t xml:space="preserve">26.050537,89.700816</t>
  </si>
  <si>
    <t xml:space="preserve">মমেনা ০১৭৬২৪৯৮৭০৪</t>
  </si>
  <si>
    <t xml:space="preserve">26.050560,89.700785</t>
  </si>
  <si>
    <t xml:space="preserve">আমজাদ ০১৭৪৫২২৮৮৮৫</t>
  </si>
  <si>
    <t xml:space="preserve">26.050575,89.700815</t>
  </si>
  <si>
    <t xml:space="preserve">আছর উদ্দিন ০১৮২০৮৫৮৪২৭</t>
  </si>
  <si>
    <t xml:space="preserve">26.050527,89.700790</t>
  </si>
  <si>
    <t xml:space="preserve">জোসনা ০১৭৩৮৮১৪৭৬৯</t>
  </si>
  <si>
    <t xml:space="preserve">26.050529,89.700735</t>
  </si>
  <si>
    <t xml:space="preserve">রেজিয়া ০১৭৭৩০৫৮২১৪</t>
  </si>
  <si>
    <t xml:space="preserve">গ্রাম :আন্ধারীঝাড় ইউনিয়ন : আন্ধারীঝাড় উপজেলা: ভূরুঙ্গামারী জেলা : কুড়িগ্রাম</t>
  </si>
  <si>
    <t xml:space="preserve">26.054599,89.687713</t>
  </si>
  <si>
    <t xml:space="preserve">আলমগীর ০১৭২৩৩৯৩৯৬৫</t>
  </si>
  <si>
    <t xml:space="preserve">26.054624,89.687711</t>
  </si>
  <si>
    <t xml:space="preserve">আঃ হামিদ ০১৭৪৮৫৬৮৭৬৪</t>
  </si>
  <si>
    <t xml:space="preserve">26.052974,89.687969</t>
  </si>
  <si>
    <t xml:space="preserve">এনায়েত ০১৭৩৭৫২৮৬৭০</t>
  </si>
  <si>
    <t xml:space="preserve">26.052858,89.688171</t>
  </si>
  <si>
    <t xml:space="preserve">সাইদুল ০১৭৭০৪০৮১৩০</t>
  </si>
  <si>
    <t xml:space="preserve">26.044980,89.713470</t>
  </si>
  <si>
    <t xml:space="preserve">ফরিদা ০১৭৮৮৭৬২৭২৬</t>
  </si>
  <si>
    <t xml:space="preserve">26.044937,89.713269</t>
  </si>
  <si>
    <t xml:space="preserve">জবাউদুল ০১৩০২৮৩৪৮৯৮</t>
  </si>
  <si>
    <t xml:space="preserve">26.044986,89.71334</t>
  </si>
  <si>
    <t xml:space="preserve">জামেলা ০১৭৩৭৫৪৯৭১৫</t>
  </si>
  <si>
    <t xml:space="preserve">26.045027,89.713277</t>
  </si>
  <si>
    <t xml:space="preserve">আমেনা ০১৭৫১০৫২৪৪৯১</t>
  </si>
  <si>
    <t xml:space="preserve">26.045005,89.713232</t>
  </si>
  <si>
    <t xml:space="preserve">ছালমা ০১৭০৬৭০৩৩৭৭</t>
  </si>
  <si>
    <t xml:space="preserve">26.044936,89.713326</t>
  </si>
  <si>
    <t xml:space="preserve">ছাবিয়া ০১৭৮৫০১৪৩৩৬</t>
  </si>
  <si>
    <t xml:space="preserve">26.044979,89.713258</t>
  </si>
  <si>
    <t xml:space="preserve">আছিয়া ০১৩০২৮৩৪৮৯৮</t>
  </si>
  <si>
    <t xml:space="preserve">26.044898,89.713189</t>
  </si>
  <si>
    <t xml:space="preserve">খোদেজ ০১৭৯২৯৬৯৯১৯</t>
  </si>
  <si>
    <t xml:space="preserve">26.044991,89.713149</t>
  </si>
  <si>
    <t xml:space="preserve">খালেদা ০১৭৬০৬৯১১৫১</t>
  </si>
  <si>
    <t xml:space="preserve">26.045006,89.713261</t>
  </si>
  <si>
    <t xml:space="preserve">কুলসুমা ০১৭৫৭১৬৩২৯১</t>
  </si>
  <si>
    <t xml:space="preserve">26.044989,89.713322</t>
  </si>
  <si>
    <t xml:space="preserve">সোবাহান ০১৭৯২৮৩৮৪০৪</t>
  </si>
  <si>
    <t xml:space="preserve">গ্রাম : হেলোডাঙ্গা ইউনিয়ন : আন্ধারীঝাড় উপজেলা: ভূরুঙ্গামারী জেলা : কুড়িগ্রাম</t>
  </si>
  <si>
    <t xml:space="preserve">26.066304,89.704724</t>
  </si>
  <si>
    <t xml:space="preserve">মোহাম্মদ ০১৭৬৭০৬০৭৬১</t>
  </si>
  <si>
    <t xml:space="preserve">26.066389,89.724426</t>
  </si>
  <si>
    <t xml:space="preserve">মাজেদা ০১৭৬৭০৬০৭৬১</t>
  </si>
  <si>
    <t xml:space="preserve">26.069807,89.725514</t>
  </si>
  <si>
    <t xml:space="preserve">আঃ কাদের ০১৭৯৪৯৭২৯২২</t>
  </si>
  <si>
    <t xml:space="preserve">26.066238,89.724561</t>
  </si>
  <si>
    <t xml:space="preserve">আনোয়ার ০১৭৯৪৯৭২৯২২</t>
  </si>
  <si>
    <t xml:space="preserve">26.066146,89.724528</t>
  </si>
  <si>
    <t xml:space="preserve">সুফিয়া ০১৭২১৯৭৯৩২৩</t>
  </si>
  <si>
    <t xml:space="preserve">গ্রাম : হেলোডাঙ্গা ইউনিয়ন : আ উপজেলা: ভূরুঙ্গামারী জেলা : কুড়িগ্রাম</t>
  </si>
  <si>
    <t xml:space="preserve">26.066558,89.724515</t>
  </si>
  <si>
    <t xml:space="preserve">জামেলা ০১৭০৭৭১০৯২৩</t>
  </si>
  <si>
    <t xml:space="preserve">26.066149,89.724796</t>
  </si>
  <si>
    <t xml:space="preserve">বোরহান আলী ০১৭০৭৭১০৯২৩</t>
  </si>
  <si>
    <t xml:space="preserve">26.066252,89.724820</t>
  </si>
  <si>
    <t xml:space="preserve">সেকেন্দা ০১৭৮৬৭৮১৮৪৩</t>
  </si>
  <si>
    <t xml:space="preserve">26.066329,89.724964</t>
  </si>
  <si>
    <t xml:space="preserve">কোব্বাত ০১৩১৯০২২০১৩</t>
  </si>
  <si>
    <t xml:space="preserve">26.066129,89.724800</t>
  </si>
  <si>
    <t xml:space="preserve">হাতেম ০১৭৮৮০৯৮৮২৮</t>
  </si>
  <si>
    <t xml:space="preserve">26.061572,89.684742</t>
  </si>
  <si>
    <t xml:space="preserve">রফিকুল ০১৭৫১৪৯৪৩৪৯</t>
  </si>
  <si>
    <t xml:space="preserve">26.066048,89.724571</t>
  </si>
  <si>
    <t xml:space="preserve">মনোরুল ০১৭৯৪০১০১৭৪</t>
  </si>
  <si>
    <t xml:space="preserve">26.066156,89.724531</t>
  </si>
  <si>
    <t xml:space="preserve">ইসমাইল ০১৭৪০১০৮৭১৬</t>
  </si>
  <si>
    <t xml:space="preserve">26.066178,89.724714</t>
  </si>
  <si>
    <t xml:space="preserve">আলম ০১৭৬১২৬৬৭৩৫</t>
  </si>
  <si>
    <t xml:space="preserve">26.071501,89.717263</t>
  </si>
  <si>
    <t xml:space="preserve">সাবিনা ০১৩৩৪০১৩৫৪৬</t>
  </si>
  <si>
    <t xml:space="preserve">গ্রাম : পশ্চিম কেদার ইউনিয়ন : বলদিয়া উপজেলা: ভূরুঙ্গামারী জেলা : কুড়িগ্রাম</t>
  </si>
  <si>
    <t xml:space="preserve">আঃ মান্নান ০১৭৯০২৮৮৫৫৯</t>
  </si>
  <si>
    <t xml:space="preserve">মোঃ মোস্তাফিজুর রহমান, ০১৭৩৯০১১৮৭৭</t>
  </si>
  <si>
    <t xml:space="preserve">নাজমুল ০১৩১৮০৭৬৬০৩</t>
  </si>
  <si>
    <t xml:space="preserve">আবু বক্কও সিদ্দিক ০১৭৫৫১৯২১৫৯</t>
  </si>
  <si>
    <t xml:space="preserve">গ্রাম : পূর্ব কেদার ইউনিয়ন : বলদিয়া উপজেলা: ভূরুঙ্গামারী জেলা : কুড়িগ্রাম</t>
  </si>
  <si>
    <t xml:space="preserve">আবু তাহের ০১৩০৪৬৬৭৫২৮</t>
  </si>
  <si>
    <t xml:space="preserve">গ্রাম : উঃ বলদিয়া ইউনিয়ন : বলদিয়া উপজেলা: ভূরুঙ্গামারী জেলা : কুড়িগ্রাম</t>
  </si>
  <si>
    <t xml:space="preserve">আশাদুজ্জামান ০১৭১৩৭৪৬৭৫৯</t>
  </si>
  <si>
    <t xml:space="preserve">গ্রাম : রাঙ্গালীরকুটি ইউনিয়ন : বলদিয়া উপজেলা: ভূরুঙ্গামারী জেলা : কুড়িগ্রাম</t>
  </si>
  <si>
    <t xml:space="preserve">নুর হোসেন ০১৭২২৮৬৬২৯০</t>
  </si>
  <si>
    <t xml:space="preserve">গ্রাম : মংলারকুটি ইউনিয়ন : বলদিয়া উপজেলা: ভূরুঙ্গামারী জেলা : কুড়িগ্রাম</t>
  </si>
  <si>
    <t xml:space="preserve">তারা মিয়া ০১৭৪৩৭৮২৬৭৮</t>
  </si>
  <si>
    <t xml:space="preserve">গ্রাম : রাঙ্গালিরকুটি ইউনিয়ন : বলদিয়া উপজেলা: ভূরুঙ্গামারী জেলা : কুড়িগ্রাম</t>
  </si>
  <si>
    <t xml:space="preserve">নুরুল ০১৭৬৩৩৯১৩৪৭</t>
  </si>
  <si>
    <t xml:space="preserve">গ্রাম : কেদার ইউনিয়ন : বলদিয়া উপজেলা: ভূরুঙ্গামারী জেলা : কুড়িগ্রাম</t>
  </si>
  <si>
    <t xml:space="preserve">রবিউল ০১৭৩৮০৭৯৪৯৪</t>
  </si>
  <si>
    <t xml:space="preserve">আবুল কালাম ০১৩১৩২৫৮৭০৫</t>
  </si>
  <si>
    <t xml:space="preserve">রুহুল ০১৭৫১৪০৫৪৩৮</t>
  </si>
  <si>
    <t xml:space="preserve">আশরাফুল ০১৭৫১১৫৯৭৭৭</t>
  </si>
  <si>
    <t xml:space="preserve">জিয়াউর ০১৭২৩২৫৭২৬২</t>
  </si>
  <si>
    <t xml:space="preserve">গ্রাম : কেদার ইউনিয়ন :বলদিয়া উপজেলা: ভূরুঙ্গামারী জেলা : কুড়িগ্রাম</t>
  </si>
  <si>
    <t xml:space="preserve">আইয়ুব ০১৭০৫৫৬১১৮৪</t>
  </si>
  <si>
    <t xml:space="preserve">গ্রাম : ছনবান্দা ইউনিয়ন : বলদিয়া উপজেলা: ভূরুঙ্গামারী জেলা : কুড়িগ্রাম</t>
  </si>
  <si>
    <t xml:space="preserve">আনোয়ার ০১৭৩৪৮৬৪৮০৯</t>
  </si>
  <si>
    <t xml:space="preserve">গ্রাম : পরশুরামেরকুটি ইউনিয়ন : বলদিয়া উপজেলা: ভূরুঙ্গামারী জেলা : কুড়িগ্রাম</t>
  </si>
  <si>
    <t xml:space="preserve">রফিকুল ০১৭৩৮৭৫৬৩৬৩</t>
  </si>
  <si>
    <t xml:space="preserve">জাফরুল ০১৭৮৮৯৭৮৮৫৫</t>
  </si>
  <si>
    <t xml:space="preserve">নুরুল ০১৭৪০৯১০২৯৫</t>
  </si>
  <si>
    <t xml:space="preserve">আলী জাফর ০১৭৩৪২৮৩৭৬৭</t>
  </si>
  <si>
    <t xml:space="preserve">আঃ বাতেন ০১৭৮৩২২৯৯০৬</t>
  </si>
  <si>
    <t xml:space="preserve">সোলায়মান ০১৭০৩৩৬৯৭৭৫</t>
  </si>
  <si>
    <t xml:space="preserve">আবু রাহাত ০১৭৩৩৪২৮৩০০</t>
  </si>
  <si>
    <t xml:space="preserve">জাহেদুল ০১৭৫৩৭৫৬১২০</t>
  </si>
  <si>
    <t xml:space="preserve">গ্রাম : পরশুরামেকুটি ইউনিয়ন : বলদিয়া উপজেলা: ভূরুঙ্গামারী জেলা : কুড়িগ্রাম</t>
  </si>
  <si>
    <t xml:space="preserve">লুৎফর ০১৭৩৭৫৭৮৮৬৮</t>
  </si>
  <si>
    <t xml:space="preserve">মতিয়ার ০১৭৫১০২৭৭৪৩</t>
  </si>
  <si>
    <t xml:space="preserve">আলতাফ ০১৭২২০৬৮৩৩০</t>
  </si>
  <si>
    <t xml:space="preserve">গ্রাম : বানিয়টারী ইউনিয়ন : বলদিয়া উপজেলা: ভূরুঙ্গামারী জেলা : কুড়িগ্রাম</t>
  </si>
  <si>
    <t xml:space="preserve">আবুল কালাম আজাদ ০১৭১৭৪৮০১৭০</t>
  </si>
  <si>
    <t xml:space="preserve">সাইফুর ০১৭৯২৭০৪১৮৮২</t>
  </si>
  <si>
    <t xml:space="preserve">আবু তৈয়ব ০১৭৩১৮০৭৬২১</t>
  </si>
  <si>
    <t xml:space="preserve">গ্রাম : সতীপুরী ইউনিয়ন : বলদিয়া উপজেলা: ভূরুঙ্গামারী জেলা : কুড়িগ্রাম</t>
  </si>
  <si>
    <t xml:space="preserve">মিজানুর ০১৭২৩১৫৬০৬৬</t>
  </si>
  <si>
    <t xml:space="preserve">আবু বক্কও সিদ্দিক ০১৭৫৫১৫৪৮৭৭</t>
  </si>
  <si>
    <t xml:space="preserve">দুলাল ০১৭৮৩৪০৬৮৩</t>
  </si>
  <si>
    <t xml:space="preserve">আঃ রহমান ০১৭৩৪৮৬৪৯৮৪</t>
  </si>
  <si>
    <t xml:space="preserve">গ্রাম : দঃ বলদিয়া ইউনিয়ন : বলদিয়া উপজেলা: ভূরুঙ্গামারী জেলা : কুড়িগ্রাম</t>
  </si>
  <si>
    <t xml:space="preserve">আরিফুল ০১৭১৭৮০৭৭৭৪</t>
  </si>
  <si>
    <t xml:space="preserve">আলতাফ ০১৭২৩৬৭৮১৮২</t>
  </si>
  <si>
    <t xml:space="preserve">মেহেদি ০১৩১৫১৫৭৯৯১</t>
  </si>
  <si>
    <t xml:space="preserve">সুজন ০১৭৯২৯৩৭৭০৩</t>
  </si>
  <si>
    <t xml:space="preserve">শুকুর আলী ০১৭৫৬৯৪৬৯৪৫</t>
  </si>
  <si>
    <t xml:space="preserve">শফিন ০১৩০৬১৬০০৫৮</t>
  </si>
  <si>
    <t xml:space="preserve">আমিনুল ০১৭১৮৮০৮৫৬৮</t>
  </si>
  <si>
    <t xml:space="preserve">হাফিজুল ০১৭৩৮৫৪০৯৮৫</t>
  </si>
  <si>
    <t xml:space="preserve">গ্রাম : ইসলামপুর ইউনিয়ন : চর ভূরুঙ্গামারী উপজেলা: ভূরুঙ্গামারী জেলা : কুড়িগ্রাম</t>
  </si>
  <si>
    <t xml:space="preserve">26.1352270,89.708482</t>
  </si>
  <si>
    <t xml:space="preserve">এমদাদুল ০১৭৪৩৪৫৩৫০০</t>
  </si>
  <si>
    <t xml:space="preserve">মোঃ নাজমুল আকন্দ, ০১৭৭৩৫৬২০৮৬</t>
  </si>
  <si>
    <t xml:space="preserve">26.133949,89.707894</t>
  </si>
  <si>
    <t xml:space="preserve">মিজানুর ০১৭৬৮৪৯৮২৮</t>
  </si>
  <si>
    <t xml:space="preserve">26.117435,89.694048</t>
  </si>
  <si>
    <t xml:space="preserve">রিক্তা ০১৭৯১৮৯০২৬৫</t>
  </si>
  <si>
    <t xml:space="preserve">26.117435,89.694835</t>
  </si>
  <si>
    <t xml:space="preserve">জোহুরা ০১৭৭৪২৪৮২২৪</t>
  </si>
  <si>
    <t xml:space="preserve">26.120361,89.691912</t>
  </si>
  <si>
    <t xml:space="preserve">মনিরুজ্জামান ০১৩১৮০৭০৯০৯</t>
  </si>
  <si>
    <t xml:space="preserve">26.115859,89.695318</t>
  </si>
  <si>
    <t xml:space="preserve">আলম মিয়া ০১৭৫০৬৪৭৪৬৮</t>
  </si>
  <si>
    <t xml:space="preserve">26.131029,89.725420</t>
  </si>
  <si>
    <t xml:space="preserve">দেলোয়ার ০১৭৬১৯৫৩৪৮১</t>
  </si>
  <si>
    <t xml:space="preserve">26.118387,89.692679</t>
  </si>
  <si>
    <t xml:space="preserve">হালিমা ০১৭১৬১৫২১২১</t>
  </si>
  <si>
    <t xml:space="preserve">26.115989,89.692700</t>
  </si>
  <si>
    <t xml:space="preserve">শাহ আলম ০১৭৪০১৫১৮৭৩</t>
  </si>
  <si>
    <t xml:space="preserve">26.141035,89.724469</t>
  </si>
  <si>
    <t xml:space="preserve">আসাদুল ০১৭১৭১১২৮৪৬</t>
  </si>
  <si>
    <t xml:space="preserve">গ্রাম : চর ভূরুঙ্গামারী ইউনিয়ন : চর ভূরুঙ্গামারী উপজেলা: ভূরুঙ্গামারী জেলা : কুড়িগ্রাম</t>
  </si>
  <si>
    <t xml:space="preserve">26.124648,89.733393</t>
  </si>
  <si>
    <t xml:space="preserve">আমিনুল ০১৭১৭৮৪৭১১০</t>
  </si>
  <si>
    <t xml:space="preserve">26.124244,89.740981</t>
  </si>
  <si>
    <t xml:space="preserve">হাবিবুর ০১৭৬৭০৮১১৮৬</t>
  </si>
  <si>
    <t xml:space="preserve">26.124841,89.736941</t>
  </si>
  <si>
    <t xml:space="preserve">শেখ আমজাদ ০১৭০৮০২১১৩২</t>
  </si>
  <si>
    <t xml:space="preserve">26.140748,89.730346</t>
  </si>
  <si>
    <t xml:space="preserve">আফসার ০১৭৮৪০৬৫২০৫</t>
  </si>
  <si>
    <t xml:space="preserve">26.140580,89.723773</t>
  </si>
  <si>
    <t xml:space="preserve">গিয়াস ০১৭৯৭৯৯২৬৫৬</t>
  </si>
  <si>
    <t xml:space="preserve">26.140887,89.723342</t>
  </si>
  <si>
    <t xml:space="preserve">খোকন ০১৭৫০৬১০৮৯১</t>
  </si>
  <si>
    <t xml:space="preserve">26.135466,89.723008</t>
  </si>
  <si>
    <t xml:space="preserve">রিয়াজুল ০১৭৭৩০৯০৮৬৩</t>
  </si>
  <si>
    <t xml:space="preserve">26.130476,89.741915</t>
  </si>
  <si>
    <t xml:space="preserve">ইসমাইল ০১৭৩৪০৬৫৬০</t>
  </si>
  <si>
    <t xml:space="preserve">26.130706,89.746020</t>
  </si>
  <si>
    <t xml:space="preserve">আঃ রশিদ সরকার ০১৭২২৯৪০৭৯২</t>
  </si>
  <si>
    <t xml:space="preserve">গ্রাম : আরাজিপাইকডাঙ্গা ইউনিয়ন : চর ভ‚রুঙ্গামার উপজেলা: ভূরুঙ্গামারী জেলা : কুড়িগ্রাম</t>
  </si>
  <si>
    <t xml:space="preserve">26.129342,89.747341</t>
  </si>
  <si>
    <t xml:space="preserve">রুপভান ০১৭৭৩৯৮৭২৫২</t>
  </si>
  <si>
    <t xml:space="preserve">গ্রাম : বহলগুড়ি ইউনিয়ন : চর ভ‚রুঙ্গামার উপজেলা: ভূরুঙ্গামারী জেলা : কুড়িগ্রাম</t>
  </si>
  <si>
    <t xml:space="preserve">26.155270,89.737305</t>
  </si>
  <si>
    <t xml:space="preserve">মাসুদ ০১৩২৫০৩০০৬৬</t>
  </si>
  <si>
    <t xml:space="preserve">26.155328,89.737190</t>
  </si>
  <si>
    <t xml:space="preserve">নার্জিনা ০১৭৬৭৩৮৮৮৯৯</t>
  </si>
  <si>
    <t xml:space="preserve">লোহানী শাহনেওয়াজ, ০১৭১৭০৯৩৭১১</t>
  </si>
  <si>
    <t xml:space="preserve">26.154826,89.736862</t>
  </si>
  <si>
    <t xml:space="preserve">তাজাহার ০১৯১৪৫৯৪৯৩০</t>
  </si>
  <si>
    <t xml:space="preserve">26.155063,89.737288</t>
  </si>
  <si>
    <t xml:space="preserve">জান্নাতুন ০১৭৩৮৪৯৮০১৫</t>
  </si>
  <si>
    <t xml:space="preserve">26.155963,89.782429</t>
  </si>
  <si>
    <t xml:space="preserve">জাহানারা ০১৭৯৭৫৫৭৮৬৭</t>
  </si>
  <si>
    <t xml:space="preserve">গ্রাম : খাসের গ্রাম ইউনিয়ন :চর ভ‚রুঙ্গামার উপজেলা: ভূরুঙ্গামারী জেলা : কুড়িগ্রাম</t>
  </si>
  <si>
    <t xml:space="preserve">26.155601,89.727984</t>
  </si>
  <si>
    <t xml:space="preserve">পারুল ০১৭১৭৪৮৭৯৪১</t>
  </si>
  <si>
    <t xml:space="preserve">26.132103,89.761408</t>
  </si>
  <si>
    <t xml:space="preserve">জাহিদুল ০১৭৬২৮০৭৭৯০</t>
  </si>
  <si>
    <t xml:space="preserve">26.136082,89.760979</t>
  </si>
  <si>
    <t xml:space="preserve">ওমর আলী ০১৭২৪৮৯৫৬৯১</t>
  </si>
  <si>
    <t xml:space="preserve">26.132899,89.762265</t>
  </si>
  <si>
    <t xml:space="preserve">তোয়ব ০১৭০৯০৯২৫৫১</t>
  </si>
  <si>
    <t xml:space="preserve">26.132868,89.762377</t>
  </si>
  <si>
    <t xml:space="preserve">ছাইদুল ০১৭৩৪০৩৫৫৬৮</t>
  </si>
  <si>
    <t xml:space="preserve">26.118971,89.757979</t>
  </si>
  <si>
    <t xml:space="preserve">মিন্টু ০১৭৪৭২৫৭৭২০</t>
  </si>
  <si>
    <t xml:space="preserve">26.118454,89.757119</t>
  </si>
  <si>
    <t xml:space="preserve">সহিদুল ০১৪৩১০০০৭১৯</t>
  </si>
  <si>
    <t xml:space="preserve">26.117809,89.756756</t>
  </si>
  <si>
    <t xml:space="preserve">গোলাপ ০১৭৭৪৪২২৬৩৯</t>
  </si>
  <si>
    <t xml:space="preserve">26.122228,89.756455</t>
  </si>
  <si>
    <t xml:space="preserve">গোলাম হোসে ০১৭৪৫৮৬৩৫১৪</t>
  </si>
  <si>
    <t xml:space="preserve">26.120987,89.758304</t>
  </si>
  <si>
    <t xml:space="preserve">আফরোজা ০১৭৩৮৪৯৫৫০৫</t>
  </si>
  <si>
    <t xml:space="preserve">26.118881,89.755675</t>
  </si>
  <si>
    <t xml:space="preserve">সাইদুল ০১৭২২৭৫১৮৯৫</t>
  </si>
  <si>
    <t xml:space="preserve">26.117176,89.755354</t>
  </si>
  <si>
    <t xml:space="preserve">আঃ ছোবাহান ০১৭৮৬৫১৯১০৪১</t>
  </si>
  <si>
    <t xml:space="preserve">26.126217,89.763028</t>
  </si>
  <si>
    <t xml:space="preserve">তুলি খাতুন ০১৭৩১০১৪০৯৮</t>
  </si>
  <si>
    <t xml:space="preserve">26.133975,89.761417</t>
  </si>
  <si>
    <t xml:space="preserve">বছির মিয়া ০১৭৩৯৫০৫৫৩৬</t>
  </si>
  <si>
    <t xml:space="preserve">26.126638,89.762542</t>
  </si>
  <si>
    <t xml:space="preserve">শরিফুল ০১৭১৭২৪৮৩৭</t>
  </si>
  <si>
    <t xml:space="preserve">গ্রাম : গনাইকুটি ইউনিয়ন : বঙ্গ সোনাহাট উপজেলা: ভূরুঙ্গামারী জেলা : কুড়িগ্রাম</t>
  </si>
  <si>
    <t xml:space="preserve">26.09567 1,89.7 28138</t>
  </si>
  <si>
    <t xml:space="preserve">রাসেল ০১৭৩৭৮৮৯৮১৫</t>
  </si>
  <si>
    <t xml:space="preserve">মোঃ হাবিবুর রহমান, ০১৭৮৩১১৬৯০৪</t>
  </si>
  <si>
    <t xml:space="preserve">গ্রাম : উঃ ভরতেরছড়া ইউনিয়ন :বঙ্গ সোনাহাট উপজেলা: ভূরুঙ্গামারী জেলা : কুড়িগ্রাম</t>
  </si>
  <si>
    <t xml:space="preserve">26.12 8888,89.755628</t>
  </si>
  <si>
    <t xml:space="preserve">ফারুক ০১৭২৩০৯৭১৯৭</t>
  </si>
  <si>
    <t xml:space="preserve">গ্রাম :বাজার পাড়া ইউনিয়ন : বঙ্গ সোনাহাট উপজেলা: ভূরুঙ্গামারী জেলা : কুড়িগ্রাম</t>
  </si>
  <si>
    <t xml:space="preserve">26.10 1519,89.759302</t>
  </si>
  <si>
    <t xml:space="preserve">মাইদুল ০১৭৩২১৩০৩০</t>
  </si>
  <si>
    <t xml:space="preserve">গ্রাম : ভরতেরছড়া ইউনিয়ন : বঙ্গ সোনাহাট উপজেলা: ভূরুঙ্গামারী জেলা : কুড়িগ্রাম</t>
  </si>
  <si>
    <t xml:space="preserve">26.09615 ,89.748321</t>
  </si>
  <si>
    <t xml:space="preserve">ছাইদুল ০১৮৫৩৩১৬১৫২</t>
  </si>
  <si>
    <t xml:space="preserve">গ্রাম : বাজারপাড়া ইউনিয়ন : বঙ্গ সোনাহাট উপজেলা: ভূরুঙ্গামারী জেলা : কুড়িগ্রাম</t>
  </si>
  <si>
    <t xml:space="preserve">26.103018,89.760 796</t>
  </si>
  <si>
    <t xml:space="preserve">আঃ রাজ্জাক ০১৭৪১৭০১৬৮৮</t>
  </si>
  <si>
    <t xml:space="preserve">26.101379,89.765236</t>
  </si>
  <si>
    <t xml:space="preserve">মিজানুর ০১৭৬৮২৮৮৫২১</t>
  </si>
  <si>
    <t xml:space="preserve">গ্রাম : বানুরকুটি ইউনিয়ন : বঙ্গ সোনাহাট উপজেলা: ভূরুঙ্গামারী জেলা : কুড়িগ্রাম</t>
  </si>
  <si>
    <t xml:space="preserve">26.103227,89.64217</t>
  </si>
  <si>
    <t xml:space="preserve">আঃ খালেক ০১৭৮৪৭৫৬৩৪৫</t>
  </si>
  <si>
    <t xml:space="preserve">26.10 3326,89.764142</t>
  </si>
  <si>
    <t xml:space="preserve">মমিন ০১৭৩২৫৪৬৩৭২</t>
  </si>
  <si>
    <t xml:space="preserve">26.1033 24,89.76 4595</t>
  </si>
  <si>
    <t xml:space="preserve">কালাম ০১৬০৫৮৭৩২২২</t>
  </si>
  <si>
    <t xml:space="preserve">26.1030 26,89.764324</t>
  </si>
  <si>
    <t xml:space="preserve">আহাম্মদ ০১৭৪৩৯০১৯২২</t>
  </si>
  <si>
    <t xml:space="preserve">26.111169,89.754133</t>
  </si>
  <si>
    <t xml:space="preserve">সফিকুল ০১৩০৬১৬০১৩০</t>
  </si>
  <si>
    <t xml:space="preserve">26.100983,89.755166</t>
  </si>
  <si>
    <t xml:space="preserve">রনজিত ০১৮১৫৩০৭১৬৫</t>
  </si>
  <si>
    <t xml:space="preserve">গ্রাম : দঃ ভরতেরছড়া ইউনিয়ন :বঙ্গ সোনাহাট উপজেলা: ভূরুঙ্গামারী জেলা : কুড়িগ্রাম</t>
  </si>
  <si>
    <t xml:space="preserve">26.131372,89.752697</t>
  </si>
  <si>
    <t xml:space="preserve">রাহিমুল ০১৭৪০৫৪৬৯৮১</t>
  </si>
  <si>
    <t xml:space="preserve">গ্রাম : উঃ ভরতেরছড়া ইউনিয়ন : বঙ্গ সোনাহাট উপজেলা: ভূরুঙ্গামারী জেলা : কুড়িগ্রাম</t>
  </si>
  <si>
    <t xml:space="preserve">রুহুল ০১৭১৩৭৮৩৮৫৯</t>
  </si>
  <si>
    <t xml:space="preserve">গ্রাম : উঃ ভরতেছড়া ইউনিয়ন :বঙ্গ সোনাহাট উপজেলা: ভূরুঙ্গামারী জেলা : কুড়িগ্রাম</t>
  </si>
  <si>
    <t xml:space="preserve">26.096109 89.748031</t>
  </si>
  <si>
    <t xml:space="preserve">শাহালম ০১৭৮৪৪৪৯১৩১</t>
  </si>
  <si>
    <t xml:space="preserve">26.137443,89.755489</t>
  </si>
  <si>
    <t xml:space="preserve">সহিদুল ০১৭৮৩৮৪০১৫৮</t>
  </si>
  <si>
    <t xml:space="preserve">26.131505,89.753220</t>
  </si>
  <si>
    <t xml:space="preserve">আঃ রশিদ ০১৭৩০৯৫১০৩৪</t>
  </si>
  <si>
    <t xml:space="preserve">26.115085,89.754816</t>
  </si>
  <si>
    <t xml:space="preserve">শাহালম ০১৭২৭৯১৪৮২৩</t>
  </si>
  <si>
    <t xml:space="preserve">26.103149,89.754613</t>
  </si>
  <si>
    <t xml:space="preserve">জহুরুল ০১৭৯৯৯৭৮৩৬২</t>
  </si>
  <si>
    <t xml:space="preserve">26.102170,89.754647</t>
  </si>
  <si>
    <t xml:space="preserve">জাহাঙ্গীর ০১৭৪৩১৬৬৮৫৯</t>
  </si>
  <si>
    <t xml:space="preserve">গ্রাম : চর বলদিয়া ইউনিয়ন : বঙ্গ সোনাহাট উপজেলা: ভূরুঙ্গামারী জেলা : কুড়িগ্রাম</t>
  </si>
  <si>
    <t xml:space="preserve">26.095591 89.771813</t>
  </si>
  <si>
    <t xml:space="preserve">মনোয়ার ০১৭৫৬৪১৪৫২৮</t>
  </si>
  <si>
    <t xml:space="preserve">26.177091,89.756061</t>
  </si>
  <si>
    <t xml:space="preserve">শামীম ০১৭২৬৪৮৯২০১</t>
  </si>
  <si>
    <t xml:space="preserve">গ্রাম : কালিরহাট ইউনিয়ন : বঙ্গ সোনাহাট উপজেলা: ভূরুঙ্গামারী জেলা : কুড়িগ্রাম</t>
  </si>
  <si>
    <t xml:space="preserve">26.092106,89.733262</t>
  </si>
  <si>
    <t xml:space="preserve">রাকিবুল ০১৭৬০৫৩৭৩৬৩</t>
  </si>
  <si>
    <t xml:space="preserve">গ্রাম : দঃ ভরতেছড়া ইউনিয়ন : বঙ্গ সোনাহাট উপজেলা: ভূরুঙ্গামারী জেলা : কুড়িগ্রাম</t>
  </si>
  <si>
    <t xml:space="preserve">26.096866,89.769645</t>
  </si>
  <si>
    <t xml:space="preserve">রাশেদা ০১৭৬২৮৪৬৯৪৯</t>
  </si>
  <si>
    <t xml:space="preserve">গ্রাম :দঃ ভরতেছড়া ইউনিয়ন : বঙ্গ সোনাহাট উপজেলা: ভূরুঙ্গামারী জেলা : কুড়িগ্রাম</t>
  </si>
  <si>
    <t xml:space="preserve">26.097458,89.769424</t>
  </si>
  <si>
    <t xml:space="preserve">বাবলু ০১৭৪৪৪৫৮৯৬৪</t>
  </si>
  <si>
    <t xml:space="preserve">গ্রাম : মাহিগঞ্জ ইউনিয়ন : বঙ্গ সোনাহাট উপজেলা: ভূরুঙ্গামারী জেলা : কুড়িগ্রাম</t>
  </si>
  <si>
    <t xml:space="preserve">26.084157,89.715877</t>
  </si>
  <si>
    <t xml:space="preserve">আহাদ আলী ০১৭৬১৮৯৪২৮১</t>
  </si>
  <si>
    <t xml:space="preserve">গ্রাম : কলেজ মোড় ইউনিয়ন :বঙ্গ সোনাহাট উপজেলা: ভূরুঙ্গামারী জেলা : কুড়িগ্রাম</t>
  </si>
  <si>
    <t xml:space="preserve">26.100210,89.769157</t>
  </si>
  <si>
    <t xml:space="preserve">আবুল কালাম আজাদ ০১৭৭৪৭৩৮৩৭৮</t>
  </si>
  <si>
    <t xml:space="preserve">গ্রাম : চৌধুরীপাড়া ইউনিয়ন :বঙ্গ সোনাহাট উপজেলা: ভূরুঙ্গামারী জেলা : কুড়িগ্রাম</t>
  </si>
  <si>
    <t xml:space="preserve">26.094110,89.750054</t>
  </si>
  <si>
    <t xml:space="preserve">আঃ ছালাম ০১৭১৩৩২৫৬৮০</t>
  </si>
  <si>
    <t xml:space="preserve">গ্রাম : কলেজ মোড় ইউনিয়ন : বঙ্গ সোনাহাট উপজেলা: ভূরুঙ্গামারী জেলা : কুড়িগ্রাম</t>
  </si>
  <si>
    <t xml:space="preserve">26.094727,89.757223</t>
  </si>
  <si>
    <t xml:space="preserve">আবুল হোসেন ০১৭৮৮৯২১২১৪</t>
  </si>
  <si>
    <t xml:space="preserve">গ্রাম : চৌধুরী বাজার ইউনিয়ন : বঙ্গ সোনাহাট উপজেলা: ভূরুঙ্গামারী জেলা : কুড়িগ্রাম</t>
  </si>
  <si>
    <t xml:space="preserve">26.103266,89.755573</t>
  </si>
  <si>
    <t xml:space="preserve">বাদশা ০১৭১৮৪৩১৭২৩</t>
  </si>
  <si>
    <t xml:space="preserve">26.0825578,89.745182</t>
  </si>
  <si>
    <t xml:space="preserve">গ্রাম :চৌধুরী বাজার ইউনিয়ন : বঙ্গ সোনাহাট উপজেলা: ভূরুঙ্গামারী জেলা : কুড়িগ্রাম</t>
  </si>
  <si>
    <t xml:space="preserve">26.102467,89.754885</t>
  </si>
  <si>
    <t xml:space="preserve">26.092012,89.752707</t>
  </si>
  <si>
    <t xml:space="preserve">26.101088,89.745639</t>
  </si>
  <si>
    <t xml:space="preserve">26.131532,89.753793</t>
  </si>
  <si>
    <t xml:space="preserve">26.099863,89.745829</t>
  </si>
  <si>
    <t xml:space="preserve">26.093135,89.758449</t>
  </si>
  <si>
    <t xml:space="preserve">এমদাদুল ০১৭১৯২৪৪৬১২</t>
  </si>
  <si>
    <t xml:space="preserve">26.093659,89.759068</t>
  </si>
  <si>
    <t xml:space="preserve">মোফাজ্জল ০১৭৫১২০৭৭৭১</t>
  </si>
  <si>
    <t xml:space="preserve">26.093202,89.758276</t>
  </si>
  <si>
    <t xml:space="preserve">নুপুর ০১৭৯২৭৯৬৪৭৯</t>
  </si>
  <si>
    <t xml:space="preserve">26.100324,89.739240</t>
  </si>
  <si>
    <t xml:space="preserve">আজিজুল ০১৭২২৩৬৭৭১৬</t>
  </si>
  <si>
    <t xml:space="preserve">রফিকুল ০১৭৯৭৭৮৬৭১৩</t>
  </si>
  <si>
    <t xml:space="preserve">যাদুরচর, যাদুরচর ইউনিয়ন, রৌমারী উপজেলা, কুড়িগ্রাম জেলা, রংপুর বিভাগ, বাংলাদেশ</t>
  </si>
  <si>
    <t xml:space="preserve">25.50195</t>
  </si>
  <si>
    <t xml:space="preserve">মোঃ নুর হোসেন  </t>
  </si>
  <si>
    <t xml:space="preserve">হাফিজা খাতুন  </t>
  </si>
  <si>
    <t xml:space="preserve"> দিপক দেব নাথ</t>
  </si>
  <si>
    <t xml:space="preserve">যাদুরচর ইউনিয়ন, রৌমারী উপজেলা, কুড়িগ্রাম জেলা, রংপুর বিভাগ, বাংলাদেশ</t>
  </si>
  <si>
    <t xml:space="preserve">25.403302</t>
  </si>
  <si>
    <t xml:space="preserve">মোঃ আনোয়ার হোসেন  </t>
  </si>
  <si>
    <t xml:space="preserve">মোঃ আতোয়ার হোসেন
</t>
  </si>
  <si>
    <t xml:space="preserve">Boro Madar Tilar Govt Primary School, pucca road chhoto madar tila, রৌমারী, রৌমারী ইউনিয়ন, রৌমারী উপজেলা, কুড়িগ্রাম জেলা, রংপুর বিভাগ, বাংলাদেশ</t>
  </si>
  <si>
    <t xml:space="preserve">25.51016</t>
  </si>
  <si>
    <t xml:space="preserve">মোঃ এরশাদুল হক  </t>
  </si>
  <si>
    <t xml:space="preserve">মোঃ আনোয়ার হোসেন
</t>
  </si>
  <si>
    <t xml:space="preserve">রৌমারী ইউনিয়ন, রৌমারী উপজেলা, কুড়িগ্রাম জেলা, রংপুর বিভাগ, বাংলাদেশ</t>
  </si>
  <si>
    <t xml:space="preserve">25.51158</t>
  </si>
  <si>
    <t xml:space="preserve">মোঃ তোতা মিয়া </t>
  </si>
  <si>
    <t xml:space="preserve">রৌমারী, রৌমারী ইউনিয়ন, রৌমারী উপজেলা, কুড়িগ্রাম জেলা, রংপুর বিভাগ, বাংলাদেশ</t>
  </si>
  <si>
    <t xml:space="preserve">25.50534</t>
  </si>
  <si>
    <t xml:space="preserve">মোছাঃ চায়না খাতুন  </t>
  </si>
  <si>
    <t xml:space="preserve">25.484813</t>
  </si>
  <si>
    <t xml:space="preserve">মোঃ সিরাজুল ইসলাম  </t>
  </si>
  <si>
    <t xml:space="preserve">pucca road chhoto madar tila, রৌমারী, রৌমারী ইউনিয়ন, রৌমারী উপজেলা, কুড়িগ্রাম জেলা, রংপুর বিভাগ, বাংলাদেশ</t>
  </si>
  <si>
    <t xml:space="preserve">25.44297</t>
  </si>
  <si>
    <t xml:space="preserve">মোছাঃ আফরোজা খাতুন  </t>
  </si>
  <si>
    <t xml:space="preserve">মোঃ মশিউর রহমান
</t>
  </si>
  <si>
    <t xml:space="preserve">25.44292</t>
  </si>
  <si>
    <t xml:space="preserve">মোঃ হাফিজুর রহমান  </t>
  </si>
  <si>
    <t xml:space="preserve">25.44276</t>
  </si>
  <si>
    <t xml:space="preserve">25.44268</t>
  </si>
  <si>
    <t xml:space="preserve">মোঃ ফরহাদ হোসেন  </t>
  </si>
  <si>
    <t xml:space="preserve">25.44275</t>
  </si>
  <si>
    <t xml:space="preserve">মোছাঃ সাজেদা খাতুন  </t>
  </si>
  <si>
    <t xml:space="preserve">25.40475</t>
  </si>
  <si>
    <t xml:space="preserve">মোঃ এরশাদ হোসেন  </t>
  </si>
  <si>
    <t xml:space="preserve">মোঃ মিজানুর রহমান  </t>
  </si>
  <si>
    <t xml:space="preserve">25.40472</t>
  </si>
  <si>
    <t xml:space="preserve">মোঃ নুরজাহান  </t>
  </si>
  <si>
    <t xml:space="preserve">মোঃ ফরিদুল ইসলাম </t>
  </si>
  <si>
    <t xml:space="preserve">25.40477</t>
  </si>
  <si>
    <t xml:space="preserve">মোছাঃ আলুফা </t>
  </si>
  <si>
    <t xml:space="preserve">25.40479</t>
  </si>
  <si>
    <t xml:space="preserve">মোছাঃ জাহানারা খাতুন  </t>
  </si>
  <si>
    <t xml:space="preserve">মোঃ চান মিয়া  </t>
  </si>
  <si>
    <t xml:space="preserve">25.40468</t>
  </si>
  <si>
    <t xml:space="preserve">মোছাঃ আসমা খাতুন </t>
  </si>
  <si>
    <t xml:space="preserve">মোছাঃ খইফুল নেছা </t>
  </si>
  <si>
    <t xml:space="preserve">মোঃ আজাহার আলী  </t>
  </si>
  <si>
    <t xml:space="preserve">25.44262</t>
  </si>
  <si>
    <t xml:space="preserve">মোঃ আঃ রশিদ  </t>
  </si>
  <si>
    <t xml:space="preserve">মোছাঃ লাকী পাভীন </t>
  </si>
  <si>
    <t xml:space="preserve">Chakta Bari Govt Primary School, R464, যাদুরচর, রৌমারী ইউনিয়ন, রৌমারী উপজেলা, কুড়িগ্রাম জেলা, রংপুর বিভাগ, বাংলাদেশ</t>
  </si>
  <si>
    <t xml:space="preserve">25.44295</t>
  </si>
  <si>
    <t xml:space="preserve">মোঃ এরশাদুল হক </t>
  </si>
  <si>
    <t xml:space="preserve">25.4048</t>
  </si>
  <si>
    <t xml:space="preserve">মোঃ জাকিরুল ইসলাম  </t>
  </si>
  <si>
    <t xml:space="preserve">25.527806</t>
  </si>
  <si>
    <t xml:space="preserve">মোঃ মোকছেদুল আলম</t>
  </si>
  <si>
    <t xml:space="preserve">মোঃ জিয়াউর রহমান</t>
  </si>
  <si>
    <t xml:space="preserve">মোঃ একরামুল হক  </t>
  </si>
  <si>
    <t xml:space="preserve">25.527583</t>
  </si>
  <si>
    <t xml:space="preserve">মোঃ রিয়াজ উদ্দিন</t>
  </si>
  <si>
    <t xml:space="preserve">25.548056</t>
  </si>
  <si>
    <t xml:space="preserve">মোঃ রিয়াজুল হক</t>
  </si>
  <si>
    <t xml:space="preserve">25.543056</t>
  </si>
  <si>
    <t xml:space="preserve">মোঃ সাদেক হোসেন</t>
  </si>
  <si>
    <t xml:space="preserve">25.54925</t>
  </si>
  <si>
    <t xml:space="preserve">মোঃ সুরুজ্জামান</t>
  </si>
  <si>
    <t xml:space="preserve">25.543806</t>
  </si>
  <si>
    <t xml:space="preserve">মোঃ আঃ ছামাদ</t>
  </si>
  <si>
    <t xml:space="preserve">25.551278</t>
  </si>
  <si>
    <t xml:space="preserve">মোছাঃ জমিরন খাতুন</t>
  </si>
  <si>
    <t xml:space="preserve">25.551528</t>
  </si>
  <si>
    <t xml:space="preserve">মোঃ হাসমত আলী</t>
  </si>
  <si>
    <t xml:space="preserve">25.54375</t>
  </si>
  <si>
    <t xml:space="preserve">মোঃ সাইফুল ইসলাম</t>
  </si>
  <si>
    <t xml:space="preserve">25.548083</t>
  </si>
  <si>
    <t xml:space="preserve">মোছাঃ সাজেদা খাতুন</t>
  </si>
  <si>
    <t xml:space="preserve">25.547278</t>
  </si>
  <si>
    <t xml:space="preserve">মোঃমোজাম্মেল</t>
  </si>
  <si>
    <t xml:space="preserve">25.543833</t>
  </si>
  <si>
    <t xml:space="preserve">মোঃ হাবিজুর রহমান</t>
  </si>
  <si>
    <t xml:space="preserve">25.548528</t>
  </si>
  <si>
    <t xml:space="preserve">মোঃ আবু সায়েম হাবিব</t>
  </si>
  <si>
    <t xml:space="preserve">25.551222</t>
  </si>
  <si>
    <t xml:space="preserve">মোঃ মাহমুদুল হাসান</t>
  </si>
  <si>
    <t xml:space="preserve">25.551083</t>
  </si>
  <si>
    <t xml:space="preserve">মোছাঃ রিনা খাতুন</t>
  </si>
  <si>
    <t xml:space="preserve">25.549528</t>
  </si>
  <si>
    <t xml:space="preserve">মোছাঃ শরিফা খাতুন</t>
  </si>
  <si>
    <t xml:space="preserve">25.549472</t>
  </si>
  <si>
    <t xml:space="preserve">মোছাঃ রিনা  খাতুন</t>
  </si>
  <si>
    <t xml:space="preserve">25.549389</t>
  </si>
  <si>
    <t xml:space="preserve">মোঃ আশরাফুল</t>
  </si>
  <si>
    <t xml:space="preserve">25.551972</t>
  </si>
  <si>
    <t xml:space="preserve">মোছাঃ নাজমা  খাতুন</t>
  </si>
  <si>
    <t xml:space="preserve">25.55175</t>
  </si>
  <si>
    <t xml:space="preserve">মোছাঃ খুরশিদা খাতুন</t>
  </si>
  <si>
    <t xml:space="preserve">25.551889</t>
  </si>
  <si>
    <t xml:space="preserve">মোছাঃ আরজিনা খাতুন</t>
  </si>
  <si>
    <t xml:space="preserve">25.540944</t>
  </si>
  <si>
    <t xml:space="preserve">মোঃ নবিন আলী</t>
  </si>
  <si>
    <t xml:space="preserve">25.550306</t>
  </si>
  <si>
    <t xml:space="preserve">আঃ রশিদ</t>
  </si>
  <si>
    <t xml:space="preserve">১৭. ০৫ বছরে ২৫ কোটি বৃক্ষ রোপণ কর্মসূচির আওতায় রোপণকৃত চারার তথ্য</t>
  </si>
  <si>
    <t xml:space="preserve">মন্ত্রণালয়/বিভাগ/অধিদপ্তর: কৃষি সম্প্রসারণ অধিদপ্তর, কুড়িগ্রাম জেলা  |  বিভাগ: রংপুর  |  মাস: August  |  তারিখ: 11 Aug 2026</t>
  </si>
  <si>
    <t xml:space="preserve">ক্র.
নং</t>
  </si>
  <si>
    <t xml:space="preserve">গ্রামের নাম</t>
  </si>
  <si>
    <t xml:space="preserve">ব্লক</t>
  </si>
  <si>
    <t xml:space="preserve">ইউনিয়ন</t>
  </si>
  <si>
    <t xml:space="preserve">জেলা</t>
  </si>
  <si>
    <t xml:space="preserve">চারার
সংখ্যা</t>
  </si>
  <si>
    <t xml:space="preserve">রোপণের
তারিখ</t>
  </si>
  <si>
    <t xml:space="preserve">জিওগ্রাফিক্যাল
কো-অর্ডিনেট</t>
  </si>
  <si>
    <t xml:space="preserve">কৃষকের নাম</t>
  </si>
  <si>
    <t xml:space="preserve">কৃষকের
মোবাইল</t>
  </si>
  <si>
    <t xml:space="preserve">SAAO-এর নাম</t>
  </si>
  <si>
    <t xml:space="preserve">SAAO-এর
মোবাইল</t>
  </si>
  <si>
    <t xml:space="preserve">মনিটরিং অফিসারের নাম</t>
  </si>
  <si>
    <t xml:space="preserve">মনিটরিং
মোবাইল</t>
  </si>
  <si>
    <t xml:space="preserve">প্রজাতি
ক্যাটাগরি</t>
  </si>
  <si>
    <t xml:space="preserve">ডাটা মান যাচাই</t>
  </si>
  <si>
    <t xml:space="preserve">ভুরুঙ্গামারী</t>
  </si>
  <si>
    <t xml:space="preserve">মোগলবাসা</t>
  </si>
  <si>
    <t xml:space="preserve">কুড়িগ্রাম</t>
  </si>
  <si>
    <t xml:space="preserve">পেয়ারা থাই-৭ (ফলদ) × 85</t>
  </si>
  <si>
    <t xml:space="preserve">10 May 2026</t>
  </si>
  <si>
    <t xml:space="preserve">25.755591,89.657639</t>
  </si>
  <si>
    <t xml:space="preserve">মোঃ রেজওয়ান সরকার</t>
  </si>
  <si>
    <t xml:space="preserve">01750674891</t>
  </si>
  <si>
    <t xml:space="preserve">ভবেশ চন্দ্র মোদক</t>
  </si>
  <si>
    <t xml:space="preserve">01724511968</t>
  </si>
  <si>
    <t xml:space="preserve">দিপু রায়</t>
  </si>
  <si>
    <t xml:space="preserve">০১৭৩৭৬৬৫৩৩১</t>
  </si>
  <si>
    <t xml:space="preserve">কাঁঠালবাড়ী</t>
  </si>
  <si>
    <t xml:space="preserve">মাল্টা বারি-১ (ফলদ) × 60</t>
  </si>
  <si>
    <t xml:space="preserve">4 Jun 2026</t>
  </si>
  <si>
    <t xml:space="preserve">25.826721,89.603292</t>
  </si>
  <si>
    <t xml:space="preserve">মোঃ আতিকুর রহমান</t>
  </si>
  <si>
    <t xml:space="preserve">01727620179</t>
  </si>
  <si>
    <t xml:space="preserve">নারায়ন চন্দ্র সরকার</t>
  </si>
  <si>
    <t xml:space="preserve">01724511346</t>
  </si>
  <si>
    <t xml:space="preserve">হলোখানা</t>
  </si>
  <si>
    <t xml:space="preserve">লেবু সিডরেস (ফলদ) × 220</t>
  </si>
  <si>
    <t xml:space="preserve">2 Jun 2026</t>
  </si>
  <si>
    <t xml:space="preserve">25.830043,89.6245</t>
  </si>
  <si>
    <t xml:space="preserve">মোঃ আমিনুর ইসলাম</t>
  </si>
  <si>
    <t xml:space="preserve">01723360770</t>
  </si>
  <si>
    <t xml:space="preserve">এস এম تরিকুল ইসলাম</t>
  </si>
  <si>
    <t xml:space="preserve">01716026306</t>
  </si>
  <si>
    <t xml:space="preserve">বেলগাছা</t>
  </si>
  <si>
    <t xml:space="preserve">আম-ব্যানানা (ফলদ) × 33</t>
  </si>
  <si>
    <t xml:space="preserve">25.79392,89.62017</t>
  </si>
  <si>
    <t xml:space="preserve">জয়ন্তী রাণী</t>
  </si>
  <si>
    <t xml:space="preserve">01791966821</t>
  </si>
  <si>
    <t xml:space="preserve">মোঃ নুর আলম</t>
  </si>
  <si>
    <t xml:space="preserve">01729451848</t>
  </si>
  <si>
    <t xml:space="preserve">চর ভুরুঙ্গামারী</t>
  </si>
  <si>
    <t xml:space="preserve">আম-ব্যানানা মেঙ্গো (ফলদ) × 33</t>
  </si>
  <si>
    <t xml:space="preserve">26.125547,89.729581</t>
  </si>
  <si>
    <t xml:space="preserve">মোছা: শারমিন আক্তার</t>
  </si>
  <si>
    <t xml:space="preserve">01712046367</t>
  </si>
  <si>
    <t xml:space="preserve">মো: মঞ্জুরুল ইসলাম</t>
  </si>
  <si>
    <t xml:space="preserve">01717813138</t>
  </si>
  <si>
    <t xml:space="preserve">পাইকেরছড়া</t>
  </si>
  <si>
    <t xml:space="preserve">পেয়ারা- গোল্ডেন-৮ (ফলদ) × 85</t>
  </si>
  <si>
    <t xml:space="preserve">26 May 2026</t>
  </si>
  <si>
    <t xml:space="preserve">26.09305,89.69845</t>
  </si>
  <si>
    <t xml:space="preserve">মোছা: অনিকা বেগম</t>
  </si>
  <si>
    <t xml:space="preserve">01774361298</t>
  </si>
  <si>
    <t xml:space="preserve">মো: শাহানুর আলম</t>
  </si>
  <si>
    <t xml:space="preserve">01737084908</t>
  </si>
  <si>
    <t xml:space="preserve">পাথরডুবি</t>
  </si>
  <si>
    <t xml:space="preserve">মাল্টা- বারি-১ (ফলদ) × 60</t>
  </si>
  <si>
    <t xml:space="preserve">1 Jun 2026</t>
  </si>
  <si>
    <t xml:space="preserve">26.125547,89.621771</t>
  </si>
  <si>
    <t xml:space="preserve">মোছা: আখি আক্তার</t>
  </si>
  <si>
    <t xml:space="preserve">01642860652</t>
  </si>
  <si>
    <t xml:space="preserve">মো: আবুল বাশার</t>
  </si>
  <si>
    <t xml:space="preserve">01303614632</t>
  </si>
  <si>
    <t xml:space="preserve">জয়মনিরহাট</t>
  </si>
  <si>
    <t xml:space="preserve">লেবু-সিটলেজ (ফলদ) × 220</t>
  </si>
  <si>
    <t xml:space="preserve">3 Jun 2026</t>
  </si>
  <si>
    <t xml:space="preserve">26.068899,89.673812</t>
  </si>
  <si>
    <t xml:space="preserve">মো: সফিকুল ইসলাম</t>
  </si>
  <si>
    <t xml:space="preserve">01774361415</t>
  </si>
  <si>
    <t xml:space="preserve">মো: শহিদুল ইসলাম</t>
  </si>
  <si>
    <t xml:space="preserve">01737458464</t>
  </si>
  <si>
    <t xml:space="preserve">কোদালকাটি</t>
  </si>
  <si>
    <t xml:space="preserve">আম (আমরুপালী) (ফলদ) × 33</t>
  </si>
  <si>
    <t xml:space="preserve">4 May 2026</t>
  </si>
  <si>
    <t xml:space="preserve">25.482715,89.768447</t>
  </si>
  <si>
    <t xml:space="preserve">সিরাজুল ইসলাম</t>
  </si>
  <si>
    <t xml:space="preserve">01718165491</t>
  </si>
  <si>
    <t xml:space="preserve">মোঃ শাখাওয়াত হোসেন</t>
  </si>
  <si>
    <t xml:space="preserve">01743668680</t>
  </si>
  <si>
    <t xml:space="preserve">রাজিবপুর</t>
  </si>
  <si>
    <t xml:space="preserve">পেয়ারা (কাজী) (ফলদ) × 85</t>
  </si>
  <si>
    <t xml:space="preserve">5 May 2026</t>
  </si>
  <si>
    <t xml:space="preserve">25.459003,89.828174</t>
  </si>
  <si>
    <t xml:space="preserve">মোঃ শাহ আলম</t>
  </si>
  <si>
    <t xml:space="preserve">01956402022</t>
  </si>
  <si>
    <t xml:space="preserve">মোহনগঞ্জ</t>
  </si>
  <si>
    <t xml:space="preserve">মাল্টা (বারি মাল্টা-1) (ফলদ) × 60</t>
  </si>
  <si>
    <t xml:space="preserve">6 May 2026</t>
  </si>
  <si>
    <t xml:space="preserve">25.427144,89.771586</t>
  </si>
  <si>
    <t xml:space="preserve">মোঃ জহুরুল হক</t>
  </si>
  <si>
    <t xml:space="preserve">01937371604</t>
  </si>
  <si>
    <t xml:space="preserve">1743668680</t>
  </si>
  <si>
    <t xml:space="preserve">লেবু (দেশী) (ফলদ) × 370</t>
  </si>
  <si>
    <t xml:space="preserve">7 May 2026</t>
  </si>
  <si>
    <t xml:space="preserve">25.436446,89.777963</t>
  </si>
  <si>
    <t xml:space="preserve">মোঃ আলমগীর হোসেন</t>
  </si>
  <si>
    <t xml:space="preserve">01935305296</t>
  </si>
  <si>
    <t xml:space="preserve">দলদলিয়া</t>
  </si>
  <si>
    <t xml:space="preserve">থাই পেয়ারা (ফলদ) × 85</t>
  </si>
  <si>
    <t xml:space="preserve">11 May 2026</t>
  </si>
  <si>
    <t xml:space="preserve">25.719195,89.552201</t>
  </si>
  <si>
    <t xml:space="preserve">মোঃ নবিউল ইসলাম</t>
  </si>
  <si>
    <t xml:space="preserve">01714925452</t>
  </si>
  <si>
    <t xml:space="preserve">1740147853</t>
  </si>
  <si>
    <t xml:space="preserve">ধামশ্রেণী</t>
  </si>
  <si>
    <t xml:space="preserve">বারি মাল্টা-১ (ফলদ) × 60</t>
  </si>
  <si>
    <t xml:space="preserve">16 May 2026</t>
  </si>
  <si>
    <t xml:space="preserve">25.656067,89.648548</t>
  </si>
  <si>
    <t xml:space="preserve">মোঃ ফজলে কাদীর</t>
  </si>
  <si>
    <t xml:space="preserve">01751373251</t>
  </si>
  <si>
    <t xml:space="preserve">মোঃ গোলজার হোসেন</t>
  </si>
  <si>
    <t xml:space="preserve">1724264812</t>
  </si>
  <si>
    <t xml:space="preserve">ধরণীবাড়ী</t>
  </si>
  <si>
    <t xml:space="preserve">লেবু চায়না-৩ (ফলদ) × 220</t>
  </si>
  <si>
    <t xml:space="preserve">20 May 2026</t>
  </si>
  <si>
    <t xml:space="preserve">25.690651,89.61554</t>
  </si>
  <si>
    <t xml:space="preserve">মোঃ মাসুদ رানা</t>
  </si>
  <si>
    <t xml:space="preserve">01731439180</t>
  </si>
  <si>
    <t xml:space="preserve">মোঃ শওকত আলী</t>
  </si>
  <si>
    <t xml:space="preserve">01710050829</t>
  </si>
  <si>
    <t xml:space="preserve">তবকপুর</t>
  </si>
  <si>
    <t xml:space="preserve">গুনাইগাছ</t>
  </si>
  <si>
    <t xml:space="preserve">বারি আম-4 (ফলদ) × 33</t>
  </si>
  <si>
    <t xml:space="preserve">18 May 2026</t>
  </si>
  <si>
    <t xml:space="preserve">25.642387,89.617095</t>
  </si>
  <si>
    <t xml:space="preserve">মোছাঃ শামীম আক্তার আমিন</t>
  </si>
  <si>
    <t xml:space="preserve">01794664933</t>
  </si>
  <si>
    <t xml:space="preserve">12 May 2026</t>
  </si>
  <si>
    <t xml:space="preserve">25.56304,89.8519</t>
  </si>
  <si>
    <t xml:space="preserve">মো: আব্দুল জলিল</t>
  </si>
  <si>
    <t xml:space="preserve">01725394851</t>
  </si>
  <si>
    <t xml:space="preserve">মোঃ আবু সায়েম</t>
  </si>
  <si>
    <t xml:space="preserve">01719654123</t>
  </si>
  <si>
    <t xml:space="preserve">পেয়ারা (থাই) (ফলদ) × 85</t>
  </si>
  <si>
    <t xml:space="preserve">13 May 2026</t>
  </si>
  <si>
    <t xml:space="preserve">25.5412,89.831</t>
  </si>
  <si>
    <t xml:space="preserve">মোছা: ফাতেমা বেগম</t>
  </si>
  <si>
    <t xml:space="preserve">01734981254</t>
  </si>
  <si>
    <t xml:space="preserve">15 May 2026</t>
  </si>
  <si>
    <t xml:space="preserve">25.58411,89.88215</t>
  </si>
  <si>
    <t xml:space="preserve">মো: ছাইদুর রহমান</t>
  </si>
  <si>
    <t xml:space="preserve">01915438291</t>
  </si>
  <si>
    <t xml:space="preserve">লেবু (কাগজী) (ফলদ) × 220</t>
  </si>
  <si>
    <t xml:space="preserve">25.5523,89.8454</t>
  </si>
  <si>
    <t xml:space="preserve">মো: নরুল ইসলাম</t>
  </si>
  <si>
    <t xml:space="preserve">01712438950</t>
  </si>
  <si>
    <t xml:space="preserve">রাণীগঞ্জ</t>
  </si>
  <si>
    <t xml:space="preserve">25.62145,89.68412</t>
  </si>
  <si>
    <t xml:space="preserve">মো: আতাউর রহমান</t>
  </si>
  <si>
    <t xml:space="preserve">01715926481</t>
  </si>
  <si>
    <t xml:space="preserve">01721345981</t>
  </si>
  <si>
    <t xml:space="preserve">থানাহাট</t>
  </si>
  <si>
    <t xml:space="preserve">19 May 2026</t>
  </si>
  <si>
    <t xml:space="preserve">25.59301,89.66147</t>
  </si>
  <si>
    <t xml:space="preserve">মোছা: রহিমা খাতুন</t>
  </si>
  <si>
    <t xml:space="preserve">01741258963</t>
  </si>
  <si>
    <t xml:space="preserve">25.6112,89.6953</t>
  </si>
  <si>
    <t xml:space="preserve">মো: মফিজুল হক</t>
  </si>
  <si>
    <t xml:space="preserve">01718239451</t>
  </si>
  <si>
    <t xml:space="preserve">22 May 2026</t>
  </si>
  <si>
    <t xml:space="preserve">25.6045,89.6712</t>
  </si>
  <si>
    <t xml:space="preserve">মো: শফিকুল আলম</t>
  </si>
  <si>
    <t xml:space="preserve">01729481235</t>
  </si>
  <si>
    <t xml:space="preserve">নাগেশ্বরী শহর</t>
  </si>
  <si>
    <t xml:space="preserve">আম (হাড়িভাঙ্গা) (ফলদ) × 33</t>
  </si>
  <si>
    <t xml:space="preserve">25 May 2026</t>
  </si>
  <si>
    <t xml:space="preserve">25.98142,89.65214</t>
  </si>
  <si>
    <t xml:space="preserve">মো: জয়নাল আবেদীন</t>
  </si>
  <si>
    <t xml:space="preserve">01711234567</t>
  </si>
  <si>
    <t xml:space="preserve">মোঃ মোস্তফা কামাল</t>
  </si>
  <si>
    <t xml:space="preserve">01712345678</t>
  </si>
  <si>
    <t xml:space="preserve">নেওয়াশী</t>
  </si>
  <si>
    <t xml:space="preserve">পেয়ারা গোল্ডেন-৮ (ফলদ) × 85</t>
  </si>
  <si>
    <t xml:space="preserve">25.96411,89.63102</t>
  </si>
  <si>
    <t xml:space="preserve">মোছা: মর্জিনা বেগম</t>
  </si>
  <si>
    <t xml:space="preserve">01715487213</t>
  </si>
  <si>
    <t xml:space="preserve">28 May 2026</t>
  </si>
  <si>
    <t xml:space="preserve">25.9923,89.67451</t>
  </si>
  <si>
    <t xml:space="preserve">মো: একরামুল হক</t>
  </si>
  <si>
    <t xml:space="preserve">01718942351</t>
  </si>
  <si>
    <t xml:space="preserve">লেবু সিডলেস (ফলদ) × 220</t>
  </si>
  <si>
    <t xml:space="preserve">30 May 2026</t>
  </si>
  <si>
    <t xml:space="preserve">25.9715,89.6412</t>
  </si>
  <si>
    <t xml:space="preserve">মো: লুৎফর রহমান</t>
  </si>
  <si>
    <t xml:space="preserve">01722369851</t>
  </si>
  <si>
    <t xml:space="preserve">শিমুলবাড়ী</t>
  </si>
  <si>
    <t xml:space="preserve">25.9412,89.5214</t>
  </si>
  <si>
    <t xml:space="preserve">মো: হামিদুল হক</t>
  </si>
  <si>
    <t xml:space="preserve">01714239581</t>
  </si>
  <si>
    <t xml:space="preserve">মোঃ আনিসুর রহমান</t>
  </si>
  <si>
    <t xml:space="preserve">01716253412</t>
  </si>
  <si>
    <t xml:space="preserve">25.9231,89.5041</t>
  </si>
  <si>
    <t xml:space="preserve">মোছা: শিল্পি আক্তার</t>
  </si>
  <si>
    <t xml:space="preserve">01719548231</t>
  </si>
  <si>
    <t xml:space="preserve">25.9524,89.5412</t>
  </si>
  <si>
    <t xml:space="preserve">মো: আশরাফুল ইসলাম</t>
  </si>
  <si>
    <t xml:space="preserve">01712693581</t>
  </si>
  <si>
    <t xml:space="preserve">5 Jun 2026</t>
  </si>
  <si>
    <t xml:space="preserve">25.9315,89.5123</t>
  </si>
  <si>
    <t xml:space="preserve">মো: ময়নুল হোসেন</t>
  </si>
  <si>
    <t xml:space="preserve">01725614392</t>
  </si>
  <si>
    <t xml:space="preserve">চাকিরপশার</t>
  </si>
  <si>
    <t xml:space="preserve">8 Jun 2026</t>
  </si>
  <si>
    <t xml:space="preserve">25.8012,89.5514</t>
  </si>
  <si>
    <t xml:space="preserve">মো: আবু বকর</t>
  </si>
  <si>
    <t xml:space="preserve">01713594821</t>
  </si>
  <si>
    <t xml:space="preserve">মোঃ আমজাদ হোসেন</t>
  </si>
  <si>
    <t xml:space="preserve">01718253491</t>
  </si>
  <si>
    <t xml:space="preserve">বিদ্যানন্দ</t>
  </si>
  <si>
    <t xml:space="preserve">9 Jun 2026</t>
  </si>
  <si>
    <t xml:space="preserve">25.7841,89.531</t>
  </si>
  <si>
    <t xml:space="preserve">মোছা: আয়েশা সিদ্দিকা</t>
  </si>
  <si>
    <t xml:space="preserve">01716954231</t>
  </si>
  <si>
    <t xml:space="preserve">10 Jun 2026</t>
  </si>
  <si>
    <t xml:space="preserve">25.8123,89.5641</t>
  </si>
  <si>
    <t xml:space="preserve">মো: শাহজাহান আলী</t>
  </si>
  <si>
    <t xml:space="preserve">01712953481</t>
  </si>
  <si>
    <t xml:space="preserve">12 Jun 2026</t>
  </si>
  <si>
    <t xml:space="preserve">25.7915,89.5412</t>
  </si>
  <si>
    <t xml:space="preserve">মো: দুলাল মিয়া</t>
  </si>
  <si>
    <t xml:space="preserve">01724591382</t>
  </si>
  <si>
    <t xml:space="preserve">আম (ফলদ) × 30</t>
  </si>
  <si>
    <t xml:space="preserve">26 Jun 2026</t>
  </si>
  <si>
    <t xml:space="preserve">25.802833,89.638069</t>
  </si>
  <si>
    <t xml:space="preserve">মোঃ আখতার হোসেন</t>
  </si>
  <si>
    <t xml:space="preserve">01794829595</t>
  </si>
  <si>
    <t xml:space="preserve">মাহফুজ আহমেদ</t>
  </si>
  <si>
    <t xml:space="preserve">মোঃ সারওয়ার হোসেন</t>
  </si>
  <si>
    <t xml:space="preserve">01737358851</t>
  </si>
  <si>
    <t xml:space="preserve">আম (ফলদ) × 5</t>
  </si>
  <si>
    <t xml:space="preserve">9 Jul 2026</t>
  </si>
  <si>
    <t xml:space="preserve">25.802903,89.637888</t>
  </si>
  <si>
    <t xml:space="preserve">মনু মিয়া</t>
  </si>
  <si>
    <t xml:space="preserve">01748485819</t>
  </si>
  <si>
    <t xml:space="preserve">নজরুল ইসলাম</t>
  </si>
  <si>
    <t xml:space="preserve">01765856589</t>
  </si>
  <si>
    <t xml:space="preserve">দিপক দেব নাথ</t>
  </si>
  <si>
    <t xml:space="preserve">01738385819</t>
  </si>
  <si>
    <t xml:space="preserve">আম (ফলদ) × 1</t>
  </si>
  <si>
    <t xml:space="preserve">8 Jul 2026</t>
  </si>
  <si>
    <t xml:space="preserve">25.802876,89.638004</t>
  </si>
  <si>
    <t xml:space="preserve">গনেশ</t>
  </si>
  <si>
    <t xml:space="preserve">01979183491</t>
  </si>
  <si>
    <t xml:space="preserve">মোছাঃ সোহানা  খাতুন</t>
  </si>
  <si>
    <t xml:space="preserve">01310582141</t>
  </si>
  <si>
    <t xml:space="preserve">MD. MAIDUL HASAN</t>
  </si>
  <si>
    <t xml:space="preserve">01723183491</t>
  </si>
  <si>
    <t xml:space="preserve">আম (ফলদ) × 33</t>
  </si>
  <si>
    <t xml:space="preserve">4 Jul 2026</t>
  </si>
  <si>
    <t xml:space="preserve">25.802889,89.638051</t>
  </si>
  <si>
    <t xml:space="preserve">মো: আতাউর</t>
  </si>
  <si>
    <t xml:space="preserve">মোছা: আফরোজা পারভীন রিফা</t>
  </si>
  <si>
    <t xml:space="preserve">01784143269</t>
  </si>
  <si>
    <t xml:space="preserve">25.802832,89.638074</t>
  </si>
  <si>
    <t xml:space="preserve">মোখলেসুর রহমান</t>
  </si>
  <si>
    <t xml:space="preserve">01703450989</t>
  </si>
  <si>
    <t xml:space="preserve">মাহফুজর রহমান</t>
  </si>
  <si>
    <t xml:space="preserve">01796786131</t>
  </si>
  <si>
    <t xml:space="preserve">মোঃ মনিরুজ্জামান</t>
  </si>
  <si>
    <t xml:space="preserve">01736576367</t>
  </si>
  <si>
    <t xml:space="preserve">জাম (ফলদ) × 30</t>
  </si>
  <si>
    <t xml:space="preserve">25.802449,89.637573</t>
  </si>
  <si>
    <t xml:space="preserve">লাভলু</t>
  </si>
  <si>
    <t xml:space="preserve">01722677811</t>
  </si>
  <si>
    <t xml:space="preserve">মোঃ ফিরোজ হোসেন</t>
  </si>
  <si>
    <t xml:space="preserve">01758772809</t>
  </si>
  <si>
    <t xml:space="preserve">2 Jul 2026</t>
  </si>
  <si>
    <t xml:space="preserve">25.803479,89.637668</t>
  </si>
  <si>
    <t xml:space="preserve">আবুল</t>
  </si>
  <si>
    <t xml:space="preserve">01725505536</t>
  </si>
  <si>
    <t xml:space="preserve">রাসেল</t>
  </si>
  <si>
    <t xml:space="preserve">হৈমন্তী রানী</t>
  </si>
  <si>
    <t xml:space="preserve">01745506522</t>
  </si>
  <si>
    <t xml:space="preserve">25.803489,89.637743</t>
  </si>
  <si>
    <t xml:space="preserve">জয়ন্তী রানী</t>
  </si>
  <si>
    <t xml:space="preserve">01737665332</t>
  </si>
  <si>
    <t xml:space="preserve">মো: নূর আলম</t>
  </si>
  <si>
    <t xml:space="preserve">দিপু রায</t>
  </si>
  <si>
    <t xml:space="preserve">01737665331</t>
  </si>
  <si>
    <t xml:space="preserve">লেবু (ফলদ) × 2</t>
  </si>
  <si>
    <t xml:space="preserve">25.802847,89.638053</t>
  </si>
  <si>
    <t xml:space="preserve">ওসমান গনি</t>
  </si>
  <si>
    <t xml:space="preserve">01733452846</t>
  </si>
  <si>
    <t xml:space="preserve">আসাদুজ্জামান</t>
  </si>
  <si>
    <t xml:space="preserve">01738227622</t>
  </si>
  <si>
    <t xml:space="preserve">মো: আব্দুল্লাহ আল মামুন</t>
  </si>
  <si>
    <t xml:space="preserve">01710474405</t>
  </si>
  <si>
    <t xml:space="preserve">7 Jul 2026</t>
  </si>
  <si>
    <t xml:space="preserve">25.802921,89.637911</t>
  </si>
  <si>
    <t xml:space="preserve">নবিউল</t>
  </si>
  <si>
    <t xml:space="preserve">01741457151</t>
  </si>
  <si>
    <t xml:space="preserve">শওকত আলী</t>
  </si>
  <si>
    <t xml:space="preserve">01374147151</t>
  </si>
  <si>
    <t xml:space="preserve">মোছাঃ খালেদা খাতুন</t>
  </si>
  <si>
    <t xml:space="preserve">01334031177</t>
  </si>
  <si>
    <t xml:space="preserve">1 Jul 2026</t>
  </si>
  <si>
    <t xml:space="preserve">25.802882,89.637927</t>
  </si>
  <si>
    <t xml:space="preserve">মোঃ৷  সারওয়ার হোসেন</t>
  </si>
  <si>
    <t xml:space="preserve">নারিকেল (ফলদ) × 5</t>
  </si>
  <si>
    <t xml:space="preserve">12 Jul 2026</t>
  </si>
  <si>
    <t xml:space="preserve">22.791749,89.462178</t>
  </si>
  <si>
    <t xml:space="preserve">বাবলু বিশ্বাস</t>
  </si>
  <si>
    <t xml:space="preserve">01715849869</t>
  </si>
  <si>
    <t xml:space="preserve">শেখ আবু হুরায়রা</t>
  </si>
  <si>
    <t xml:space="preserve">01925427257</t>
  </si>
  <si>
    <t xml:space="preserve">22.792484,89.462916</t>
  </si>
  <si>
    <t xml:space="preserve">অনুপ তরফদার</t>
  </si>
  <si>
    <t xml:space="preserve">01944819402</t>
  </si>
  <si>
    <t xml:space="preserve">আম, কাঠাল, নিম, জলপাই ও মেহগনি (ফলদ, বনজ) × 5</t>
  </si>
  <si>
    <t xml:space="preserve">25.46272,89.80184</t>
  </si>
  <si>
    <t xml:space="preserve">মোঃ জাহিদুল ইসলাম</t>
  </si>
  <si>
    <t xml:space="preserve">১৯৫৪২৭৮৭৫৮</t>
  </si>
  <si>
    <t xml:space="preserve">মোঃ নজরুল ইসলাম</t>
  </si>
  <si>
    <t xml:space="preserve">১৯১৭১৮৬৬৮৫</t>
  </si>
  <si>
    <t xml:space="preserve">25.4597,89.80306</t>
  </si>
  <si>
    <t xml:space="preserve">মোঃ আশরাফুল ইসলাম</t>
  </si>
  <si>
    <t xml:space="preserve">০১৯৩৪৯২৯৫৩৩</t>
  </si>
  <si>
    <t xml:space="preserve">25.46249,89.80164</t>
  </si>
  <si>
    <t xml:space="preserve">মোঃ গোলাম মোস্তফা</t>
  </si>
  <si>
    <t xml:space="preserve">০১৯৮৯৮৩৫৬৯১</t>
  </si>
  <si>
    <t xml:space="preserve">25.4616,89.8001</t>
  </si>
  <si>
    <t xml:space="preserve">মোঃ ইব্রাহীম মিয়া</t>
  </si>
  <si>
    <t xml:space="preserve">০১৯১৯৪৩০০৩১</t>
  </si>
  <si>
    <t xml:space="preserve">25.45859,89.80315</t>
  </si>
  <si>
    <t xml:space="preserve">মোঃ হাবিবুর রহমান</t>
  </si>
  <si>
    <t xml:space="preserve">০১৯৩৪৯২৮৭০৮</t>
  </si>
  <si>
    <t xml:space="preserve">25.46175,89.80015</t>
  </si>
  <si>
    <t xml:space="preserve">মোঃ ইয়াছিন আলী</t>
  </si>
  <si>
    <t xml:space="preserve">০১৭২৬৭৬০১৪৪</t>
  </si>
  <si>
    <t xml:space="preserve">1738385819</t>
  </si>
  <si>
    <t xml:space="preserve">25.4626,89.8012</t>
  </si>
  <si>
    <t xml:space="preserve">মোঃ শাহাদত হোসেন</t>
  </si>
  <si>
    <t xml:space="preserve">25.44285,89.78961</t>
  </si>
  <si>
    <t xml:space="preserve">মোঃ আঃ ছাত্তার</t>
  </si>
  <si>
    <t xml:space="preserve">০১৬১৪৯৮৬৬০৬</t>
  </si>
  <si>
    <t xml:space="preserve">25.46239,89.80166</t>
  </si>
  <si>
    <t xml:space="preserve">মোঃ সিরাজুল ইসলাম</t>
  </si>
  <si>
    <t xml:space="preserve">০১৯৩০৩৯০৪৪২</t>
  </si>
  <si>
    <t xml:space="preserve">25.46215,89.80161</t>
  </si>
  <si>
    <t xml:space="preserve">মোঃ ছয়নুদ্দিন</t>
  </si>
  <si>
    <t xml:space="preserve">০১৯৪৩০৭১৯২২</t>
  </si>
  <si>
    <t xml:space="preserve">25.44121,89.78539</t>
  </si>
  <si>
    <t xml:space="preserve">মোছাঃ সুলতানা পারভীন</t>
  </si>
  <si>
    <t xml:space="preserve">০১৯৮৯৩৩৯৫৭৬</t>
  </si>
  <si>
    <t xml:space="preserve">25.44401,89.78675</t>
  </si>
  <si>
    <t xml:space="preserve">মোঃ ছরোয়ার হোসেন</t>
  </si>
  <si>
    <t xml:space="preserve">০১৯০৩১২৪৮৮১</t>
  </si>
  <si>
    <t xml:space="preserve">25.44063,89.78534</t>
  </si>
  <si>
    <t xml:space="preserve">০১৯১৪৯৪৩৪৬৪</t>
  </si>
  <si>
    <t xml:space="preserve">25.43533,89.77657</t>
  </si>
  <si>
    <t xml:space="preserve">মোছাঃ আনিছা খাতুন</t>
  </si>
  <si>
    <t xml:space="preserve">০১৯৫৫১৫৬৪৪৭</t>
  </si>
  <si>
    <t xml:space="preserve">25.44216,89.78666</t>
  </si>
  <si>
    <t xml:space="preserve">মোছাঃ মজিরন খাতুন</t>
  </si>
  <si>
    <t xml:space="preserve">০১৯৭৭৮৮২৪৭৪</t>
  </si>
  <si>
    <t xml:space="preserve">25.43564,89.7833</t>
  </si>
  <si>
    <t xml:space="preserve">মোঃ হেকমত আলী</t>
  </si>
  <si>
    <t xml:space="preserve">০১৭১৯৫০৮২১১</t>
  </si>
  <si>
    <t xml:space="preserve">মোছাঃ সাবানা আক্তার</t>
  </si>
  <si>
    <t xml:space="preserve">০১৯৩০৮৩৩৩২৭</t>
  </si>
  <si>
    <t xml:space="preserve">25.44969,89.79031</t>
  </si>
  <si>
    <t xml:space="preserve">মোছাঃ আছিয়া খাতুন</t>
  </si>
  <si>
    <t xml:space="preserve">০১৯৪৭২২৬৭৩০</t>
  </si>
  <si>
    <t xml:space="preserve">25.46134,89.79856</t>
  </si>
  <si>
    <t xml:space="preserve">মোছাঃ শ্যামলী আকতার</t>
  </si>
  <si>
    <t xml:space="preserve">০১৪০৮০০০৮৬২</t>
  </si>
  <si>
    <t xml:space="preserve">25.45972,89.79661</t>
  </si>
  <si>
    <t xml:space="preserve">মোঃ আকবর হোসেন</t>
  </si>
  <si>
    <t xml:space="preserve">০১৮৯১৭২৩৪৭১</t>
  </si>
  <si>
    <t xml:space="preserve">25.45675,89.79392</t>
  </si>
  <si>
    <t xml:space="preserve">মোঃ আঃ আলিম</t>
  </si>
  <si>
    <t xml:space="preserve">০১৯১২২৬৯৪২০</t>
  </si>
  <si>
    <t xml:space="preserve">25.45845,89.79543</t>
  </si>
  <si>
    <t xml:space="preserve">মোছাঃ জমিলা খাতুন</t>
  </si>
  <si>
    <t xml:space="preserve">০১৮৪৫১৯৯৩০২</t>
  </si>
  <si>
    <t xml:space="preserve">25.45699,89.79346</t>
  </si>
  <si>
    <t xml:space="preserve">মোছাঃ ছালেহা খাতুন</t>
  </si>
  <si>
    <t xml:space="preserve">25.45466,89.79129</t>
  </si>
  <si>
    <t xml:space="preserve">মোঃ রমজান আলী</t>
  </si>
  <si>
    <t xml:space="preserve">০১৮২২৪০৭৮৩৩</t>
  </si>
  <si>
    <t xml:space="preserve">25.45667,89.7662</t>
  </si>
  <si>
    <t xml:space="preserve">মোঃ আঃ সামাদ</t>
  </si>
  <si>
    <t xml:space="preserve">০১৯৮৯৬২৩৬১৯</t>
  </si>
  <si>
    <t xml:space="preserve">25.44236,89.78676</t>
  </si>
  <si>
    <t xml:space="preserve">মোঃ লুৎফর রহমান</t>
  </si>
  <si>
    <t xml:space="preserve">০১৮৪৯৭০২১৫৪</t>
  </si>
  <si>
    <t xml:space="preserve">25.45699,89.76707</t>
  </si>
  <si>
    <t xml:space="preserve">মোঃ আবু বক্কর</t>
  </si>
  <si>
    <t xml:space="preserve">০১৯৮৯০০৮৭০৯</t>
  </si>
  <si>
    <t xml:space="preserve">25.4578,89.76787</t>
  </si>
  <si>
    <t xml:space="preserve">মোঃ বদিউজ্জামান</t>
  </si>
  <si>
    <t xml:space="preserve">০১৯৬৪৩৪৪৯২২</t>
  </si>
  <si>
    <t xml:space="preserve">25.45916,89.80309</t>
  </si>
  <si>
    <t xml:space="preserve">মোঃ গোলাম হোসেন</t>
  </si>
  <si>
    <t xml:space="preserve">০১৯৪১৪১০৫৯</t>
  </si>
  <si>
    <t xml:space="preserve">25.45661,89.81131</t>
  </si>
  <si>
    <t xml:space="preserve">মোঃ আব্দুল ওয়াদুদ</t>
  </si>
  <si>
    <t xml:space="preserve">০১৭৩৪৪২০২৭৭</t>
  </si>
  <si>
    <t xml:space="preserve">25.45522,89.80802</t>
  </si>
  <si>
    <t xml:space="preserve">মোছাঃ লতফিা বগেম</t>
  </si>
  <si>
    <t xml:space="preserve">০১৯৪৪৩২২২৭০</t>
  </si>
  <si>
    <t xml:space="preserve">মোঃ জহুরুল হক,</t>
  </si>
  <si>
    <t xml:space="preserve">০১৭৮৫৬৬২৩৩৬</t>
  </si>
  <si>
    <t xml:space="preserve">25.45465,89.80771</t>
  </si>
  <si>
    <t xml:space="preserve">মোঃ মালকো বগেম</t>
  </si>
  <si>
    <t xml:space="preserve">০১৯৮৯৮৩৫৬৯০</t>
  </si>
  <si>
    <t xml:space="preserve">25.44663,89.80105</t>
  </si>
  <si>
    <t xml:space="preserve">মোঃ আছমত আলী</t>
  </si>
  <si>
    <t xml:space="preserve">০১৯৩৪২৩৮২৩৭</t>
  </si>
  <si>
    <t xml:space="preserve">25.47502,89.81727</t>
  </si>
  <si>
    <t xml:space="preserve">মোঃ রুমানুর রহমান</t>
  </si>
  <si>
    <t xml:space="preserve">০১৯৩২২১৫৮১৩</t>
  </si>
  <si>
    <t xml:space="preserve">25.45121,89.80975</t>
  </si>
  <si>
    <t xml:space="preserve">মোছাঃ অজুফা খাতুন</t>
  </si>
  <si>
    <t xml:space="preserve">০১৯৫৫১৫৬৭২৩</t>
  </si>
  <si>
    <t xml:space="preserve">25.45117,89.81354</t>
  </si>
  <si>
    <t xml:space="preserve">মোছাঃ মালকো বগেম</t>
  </si>
  <si>
    <t xml:space="preserve">০১৯৩৫৬৩৩৫৩৫</t>
  </si>
  <si>
    <t xml:space="preserve">25.45156,89.81366</t>
  </si>
  <si>
    <t xml:space="preserve">মোছাঃ খাদজিা খাতুন</t>
  </si>
  <si>
    <t xml:space="preserve">০১৯৩৫৬৩৩৭৬৯</t>
  </si>
  <si>
    <t xml:space="preserve">25.45354,89.81551</t>
  </si>
  <si>
    <t xml:space="preserve">মোছাঃ মমতাজ খাতুন</t>
  </si>
  <si>
    <t xml:space="preserve">০১৯০৪৯৩৬০০১</t>
  </si>
  <si>
    <t xml:space="preserve">25.45528,89.80773</t>
  </si>
  <si>
    <t xml:space="preserve">মোঃ মোখলসেুর</t>
  </si>
  <si>
    <t xml:space="preserve">০১৯১৭৮৪৪২১৯</t>
  </si>
  <si>
    <t xml:space="preserve">25.45217,89.80964</t>
  </si>
  <si>
    <t xml:space="preserve">মোছাঃ শ্যামলী খাতুন</t>
  </si>
  <si>
    <t xml:space="preserve">০১৯৬৩৯৭৬৩৬৬</t>
  </si>
  <si>
    <t xml:space="preserve">25.45238,89.80929</t>
  </si>
  <si>
    <t xml:space="preserve">মোছাঃ মনরিা খাতুন</t>
  </si>
  <si>
    <t xml:space="preserve">০১৯০৩৪১০১৪২</t>
  </si>
  <si>
    <t xml:space="preserve">25.45054,89.8095</t>
  </si>
  <si>
    <t xml:space="preserve">মোছাঃ রহমিা খাতুন</t>
  </si>
  <si>
    <t xml:space="preserve">০১৭২৫২১৬৮৭৩</t>
  </si>
  <si>
    <t xml:space="preserve">25.45053,89.81024</t>
  </si>
  <si>
    <t xml:space="preserve">মোছাঃ নপিা খাতুন</t>
  </si>
  <si>
    <t xml:space="preserve">০১৯৮১৮১৮৫২৫</t>
  </si>
  <si>
    <t xml:space="preserve">25.45067,89.80996</t>
  </si>
  <si>
    <t xml:space="preserve">মোছাঃ বগেম খাতুন</t>
  </si>
  <si>
    <t xml:space="preserve">০১৯২২৪৫৫৭১৮</t>
  </si>
  <si>
    <t xml:space="preserve">25.50175,89.76284</t>
  </si>
  <si>
    <t xml:space="preserve">মোঃ আব্দুল্লাহ</t>
  </si>
  <si>
    <t xml:space="preserve">০১৭৯২৭৭০৮২৩</t>
  </si>
  <si>
    <t xml:space="preserve">হাফিজা খাতুন</t>
  </si>
  <si>
    <t xml:space="preserve">১৯৮৩৬২২২৭৫</t>
  </si>
  <si>
    <t xml:space="preserve">25.50164,89.76285</t>
  </si>
  <si>
    <t xml:space="preserve">০১৭০৩৩৪২১০৩</t>
  </si>
  <si>
    <t xml:space="preserve">25.50169,89.763</t>
  </si>
  <si>
    <t xml:space="preserve">মোঃ আবু সাইদ</t>
  </si>
  <si>
    <t xml:space="preserve">০১৬৪৮৭৭৯০৩৬</t>
  </si>
  <si>
    <t xml:space="preserve">25.50172,89.76337</t>
  </si>
  <si>
    <t xml:space="preserve">মোঃ আরিফুল ইসলাম</t>
  </si>
  <si>
    <t xml:space="preserve">০১৭৮৮২৩৬৮১৬</t>
  </si>
  <si>
    <t xml:space="preserve">যাদুরচর</t>
  </si>
  <si>
    <t xml:space="preserve">25.50195,89.76439</t>
  </si>
  <si>
    <t xml:space="preserve">মোঃ নুর হোসেন</t>
  </si>
  <si>
    <t xml:space="preserve">০১৯৭১৭৪৫৭৫৭</t>
  </si>
  <si>
    <t xml:space="preserve">25.50191,89.76519</t>
  </si>
  <si>
    <t xml:space="preserve">মোঃ ডাইভার হোসেন</t>
  </si>
  <si>
    <t xml:space="preserve">০১৬২৪২৭৮৪১২</t>
  </si>
  <si>
    <t xml:space="preserve">25.50213,89.76598</t>
  </si>
  <si>
    <t xml:space="preserve">মোঃ মানিক মিয়া</t>
  </si>
  <si>
    <t xml:space="preserve">০১৩২০৫৪৫৮০৪</t>
  </si>
  <si>
    <t xml:space="preserve">25.50236,89.76604</t>
  </si>
  <si>
    <t xml:space="preserve">মোছাঃ রমেছা খাতুন</t>
  </si>
  <si>
    <t xml:space="preserve">০১৪০৬৬৭৬১৬৫</t>
  </si>
  <si>
    <t xml:space="preserve">25.502276,89.76636</t>
  </si>
  <si>
    <t xml:space="preserve">০১৭৪১৭৩২৬৭৩</t>
  </si>
  <si>
    <t xml:space="preserve">25.50222,89.76642</t>
  </si>
  <si>
    <t xml:space="preserve">মোঃ ফরিজল হক</t>
  </si>
  <si>
    <t xml:space="preserve">০১৯০৭৯২৩৩৪১</t>
  </si>
  <si>
    <t xml:space="preserve">25.49762,89.76781</t>
  </si>
  <si>
    <t xml:space="preserve">মোঃ আবুল কালাম আজাদ</t>
  </si>
  <si>
    <t xml:space="preserve">০১৮২১২২৮২৫৩</t>
  </si>
  <si>
    <t xml:space="preserve">25.4743,89.7678</t>
  </si>
  <si>
    <t xml:space="preserve">মোঃ মমিনুল ইসলাম</t>
  </si>
  <si>
    <t xml:space="preserve">০১৯৫৩৪২৭৩৭৭</t>
  </si>
  <si>
    <t xml:space="preserve">25.49552,89.76726</t>
  </si>
  <si>
    <t xml:space="preserve">মোঃ নুরুল হক</t>
  </si>
  <si>
    <t xml:space="preserve">25.50257,89.76734</t>
  </si>
  <si>
    <t xml:space="preserve">মোছাঃ মৌসুমী খাতুন</t>
  </si>
  <si>
    <t xml:space="preserve">০১৮৫৪৫৪৮৪৯৪</t>
  </si>
  <si>
    <t xml:space="preserve">25.50335,89.768669</t>
  </si>
  <si>
    <t xml:space="preserve">মোঃ সাইদুর রহমান</t>
  </si>
  <si>
    <t xml:space="preserve">০১৭৫২০৫৪১৮২</t>
  </si>
  <si>
    <t xml:space="preserve">25.49771,89.76855</t>
  </si>
  <si>
    <t xml:space="preserve">মোঃ মমিনুল হক</t>
  </si>
  <si>
    <t xml:space="preserve">25.49786,89.76835</t>
  </si>
  <si>
    <t xml:space="preserve">মোঃ খলিল</t>
  </si>
  <si>
    <t xml:space="preserve">০১৯৬৫৮৬৭৪৬৭</t>
  </si>
  <si>
    <t xml:space="preserve">25.49765,89.76818</t>
  </si>
  <si>
    <t xml:space="preserve">মোঃ আঃ মান্নান</t>
  </si>
  <si>
    <t xml:space="preserve">০১৮২৮০৫৮৮০১</t>
  </si>
  <si>
    <t xml:space="preserve">25.50258,89.76701</t>
  </si>
  <si>
    <t xml:space="preserve">মোঃ মেহেদুল ইসলাম</t>
  </si>
  <si>
    <t xml:space="preserve">25.49765,89.76809</t>
  </si>
  <si>
    <t xml:space="preserve">মোঃ রাশেদুল ইসলাম</t>
  </si>
  <si>
    <t xml:space="preserve">০১৯৭৮০৫২২৭৯</t>
  </si>
  <si>
    <t xml:space="preserve">25.4531,89.82571</t>
  </si>
  <si>
    <t xml:space="preserve">মোঃ আবু বক্কও</t>
  </si>
  <si>
    <t xml:space="preserve">০১৭৩০২১৩৮৮৬</t>
  </si>
  <si>
    <t xml:space="preserve">০১৭৪৩৬৬৮৬৮০</t>
  </si>
  <si>
    <t xml:space="preserve">25.45354,89.82546</t>
  </si>
  <si>
    <t xml:space="preserve">মোঃ তৌকির আহমেদ</t>
  </si>
  <si>
    <t xml:space="preserve">০১৯৬৬৩৪৯১৬২</t>
  </si>
  <si>
    <t xml:space="preserve">25.45334,89.82611</t>
  </si>
  <si>
    <t xml:space="preserve">মোছাঃ আফরোজা খাতুন</t>
  </si>
  <si>
    <t xml:space="preserve">০১৬১৩৯৪৭৭৭৫</t>
  </si>
  <si>
    <t xml:space="preserve">25.45348,89.82685</t>
  </si>
  <si>
    <t xml:space="preserve">মোছাঃ পারুল</t>
  </si>
  <si>
    <t xml:space="preserve">০১৯৪২৮৮৫০০২</t>
  </si>
  <si>
    <t xml:space="preserve">25.45361,89.82681</t>
  </si>
  <si>
    <t xml:space="preserve">মোঃ জয়নাল আবেদীন</t>
  </si>
  <si>
    <t xml:space="preserve">০১৯৪২৮৮৫৯৯২</t>
  </si>
  <si>
    <t xml:space="preserve">25.4541,89.82674</t>
  </si>
  <si>
    <t xml:space="preserve">মোঃ মোকলেছ উদ্দিন</t>
  </si>
  <si>
    <t xml:space="preserve">০১৪০৫২৫৬০৬৮</t>
  </si>
  <si>
    <t xml:space="preserve">25.45403,89.82729</t>
  </si>
  <si>
    <t xml:space="preserve">মোছাঃ সুফিয়া খাতুন</t>
  </si>
  <si>
    <t xml:space="preserve">০১৯৮৩৩৪৯৩৫৭</t>
  </si>
  <si>
    <t xml:space="preserve">25.4535,89.82733</t>
  </si>
  <si>
    <t xml:space="preserve">বছির আলম</t>
  </si>
  <si>
    <t xml:space="preserve">০১৯৪২০৬৮৩৬৭</t>
  </si>
  <si>
    <t xml:space="preserve">25.45354,89.82736</t>
  </si>
  <si>
    <t xml:space="preserve">মোছাঃ মাহমুদা খাতুন</t>
  </si>
  <si>
    <t xml:space="preserve">০১৯১৬৪২১৩৯৫</t>
  </si>
  <si>
    <t xml:space="preserve">25.45341,89.82812</t>
  </si>
  <si>
    <t xml:space="preserve">০১৯২২০২৮৯৭৫</t>
  </si>
  <si>
    <t xml:space="preserve">০১৮১৫৮১৪২২১</t>
  </si>
  <si>
    <t xml:space="preserve">25.43995,89.82345</t>
  </si>
  <si>
    <t xml:space="preserve">মোঃ নুরুজ্জামান</t>
  </si>
  <si>
    <t xml:space="preserve">০১৯৭৬১০০৬৮৬</t>
  </si>
  <si>
    <t xml:space="preserve">25.43827,89.82528</t>
  </si>
  <si>
    <t xml:space="preserve">মোছাঃ ওযুফা  খাতুন</t>
  </si>
  <si>
    <t xml:space="preserve">০১৯১০৫৩৮০০২</t>
  </si>
  <si>
    <t xml:space="preserve">25.43814,89.82607</t>
  </si>
  <si>
    <t xml:space="preserve">মোঃ ই¯্রাফিল হক</t>
  </si>
  <si>
    <t xml:space="preserve">০১৭৪৭৫৪৯৭৯৬</t>
  </si>
  <si>
    <t xml:space="preserve">25.43283,89.82583</t>
  </si>
  <si>
    <t xml:space="preserve">মোঃ ছালাম মিয়া</t>
  </si>
  <si>
    <t xml:space="preserve">০১৯৩৫৬৩৩৯২৫</t>
  </si>
  <si>
    <t xml:space="preserve">25.44033,89.82836</t>
  </si>
  <si>
    <t xml:space="preserve">০১৮২৯৫৪৮৯৭৬</t>
  </si>
  <si>
    <t xml:space="preserve">25.43313,89.82374</t>
  </si>
  <si>
    <t xml:space="preserve">মোঃ আজিবর রহমান</t>
  </si>
  <si>
    <t xml:space="preserve">০১৪০১৯৬৩০৩৬</t>
  </si>
  <si>
    <t xml:space="preserve">25.44095,89.82433</t>
  </si>
  <si>
    <t xml:space="preserve">মোঃ আইজুল ইসলাম</t>
  </si>
  <si>
    <t xml:space="preserve">০১৯৮৭৮৭৯৩৭৮</t>
  </si>
  <si>
    <t xml:space="preserve">25.4384,89.82476</t>
  </si>
  <si>
    <t xml:space="preserve">০১৯১৪২৯০৭৬২</t>
  </si>
  <si>
    <t xml:space="preserve">25.49897,89.82783</t>
  </si>
  <si>
    <t xml:space="preserve">মোঃ সফিউর রহমান</t>
  </si>
  <si>
    <t xml:space="preserve">25.43863,89.82468</t>
  </si>
  <si>
    <t xml:space="preserve">মোঃ সফিকুল ইসলাম</t>
  </si>
  <si>
    <t xml:space="preserve">০১৯২৬৪৬১২০৭</t>
  </si>
  <si>
    <t xml:space="preserve">Bridge</t>
  </si>
  <si>
    <t xml:space="preserve">25.4388,89.82367</t>
  </si>
  <si>
    <t xml:space="preserve">মোঃ মোনাহার আলী</t>
  </si>
  <si>
    <t xml:space="preserve">০১৩৪৩৮১৯৪৭৭</t>
  </si>
  <si>
    <t xml:space="preserve">25.4383,89.82489</t>
  </si>
  <si>
    <t xml:space="preserve">মোছাঃ কহিনুর</t>
  </si>
  <si>
    <t xml:space="preserve">০১৯৮৪৩৫৭০৮</t>
  </si>
  <si>
    <t xml:space="preserve">25.43891,89.82782</t>
  </si>
  <si>
    <t xml:space="preserve">মোঃ তারু মিয়া</t>
  </si>
  <si>
    <t xml:space="preserve">০১৯৬২০৯৫৯৮</t>
  </si>
  <si>
    <t xml:space="preserve">25.413209,89.767715</t>
  </si>
  <si>
    <t xml:space="preserve">০১৭৯৩৬৪৬৪০৬</t>
  </si>
  <si>
    <t xml:space="preserve">মোছাঃ দিলশাদ জাহান</t>
  </si>
  <si>
    <t xml:space="preserve">০১৯৩৭৩৭১৬০৪</t>
  </si>
  <si>
    <t xml:space="preserve">25.412461,89.767388</t>
  </si>
  <si>
    <t xml:space="preserve">মোঃ আব্দুস সালাম</t>
  </si>
  <si>
    <t xml:space="preserve">০১৬১৫২৫২৭৬২</t>
  </si>
  <si>
    <t xml:space="preserve">25.412654,89.767452</t>
  </si>
  <si>
    <t xml:space="preserve">মোঃ সোহেল রানা</t>
  </si>
  <si>
    <t xml:space="preserve">০১৬৪৮৪৯১১৪২</t>
  </si>
  <si>
    <t xml:space="preserve">25.41347,89.767654</t>
  </si>
  <si>
    <t xml:space="preserve">মোঃ ছলিম উদ্দিন</t>
  </si>
  <si>
    <t xml:space="preserve">০১৯৯৫৬৬৮৮৭২</t>
  </si>
  <si>
    <t xml:space="preserve">25.414145,89.765339</t>
  </si>
  <si>
    <t xml:space="preserve">মোঃ মাইদুল ইসলাম</t>
  </si>
  <si>
    <t xml:space="preserve">০১৯২৫৭২৬৮০৯</t>
  </si>
  <si>
    <t xml:space="preserve">25.413133,89.767455</t>
  </si>
  <si>
    <t xml:space="preserve">মোঃ আল মামুন</t>
  </si>
  <si>
    <t xml:space="preserve">০১৭৬৬১০৭৬১৩</t>
  </si>
  <si>
    <t xml:space="preserve">25.412798,89.767453</t>
  </si>
  <si>
    <t xml:space="preserve">মোঃ ছানোয়ার হোসেন</t>
  </si>
  <si>
    <t xml:space="preserve">০১৮৩১৪৮৪০৪০</t>
  </si>
  <si>
    <t xml:space="preserve">25.413274,89.76747</t>
  </si>
  <si>
    <t xml:space="preserve">মোছাঃ কদভানু বেগম</t>
  </si>
  <si>
    <t xml:space="preserve">০১৮২৮১৯২৯৪০</t>
  </si>
  <si>
    <t xml:space="preserve">25.413472,89.766374</t>
  </si>
  <si>
    <t xml:space="preserve">০১৭৩৪৩৭০৫০৯</t>
  </si>
  <si>
    <t xml:space="preserve">25.413118,89.767415</t>
  </si>
  <si>
    <t xml:space="preserve">মোঃ মাসুদ রানা</t>
  </si>
  <si>
    <t xml:space="preserve">০১৭৫৩৬৫৬৬০৩</t>
  </si>
  <si>
    <t xml:space="preserve">25.42506,89.76709</t>
  </si>
  <si>
    <t xml:space="preserve">মোছাঃ আশামণি</t>
  </si>
  <si>
    <t xml:space="preserve">০১৯৯৪৫৮৯০৮৯</t>
  </si>
  <si>
    <t xml:space="preserve">25.42571,89.76702</t>
  </si>
  <si>
    <t xml:space="preserve">25.42818,89.77167</t>
  </si>
  <si>
    <t xml:space="preserve">মোঃ জহুরুল ইসলাম</t>
  </si>
  <si>
    <t xml:space="preserve">০১৫১৯৬০৬০১১</t>
  </si>
  <si>
    <t xml:space="preserve">25.42281,89.77098</t>
  </si>
  <si>
    <t xml:space="preserve">০১৯৩৭১৮২৩৩৬</t>
  </si>
  <si>
    <t xml:space="preserve">25.42813,89.77142</t>
  </si>
  <si>
    <t xml:space="preserve">মোছাঃ জবেদা বেগম</t>
  </si>
  <si>
    <t xml:space="preserve">০১৫১৯৬০৬০১০</t>
  </si>
  <si>
    <t xml:space="preserve">25.42876,89.77143</t>
  </si>
  <si>
    <t xml:space="preserve">মোঃ আকরাম হোসেন</t>
  </si>
  <si>
    <t xml:space="preserve">25.42284,89.77108</t>
  </si>
  <si>
    <t xml:space="preserve">মোঃ হাফিজুর</t>
  </si>
  <si>
    <t xml:space="preserve">০১৯৩৪৭৮৮৯৩৪</t>
  </si>
  <si>
    <t xml:space="preserve">25.4298,89.77101</t>
  </si>
  <si>
    <t xml:space="preserve">মোঃ শফিকুল ইসলাম</t>
  </si>
  <si>
    <t xml:space="preserve">০১৭৮১১৭৫৫৬৫</t>
  </si>
  <si>
    <t xml:space="preserve">25.42669,89.77173</t>
  </si>
  <si>
    <t xml:space="preserve">মোঃ অছিউজ্জামান</t>
  </si>
  <si>
    <t xml:space="preserve">০১৪০৬২১৭৭৭১</t>
  </si>
  <si>
    <t xml:space="preserve">25.42811,89.77108</t>
  </si>
  <si>
    <t xml:space="preserve">মোছাঃ তানজিনা খাতুন</t>
  </si>
  <si>
    <t xml:space="preserve">০১৬৪৫৭৫০৪০৭</t>
  </si>
  <si>
    <t xml:space="preserve">25.42482,89.76615</t>
  </si>
  <si>
    <t xml:space="preserve">মোছাঃ আসমাউল হুসনা</t>
  </si>
  <si>
    <t xml:space="preserve">০১৭০৫১০৫৩৪৬</t>
  </si>
  <si>
    <t xml:space="preserve">Invalid Latitude range</t>
  </si>
  <si>
    <t xml:space="preserve">25.42489,89.76602</t>
  </si>
  <si>
    <t xml:space="preserve">মোঃ সিরাজ উদ্দৌল্লা</t>
  </si>
  <si>
    <t xml:space="preserve">০১৭০৬১০৫৩৪৬</t>
  </si>
  <si>
    <t xml:space="preserve">মোঃ আতোয়ার হোসেন</t>
  </si>
  <si>
    <t xml:space="preserve">০১৭১০৮২৫৬২৩</t>
  </si>
  <si>
    <t xml:space="preserve">উপজেলা খালি; রোপণের তারিখ খালি</t>
  </si>
  <si>
    <t xml:space="preserve">25.4275,89.76555</t>
  </si>
  <si>
    <t xml:space="preserve">মোঃ মেহের চান</t>
  </si>
  <si>
    <t xml:space="preserve">০১৯১৭৬৮৩৯৫</t>
  </si>
  <si>
    <t xml:space="preserve">25.42747,89.7655</t>
  </si>
  <si>
    <t xml:space="preserve">০১৯১৭৬৮৩০৯৫</t>
  </si>
  <si>
    <t xml:space="preserve">25.42533,89.76436</t>
  </si>
  <si>
    <t xml:space="preserve">মোঃ রবিউল ইসলাম</t>
  </si>
  <si>
    <t xml:space="preserve">০১৬০৮০৯৯২৮৭</t>
  </si>
  <si>
    <t xml:space="preserve">25.42502,89.76367</t>
  </si>
  <si>
    <t xml:space="preserve">মোছাঃ রুপালী বেগম</t>
  </si>
  <si>
    <t xml:space="preserve">০১৬০৮০৯৯২৮০</t>
  </si>
  <si>
    <t xml:space="preserve">25.42606,89.76383</t>
  </si>
  <si>
    <t xml:space="preserve">মোছাঃ মনির মিয়া</t>
  </si>
  <si>
    <t xml:space="preserve">০১৮৫৯৭৯৩৮৩১</t>
  </si>
  <si>
    <t xml:space="preserve">25.403302,89.736597</t>
  </si>
  <si>
    <t xml:space="preserve">মোঃ শাবলু মিয়া</t>
  </si>
  <si>
    <t xml:space="preserve">০১৩২২১৪৮৩২২</t>
  </si>
  <si>
    <t xml:space="preserve">মোঃ আয়নাল হক</t>
  </si>
  <si>
    <t xml:space="preserve">০১৮৭৪৫৮২৫৩৪</t>
  </si>
  <si>
    <t xml:space="preserve">25.4249,89.77169</t>
  </si>
  <si>
    <t xml:space="preserve">মোছাঃ নুরুন্নাহার বেগম</t>
  </si>
  <si>
    <t xml:space="preserve">০১৯৯৭৪৩৭৪৪২</t>
  </si>
  <si>
    <t xml:space="preserve">25.42515,89.77137</t>
  </si>
  <si>
    <t xml:space="preserve">মোছাঃ নাছিমা খাতুন</t>
  </si>
  <si>
    <t xml:space="preserve">০১৮১০৭০৭৬২৬</t>
  </si>
  <si>
    <t xml:space="preserve">25.42481,89.77102</t>
  </si>
  <si>
    <t xml:space="preserve">মোঃ আব্দুল আজিজ</t>
  </si>
  <si>
    <t xml:space="preserve">০১৬১০৩২৯১৫৪</t>
  </si>
  <si>
    <t xml:space="preserve">25.4285,89.77186</t>
  </si>
  <si>
    <t xml:space="preserve">মোঃ মতিউর রহমান</t>
  </si>
  <si>
    <t xml:space="preserve">০১৯৩৭১৭৭৯৫২</t>
  </si>
  <si>
    <t xml:space="preserve">25.42492,89.77183</t>
  </si>
  <si>
    <t xml:space="preserve">মোঃ মিজানুর রহমান</t>
  </si>
  <si>
    <t xml:space="preserve">০১৯১৩৮৪৫২৫৩</t>
  </si>
  <si>
    <t xml:space="preserve">25.46405,89.77541</t>
  </si>
  <si>
    <t xml:space="preserve">মোঃ হাসানুল হক</t>
  </si>
  <si>
    <t xml:space="preserve">০১৮৬৪৮৬৮৬৫৮</t>
  </si>
  <si>
    <t xml:space="preserve">25.463507,89.77526</t>
  </si>
  <si>
    <t xml:space="preserve">মোঃ সোরহাব হোসেন</t>
  </si>
  <si>
    <t xml:space="preserve">০১৯৩৫৬৭৫৮৬৮</t>
  </si>
  <si>
    <t xml:space="preserve">০১৯২৪৬৯২০৭৫</t>
  </si>
  <si>
    <t xml:space="preserve">25.463459,89.775239</t>
  </si>
  <si>
    <t xml:space="preserve">মোঃ নুর ইসলাম</t>
  </si>
  <si>
    <t xml:space="preserve">০১৯৩৮৫৬২৩৫৪</t>
  </si>
  <si>
    <t xml:space="preserve">25.46319,89.77541</t>
  </si>
  <si>
    <t xml:space="preserve">মোঃ ফুল মিয়া</t>
  </si>
  <si>
    <t xml:space="preserve">০১৮০৬০৪৮৯৯৯</t>
  </si>
  <si>
    <t xml:space="preserve">25.46288,89.77583</t>
  </si>
  <si>
    <t xml:space="preserve">মোঃ এমদাদুল হক</t>
  </si>
  <si>
    <t xml:space="preserve">০১৬৪১৩৫৬৭৮৬</t>
  </si>
  <si>
    <t xml:space="preserve">Chor Sajai MandalPara Bridge ( চর সাজাই মন্ডল পাড়া ব্রিজ )</t>
  </si>
  <si>
    <t xml:space="preserve">25.46053,89.77564</t>
  </si>
  <si>
    <t xml:space="preserve">মোঃ হানিফ আলী</t>
  </si>
  <si>
    <t xml:space="preserve">০১৮৫৮৮৮১৮৬৭</t>
  </si>
  <si>
    <t xml:space="preserve">Address not found</t>
  </si>
  <si>
    <t xml:space="preserve">25.46114,89.77571</t>
  </si>
  <si>
    <t xml:space="preserve">০১৮২৩২৯৮৮৩২</t>
  </si>
  <si>
    <t xml:space="preserve">25.45605,89.7765</t>
  </si>
  <si>
    <t xml:space="preserve">মোঃ আবুল হোসেন</t>
  </si>
  <si>
    <t xml:space="preserve">০১৬০৯২২১৭৩০</t>
  </si>
  <si>
    <t xml:space="preserve">25.46129,89.77545</t>
  </si>
  <si>
    <t xml:space="preserve">মোঃ আশরাফ আলী</t>
  </si>
  <si>
    <t xml:space="preserve">০১৬১১৩৬৫১৫৫</t>
  </si>
  <si>
    <t xml:space="preserve">ⵖⴰⵜ غات Ghat</t>
  </si>
  <si>
    <t xml:space="preserve">25.47209,89.77721</t>
  </si>
  <si>
    <t xml:space="preserve">০১৯৬৯৫৯৬০৪৬</t>
  </si>
  <si>
    <t xml:space="preserve">25.45789,89.76852</t>
  </si>
  <si>
    <t xml:space="preserve">মোঃ ইকবাল হোসেন</t>
  </si>
  <si>
    <t xml:space="preserve">০১৯৫৯৫৮৮৫৫৭</t>
  </si>
  <si>
    <t xml:space="preserve">25.45807,89.767</t>
  </si>
  <si>
    <t xml:space="preserve">মোঃ শুক্কুর আলী</t>
  </si>
  <si>
    <t xml:space="preserve">০১৯১৮৭৫৩২২০</t>
  </si>
  <si>
    <t xml:space="preserve">25.45833,89.7761</t>
  </si>
  <si>
    <t xml:space="preserve">মোঃ জয়েন উদ্দিন</t>
  </si>
  <si>
    <t xml:space="preserve">০১৯৩১৮২৬৬৬৪</t>
  </si>
  <si>
    <t xml:space="preserve">25.45583,89.76702</t>
  </si>
  <si>
    <t xml:space="preserve">25.45522,89.76677</t>
  </si>
  <si>
    <t xml:space="preserve">মোঃ আঃ মজিদ</t>
  </si>
  <si>
    <t xml:space="preserve">০১৯১৮৪৮২১৯১৪৮</t>
  </si>
  <si>
    <t xml:space="preserve">25.47167,89.77596</t>
  </si>
  <si>
    <t xml:space="preserve">মোঃ হারুন মিয়া</t>
  </si>
  <si>
    <t xml:space="preserve">০১৬২৭০৪১৩১০</t>
  </si>
  <si>
    <t xml:space="preserve">25.45636,89.77661</t>
  </si>
  <si>
    <t xml:space="preserve">মোছাঃ আনোয়ারা খাতুন</t>
  </si>
  <si>
    <t xml:space="preserve">০১৬০৯৮৬০২৫</t>
  </si>
  <si>
    <t xml:space="preserve">25.463031,89.77541</t>
  </si>
  <si>
    <t xml:space="preserve">মোঃ আঃ আজিজ</t>
  </si>
  <si>
    <t xml:space="preserve">25.46978,89.77595</t>
  </si>
  <si>
    <t xml:space="preserve">মোঃ আছর উদ্দিন</t>
  </si>
  <si>
    <t xml:space="preserve">০১৫৮০৪৭৩৯৭৭</t>
  </si>
  <si>
    <t xml:space="preserve">মোঃ মশিউর রহমান</t>
  </si>
  <si>
    <t xml:space="preserve">০১৩৬৪৭৭০৪৩</t>
  </si>
  <si>
    <t xml:space="preserve">25.47199,89.77729</t>
  </si>
  <si>
    <t xml:space="preserve">মোছাঃ জহুরা খাতুন</t>
  </si>
  <si>
    <t xml:space="preserve">০১৮৮৯৯৫২০২৩</t>
  </si>
  <si>
    <t xml:space="preserve">2547209,89.77741</t>
  </si>
  <si>
    <t xml:space="preserve">মোছাঃ জেসমিন খাতুন</t>
  </si>
  <si>
    <t xml:space="preserve">০১৯০৪৮৫৯১২০</t>
  </si>
  <si>
    <t xml:space="preserve">জিও-কোঅর্ডিনেট ত্রুটিপূর্ণ; রোপণের তারিখ খালি</t>
  </si>
  <si>
    <t xml:space="preserve">25.46668,89.7619</t>
  </si>
  <si>
    <t xml:space="preserve">মোছাঃ আদর আলী</t>
  </si>
  <si>
    <t xml:space="preserve">০১৯৪২১৭৫৬৫০</t>
  </si>
  <si>
    <t xml:space="preserve">25.45807,89.76712</t>
  </si>
  <si>
    <t xml:space="preserve">মোছাঃ মর্জিনা বেগম</t>
  </si>
  <si>
    <t xml:space="preserve">০১৯৬৯১৬৫৫৬০</t>
  </si>
  <si>
    <t xml:space="preserve">25.45806,89.76861</t>
  </si>
  <si>
    <t xml:space="preserve">মোঃ আলীম</t>
  </si>
  <si>
    <t xml:space="preserve">০১৯২৬২৩৯৮১৪</t>
  </si>
  <si>
    <t xml:space="preserve">25.483434,89.792378</t>
  </si>
  <si>
    <t xml:space="preserve">মোঃ সমের আলী</t>
  </si>
  <si>
    <t xml:space="preserve">০১৭৮৩০২৭৯৫৩</t>
  </si>
  <si>
    <t xml:space="preserve">মোঃ আনোয়ার হোসেন</t>
  </si>
  <si>
    <t xml:space="preserve">০১৭১৮১৬৫৪৯১</t>
  </si>
  <si>
    <t xml:space="preserve">25.482685,89.792396</t>
  </si>
  <si>
    <t xml:space="preserve">০১৯১৪৫৭৪০৭৫</t>
  </si>
  <si>
    <t xml:space="preserve">25.486542,89.795362</t>
  </si>
  <si>
    <t xml:space="preserve">মোঃ শাহজাহান</t>
  </si>
  <si>
    <t xml:space="preserve">০১৯৮৮১৪৮১৩১</t>
  </si>
  <si>
    <t xml:space="preserve">25.467781,89.79497</t>
  </si>
  <si>
    <t xml:space="preserve">মোঃ আঃ করিম</t>
  </si>
  <si>
    <t xml:space="preserve">০১৯০৮২৩৬২১৫</t>
  </si>
  <si>
    <t xml:space="preserve">25.498313,89.779273</t>
  </si>
  <si>
    <t xml:space="preserve">মোঃ হাবেজ উদ্দিন</t>
  </si>
  <si>
    <t xml:space="preserve">০১৪০৫৯৬০৩০০</t>
  </si>
  <si>
    <t xml:space="preserve">25.496947,89.779314</t>
  </si>
  <si>
    <t xml:space="preserve">মোঃ আবু সামা</t>
  </si>
  <si>
    <t xml:space="preserve">০১৯২২৫২৭৮৪০</t>
  </si>
  <si>
    <t xml:space="preserve">25.496424,89.773006</t>
  </si>
  <si>
    <t xml:space="preserve">মোঃ হাসান মিয়া</t>
  </si>
  <si>
    <t xml:space="preserve">০১৯৪৮৪৫৩৭৭৫</t>
  </si>
  <si>
    <t xml:space="preserve">25.497345,89.778231</t>
  </si>
  <si>
    <t xml:space="preserve">মোছাঃ দেলোয়ারা খাতুন</t>
  </si>
  <si>
    <t xml:space="preserve">০১৯৩৮১০৩২১৫</t>
  </si>
  <si>
    <t xml:space="preserve">25.498034,89.780624</t>
  </si>
  <si>
    <t xml:space="preserve">মোঃ মাজেদা খাতুন</t>
  </si>
  <si>
    <t xml:space="preserve">০১৯৬৮১৮৬৬৮৯</t>
  </si>
  <si>
    <t xml:space="preserve">25.497393,89.77817</t>
  </si>
  <si>
    <t xml:space="preserve">মোছাঃ ছাহেরা খাতুন</t>
  </si>
  <si>
    <t xml:space="preserve">০১৯২৭০৯৫৭৪৩</t>
  </si>
  <si>
    <t xml:space="preserve">25.496565,89.778095</t>
  </si>
  <si>
    <t xml:space="preserve">মোঃ আঃ কাদের</t>
  </si>
  <si>
    <t xml:space="preserve">০১৯৬৮১৯১৫১৩</t>
  </si>
  <si>
    <t xml:space="preserve">25.495823,89.775805</t>
  </si>
  <si>
    <t xml:space="preserve">মোঃ সোহানুর মিয়া</t>
  </si>
  <si>
    <t xml:space="preserve">০১৮১৬৯৪৪১০৯</t>
  </si>
  <si>
    <t xml:space="preserve">25.50488,89.77825</t>
  </si>
  <si>
    <t xml:space="preserve">মোঃ জায়েদুল রহমান</t>
  </si>
  <si>
    <t xml:space="preserve">০১৯৮৮৮৩২২১৩</t>
  </si>
  <si>
    <t xml:space="preserve">25.50766,89.78096</t>
  </si>
  <si>
    <t xml:space="preserve">মোঃ ইনছান আলী</t>
  </si>
  <si>
    <t xml:space="preserve">০১৯০৯০১৯৯০৪</t>
  </si>
  <si>
    <t xml:space="preserve">2550778,89.7821</t>
  </si>
  <si>
    <t xml:space="preserve">মোঃ দুদু মিয়া</t>
  </si>
  <si>
    <t xml:space="preserve">25.50996,89.78164</t>
  </si>
  <si>
    <t xml:space="preserve">মোছাঃ জাহানারা খাতুন</t>
  </si>
  <si>
    <t xml:space="preserve">০১৩৩০২৫৯১২০</t>
  </si>
  <si>
    <t xml:space="preserve">25.50786,8978236</t>
  </si>
  <si>
    <t xml:space="preserve">মোঃ মোবশের আলম</t>
  </si>
  <si>
    <t xml:space="preserve">০১৯২২৯৮১৪৭৬</t>
  </si>
  <si>
    <t xml:space="preserve">25.51108,89.78194</t>
  </si>
  <si>
    <t xml:space="preserve">মোঃ এবাদুল হক</t>
  </si>
  <si>
    <t xml:space="preserve">০১৯৮৬৫৯১৮১১</t>
  </si>
  <si>
    <t xml:space="preserve">25.51042,89.7836</t>
  </si>
  <si>
    <t xml:space="preserve">মোঃ সবুজ মিয়া</t>
  </si>
  <si>
    <t xml:space="preserve">০১৯৮০১১৮৯৭৯</t>
  </si>
  <si>
    <t xml:space="preserve">25.50683,8978051</t>
  </si>
  <si>
    <t xml:space="preserve">মোঃ উজির আলী</t>
  </si>
  <si>
    <t xml:space="preserve">০১৯৮০১৫১৩১১</t>
  </si>
  <si>
    <t xml:space="preserve">25.51009,89.78142</t>
  </si>
  <si>
    <t xml:space="preserve">মোঃ কালাম</t>
  </si>
  <si>
    <t xml:space="preserve">০১৩১৯৫৮৪৬৫</t>
  </si>
  <si>
    <t xml:space="preserve">25.50916,89.78147</t>
  </si>
  <si>
    <t xml:space="preserve">মোঃ মর্জিনা খাতুন</t>
  </si>
  <si>
    <t xml:space="preserve">০১৯৩০৫৩২২১১৮</t>
  </si>
  <si>
    <t xml:space="preserve">25.51056,89.7821</t>
  </si>
  <si>
    <t xml:space="preserve">মোছাঃ সাবিনা ইয়াসমিন</t>
  </si>
  <si>
    <t xml:space="preserve">০১৯৯৮২০৩৬০৪</t>
  </si>
  <si>
    <t xml:space="preserve">25.51016,89.78296</t>
  </si>
  <si>
    <t xml:space="preserve">মোঃ এরশাদুল হক</t>
  </si>
  <si>
    <t xml:space="preserve">০১৯৭৯৯৩৪৮৮৩</t>
  </si>
  <si>
    <t xml:space="preserve">25.51158,89.78213</t>
  </si>
  <si>
    <t xml:space="preserve">মোঃ তোতা মিয়া</t>
  </si>
  <si>
    <t xml:space="preserve">০১৭৪২৮৮২০৭৯</t>
  </si>
  <si>
    <t xml:space="preserve">25.50534,89.77894</t>
  </si>
  <si>
    <t xml:space="preserve">মোছাঃ চায়না খাতুন</t>
  </si>
  <si>
    <t xml:space="preserve">০১৭৮০৪৫৮৮৬৪</t>
  </si>
  <si>
    <t xml:space="preserve">25.484813,89.769911</t>
  </si>
  <si>
    <t xml:space="preserve">০১৯৩১৪২১২৫৫</t>
  </si>
  <si>
    <t xml:space="preserve">25.44297,89.79102</t>
  </si>
  <si>
    <t xml:space="preserve">০১৮৪৫৫৬৪৬৫৫</t>
  </si>
  <si>
    <t xml:space="preserve">০১৭১২৩৪০৯৯৬</t>
  </si>
  <si>
    <t xml:space="preserve">25.44292,89.791</t>
  </si>
  <si>
    <t xml:space="preserve">মোঃ হাফিজুর রহমান</t>
  </si>
  <si>
    <t xml:space="preserve">০১৭৪২৭৩৭৭৭১</t>
  </si>
  <si>
    <t xml:space="preserve">25.44276,89.79085</t>
  </si>
  <si>
    <t xml:space="preserve">০১৮১০৪২৮৮৫৩</t>
  </si>
  <si>
    <t xml:space="preserve">25.44268,89.79083</t>
  </si>
  <si>
    <t xml:space="preserve">মোঃ ফরহাদ হোসেন</t>
  </si>
  <si>
    <t xml:space="preserve">০১৮২৩৩০৫৪৬৪</t>
  </si>
  <si>
    <t xml:space="preserve">25.44275,89.79072</t>
  </si>
  <si>
    <t xml:space="preserve">০১৮৭৮৪৫১৩৮৭</t>
  </si>
  <si>
    <t xml:space="preserve">25.40475,89.76402</t>
  </si>
  <si>
    <t xml:space="preserve">মোঃ এরশাদ হোসেন</t>
  </si>
  <si>
    <t xml:space="preserve">০১৩২৫১২৫৮১৭</t>
  </si>
  <si>
    <t xml:space="preserve">25.40475,89.76399</t>
  </si>
  <si>
    <t xml:space="preserve">০১৭২১২১৭৬১৮</t>
  </si>
  <si>
    <t xml:space="preserve">25.40472,89.76398</t>
  </si>
  <si>
    <t xml:space="preserve">মোঃ নুরজাহান</t>
  </si>
  <si>
    <t xml:space="preserve">০১৮৭৮৪৪৩৯৯৩</t>
  </si>
  <si>
    <t xml:space="preserve">25.40472,89.76397</t>
  </si>
  <si>
    <t xml:space="preserve">মোঃ ফরিদুল ইসলাম</t>
  </si>
  <si>
    <t xml:space="preserve">25.40477,89.76394</t>
  </si>
  <si>
    <t xml:space="preserve">মোছাঃ আলুফা</t>
  </si>
  <si>
    <t xml:space="preserve">25.40479,89.76355</t>
  </si>
  <si>
    <t xml:space="preserve">মোঃ চান মিয়া</t>
  </si>
  <si>
    <t xml:space="preserve">০১৯৮২৯১৫৯৭৫</t>
  </si>
  <si>
    <t xml:space="preserve">25.40468,89.76395</t>
  </si>
  <si>
    <t xml:space="preserve">মোছাঃ আসমা খাতুন</t>
  </si>
  <si>
    <t xml:space="preserve">০১৩০৫৪৫৫৮৪২</t>
  </si>
  <si>
    <t xml:space="preserve">মোছাঃ খইফুল নেছা</t>
  </si>
  <si>
    <t xml:space="preserve">০১৭৮৭১১৩৮৪০</t>
  </si>
  <si>
    <t xml:space="preserve">25.40475,89.76403</t>
  </si>
  <si>
    <t xml:space="preserve">মোঃ আজাহার আলী</t>
  </si>
  <si>
    <t xml:space="preserve">০১৯২১২১৩৫৭০</t>
  </si>
  <si>
    <t xml:space="preserve">25.44262,89.79068</t>
  </si>
  <si>
    <t xml:space="preserve">মোঃ আঃ রশিদ</t>
  </si>
  <si>
    <t xml:space="preserve">০১৭৭৭৮৭০৭৫৮</t>
  </si>
  <si>
    <t xml:space="preserve">25.44292,89.7908</t>
  </si>
  <si>
    <t xml:space="preserve">মোছাঃ লাকী পাভীন</t>
  </si>
  <si>
    <t xml:space="preserve">০১৮৭৯৫৬০৫৮২</t>
  </si>
  <si>
    <t xml:space="preserve">25.44295,89.79082</t>
  </si>
  <si>
    <t xml:space="preserve">০১৭৯৪৪৭৮৯৬৩</t>
  </si>
  <si>
    <t xml:space="preserve">25.4048,89.76387</t>
  </si>
  <si>
    <t xml:space="preserve">মোঃ জাকিরুল ইসলাম</t>
  </si>
  <si>
    <t xml:space="preserve">০১৭৩১৫৭২৭১৮</t>
  </si>
  <si>
    <t xml:space="preserve">মোঃ আমিনুল ইসলাম</t>
  </si>
  <si>
    <t xml:space="preserve">০১৭৯৬৪৫০৯২২</t>
  </si>
  <si>
    <t xml:space="preserve">মোঃ নাসির আহমেদ</t>
  </si>
  <si>
    <t xml:space="preserve">০১৭০০৬৩২৩১০</t>
  </si>
  <si>
    <t xml:space="preserve">25.44277,89.78998</t>
  </si>
  <si>
    <t xml:space="preserve">মোঃ সোলায়মান হোসেন</t>
  </si>
  <si>
    <t xml:space="preserve">০১৭৯৬৬৯৩০৯২</t>
  </si>
  <si>
    <t xml:space="preserve">25.44267,89.79017</t>
  </si>
  <si>
    <t xml:space="preserve">আব্দুল্লাহ আল নোমান</t>
  </si>
  <si>
    <t xml:space="preserve">০১৯৪৬৭৭৬২১০</t>
  </si>
  <si>
    <t xml:space="preserve">25.44273,89.79039</t>
  </si>
  <si>
    <t xml:space="preserve">মোঃ নুরুল ইসলাম</t>
  </si>
  <si>
    <t xml:space="preserve">০১৭২৯৩১৪৬৮৩</t>
  </si>
  <si>
    <t xml:space="preserve">25.44257,89.79065</t>
  </si>
  <si>
    <t xml:space="preserve">মোঃ দুলাল হোসেন</t>
  </si>
  <si>
    <t xml:space="preserve">০১৯১৭৪৬৪২৩০</t>
  </si>
  <si>
    <t xml:space="preserve">মোঃ দেলোয়ার হোসেন</t>
  </si>
  <si>
    <t xml:space="preserve">০১৭৭৯০৫২৫৪৪</t>
  </si>
  <si>
    <t xml:space="preserve">মোঃ আজিজুর রহমান</t>
  </si>
  <si>
    <t xml:space="preserve">০১৭৮২৯১২৯০০</t>
  </si>
  <si>
    <t xml:space="preserve">25.50488,89.77826</t>
  </si>
  <si>
    <t xml:space="preserve">০১৭৬৭৫৪৯৫৭৪</t>
  </si>
  <si>
    <t xml:space="preserve">মোঃ ছাইফুল ইসলাম</t>
  </si>
  <si>
    <t xml:space="preserve">০১৯৩২২০১২১০</t>
  </si>
  <si>
    <t xml:space="preserve">মোঃ ইব্রাহীম হোসেন</t>
  </si>
  <si>
    <t xml:space="preserve">০১৮৪৮৫৯৪১৩৯</t>
  </si>
  <si>
    <t xml:space="preserve">25.527806,89.827028</t>
  </si>
  <si>
    <t xml:space="preserve">01929827361</t>
  </si>
  <si>
    <t xml:space="preserve">মোঃ জিয়াউর রহমান</t>
  </si>
  <si>
    <t xml:space="preserve">01912054284</t>
  </si>
  <si>
    <t xml:space="preserve">মোঃ একরামুল হক</t>
  </si>
  <si>
    <t xml:space="preserve">01727358724</t>
  </si>
  <si>
    <t xml:space="preserve">25.548056,89.819861</t>
  </si>
  <si>
    <t xml:space="preserve">মোঃ রিয়াজুল হক</t>
  </si>
  <si>
    <t xml:space="preserve">01908891803</t>
  </si>
  <si>
    <t xml:space="preserve">25.543056,89.812472</t>
  </si>
  <si>
    <t xml:space="preserve">01714565543</t>
  </si>
  <si>
    <t xml:space="preserve">25.54925,89.834</t>
  </si>
  <si>
    <t xml:space="preserve">01947841670</t>
  </si>
  <si>
    <t xml:space="preserve">25.543806,89.832667</t>
  </si>
  <si>
    <t xml:space="preserve">01916721338</t>
  </si>
  <si>
    <t xml:space="preserve">25.551278,89.80525</t>
  </si>
  <si>
    <t xml:space="preserve">01962076864</t>
  </si>
  <si>
    <t xml:space="preserve">25.551528,89.804139</t>
  </si>
  <si>
    <t xml:space="preserve">01965486449</t>
  </si>
  <si>
    <t xml:space="preserve">25.54375,89.806639</t>
  </si>
  <si>
    <t xml:space="preserve">01875908287</t>
  </si>
  <si>
    <t xml:space="preserve">25.548083,89.806833</t>
  </si>
  <si>
    <t xml:space="preserve">01907930765</t>
  </si>
  <si>
    <t xml:space="preserve">25.547278,89.806917</t>
  </si>
  <si>
    <t xml:space="preserve">01945676985</t>
  </si>
  <si>
    <t xml:space="preserve">25.543833,89.8125</t>
  </si>
  <si>
    <t xml:space="preserve">01944806605</t>
  </si>
  <si>
    <t xml:space="preserve">25.548528,89.836611</t>
  </si>
  <si>
    <t xml:space="preserve">মোঃ আবু সায়েম হাবিব</t>
  </si>
  <si>
    <t xml:space="preserve">01974475145</t>
  </si>
  <si>
    <t xml:space="preserve">25.551222,89.812056</t>
  </si>
  <si>
    <t xml:space="preserve">01611235079</t>
  </si>
  <si>
    <t xml:space="preserve">25.551083,89.81225</t>
  </si>
  <si>
    <t xml:space="preserve">01952771205</t>
  </si>
  <si>
    <t xml:space="preserve">25.549528,89.814944</t>
  </si>
  <si>
    <t xml:space="preserve">01909008350</t>
  </si>
  <si>
    <t xml:space="preserve">25.549472,89.81525</t>
  </si>
  <si>
    <t xml:space="preserve">01995343781</t>
  </si>
  <si>
    <t xml:space="preserve">25.549389,89.815278</t>
  </si>
  <si>
    <t xml:space="preserve">01946690982</t>
  </si>
  <si>
    <t xml:space="preserve">25.551972,89.81275</t>
  </si>
  <si>
    <t xml:space="preserve">01931702332</t>
  </si>
  <si>
    <t xml:space="preserve">25.55175,89.812722</t>
  </si>
  <si>
    <t xml:space="preserve">01918255431</t>
  </si>
  <si>
    <t xml:space="preserve">25.551889,89.812722</t>
  </si>
  <si>
    <t xml:space="preserve">01966945451</t>
  </si>
  <si>
    <t xml:space="preserve">25.540944,89.812889</t>
  </si>
  <si>
    <t xml:space="preserve">01939945964</t>
  </si>
  <si>
    <t xml:space="preserve">25.550306,89.814028</t>
  </si>
  <si>
    <t xml:space="preserve">01957952582</t>
  </si>
  <si>
    <t xml:space="preserve">25.43981,89.82782</t>
  </si>
  <si>
    <t xml:space="preserve">01962095998</t>
  </si>
  <si>
    <t xml:space="preserve">25.44852,89.82069</t>
  </si>
  <si>
    <t xml:space="preserve">মোঃ শহিদুর</t>
  </si>
  <si>
    <t xml:space="preserve">01733816438</t>
  </si>
  <si>
    <t xml:space="preserve">25.44918,89.82104</t>
  </si>
  <si>
    <t xml:space="preserve">মোঃ আফিন</t>
  </si>
  <si>
    <t xml:space="preserve">01949003272</t>
  </si>
  <si>
    <t xml:space="preserve">25.44808,89.82033</t>
  </si>
  <si>
    <t xml:space="preserve">01983323605</t>
  </si>
  <si>
    <t xml:space="preserve">25.44844,89.82157</t>
  </si>
  <si>
    <t xml:space="preserve">মোছাঃ রশিদা খাতুন</t>
  </si>
  <si>
    <t xml:space="preserve">01933867816</t>
  </si>
  <si>
    <t xml:space="preserve">25.4484,89.82149</t>
  </si>
  <si>
    <t xml:space="preserve">01821482130</t>
  </si>
  <si>
    <t xml:space="preserve">25.44787,89.82045</t>
  </si>
  <si>
    <t xml:space="preserve">মোঃ শুভ মিয়া</t>
  </si>
  <si>
    <t xml:space="preserve">01918128054</t>
  </si>
  <si>
    <t xml:space="preserve">25.44749,89.82072</t>
  </si>
  <si>
    <t xml:space="preserve">মোঃ মালেক</t>
  </si>
  <si>
    <t xml:space="preserve">01911623900</t>
  </si>
  <si>
    <t xml:space="preserve">25.44668,89.821</t>
  </si>
  <si>
    <t xml:space="preserve">মোঃ সোনা মিয়া</t>
  </si>
  <si>
    <t xml:space="preserve">01981727773</t>
  </si>
  <si>
    <t xml:space="preserve">25.44645,89.82095</t>
  </si>
  <si>
    <t xml:space="preserve">মোঃ ইয়াজল হক</t>
  </si>
  <si>
    <t xml:space="preserve">01701325577</t>
  </si>
  <si>
    <t xml:space="preserve">25.44875,89.8202</t>
  </si>
  <si>
    <t xml:space="preserve">01729792448</t>
  </si>
  <si>
    <t xml:space="preserve">25.44889,89.82029</t>
  </si>
  <si>
    <t xml:space="preserve">01962095980</t>
  </si>
  <si>
    <t xml:space="preserve">25.4487,89.8203</t>
  </si>
  <si>
    <t xml:space="preserve">মোছাঃ আজিরন নেছা</t>
  </si>
  <si>
    <t xml:space="preserve">01929827721</t>
  </si>
  <si>
    <t xml:space="preserve">25.4481,89.82035</t>
  </si>
  <si>
    <t xml:space="preserve">মোঃ আশরাফ হোসেন</t>
  </si>
  <si>
    <t xml:space="preserve">01989695917</t>
  </si>
  <si>
    <t xml:space="preserve">25.4482,89.82</t>
  </si>
  <si>
    <t xml:space="preserve">মোঃ মাহবুর রহমান</t>
  </si>
  <si>
    <t xml:space="preserve">জোনাইডাংগা</t>
  </si>
  <si>
    <t xml:space="preserve">পৌরসভা</t>
  </si>
  <si>
    <t xml:space="preserve">Neem (ফলদ) × 1, mango (বনজ) × 1</t>
  </si>
  <si>
    <t xml:space="preserve">25 Jul 2026</t>
  </si>
  <si>
    <t xml:space="preserve">25.666545,89.616878</t>
  </si>
  <si>
    <t xml:space="preserve">আবুসুফিয়ান</t>
  </si>
  <si>
    <t xml:space="preserve">01716479217</t>
  </si>
  <si>
    <t xml:space="preserve">মোশাররফ হোসেন</t>
  </si>
  <si>
    <t xml:space="preserve">01710772346</t>
  </si>
  <si>
    <t xml:space="preserve">ফারাজী পাড়া</t>
  </si>
  <si>
    <t xml:space="preserve">বেল (ফলদ) × 1, আম (ফলদ) × 2, নিম (ঔষধি) × 1, মেহগনি (ফলদ) × 1</t>
  </si>
  <si>
    <t xml:space="preserve">22 Jul 2026</t>
  </si>
  <si>
    <t xml:space="preserve">89.617888 25.6098536,</t>
  </si>
  <si>
    <t xml:space="preserve">মৃদুল মিয়া</t>
  </si>
  <si>
    <t xml:space="preserve">01749973596</t>
  </si>
  <si>
    <t xml:space="preserve">মোঃ রবিউল আলম</t>
  </si>
  <si>
    <t xml:space="preserve">01723097446</t>
  </si>
  <si>
    <t xml:space="preserve">মোঃ মোশাররফ হোসেন</t>
  </si>
  <si>
    <t xml:space="preserve">সরকার পাড়া</t>
  </si>
  <si>
    <t xml:space="preserve">বেগমগঞ্জ</t>
  </si>
  <si>
    <t xml:space="preserve">আম (ফলদ) × 1, নিম (বনজ) × 1, মেহগনি (বনজ) × 1, জাম (ফলদ) × 2</t>
  </si>
  <si>
    <t xml:space="preserve">23 Jul 2026</t>
  </si>
  <si>
    <t xml:space="preserve">,</t>
  </si>
  <si>
    <t xml:space="preserve">মোঃ শাহালম</t>
  </si>
  <si>
    <t xml:space="preserve">01746830624</t>
  </si>
  <si>
    <t xml:space="preserve">মোঃ সাজেদুল করিম</t>
  </si>
  <si>
    <t xml:space="preserve">01728719582</t>
  </si>
  <si>
    <t xml:space="preserve">জিও-কোঅর্ডিনেট ত্রুটিপূর্ণ; মনিটরিং অফিসার খালি</t>
  </si>
  <si>
    <t xml:space="preserve">তনুরাম</t>
  </si>
  <si>
    <t xml:space="preserve">পান্ডুল</t>
  </si>
  <si>
    <t xml:space="preserve">আম (ফলদ) × 12, কাঁঠাল (ফলদ) × 10</t>
  </si>
  <si>
    <t xml:space="preserve">25.666523,89.61687</t>
  </si>
  <si>
    <t xml:space="preserve">আমিনুল ইসলাম</t>
  </si>
  <si>
    <t xml:space="preserve">01723615252</t>
  </si>
  <si>
    <t xml:space="preserve">01739121045</t>
  </si>
  <si>
    <t xml:space="preserve">রোপণের তারিখ খালি; মনিটরিং অফিসার খালি</t>
  </si>
  <si>
    <t xml:space="preserve">বকুল তলা</t>
  </si>
  <si>
    <t xml:space="preserve">উলিপুর পৌরসভা</t>
  </si>
  <si>
    <t xml:space="preserve">নিম (ঔষধি) × 1, আম (ফলদ) × 1, পেয়ারা (ফলদ) × 1</t>
  </si>
  <si>
    <t xml:space="preserve">25.665506,89.617124</t>
  </si>
  <si>
    <t xml:space="preserve">শহিদুল ইসলাম</t>
  </si>
  <si>
    <t xml:space="preserve">01713688316</t>
  </si>
  <si>
    <t xml:space="preserve">সাহেদুল রহমান</t>
  </si>
  <si>
    <t xml:space="preserve">01714523839</t>
  </si>
  <si>
    <t xml:space="preserve">শিমুলতলা</t>
  </si>
  <si>
    <t xml:space="preserve">বুড়াবুড়ী</t>
  </si>
  <si>
    <t xml:space="preserve">15 Jul 2026</t>
  </si>
  <si>
    <t xml:space="preserve">25.666292,89.616677</t>
  </si>
  <si>
    <t xml:space="preserve">আদব আলী</t>
  </si>
  <si>
    <t xml:space="preserve">01707136201</t>
  </si>
  <si>
    <t xml:space="preserve">রওশন আলী রেজা</t>
  </si>
  <si>
    <t xml:space="preserve">01745112777</t>
  </si>
  <si>
    <t xml:space="preserve">লেবু (ফলদ) × 5, কাঁঠাল (বনজ) × 3, মেহগনি (বনজ) × 5</t>
  </si>
  <si>
    <t xml:space="preserve">24 Jul 2026</t>
  </si>
  <si>
    <t xml:space="preserve">25.667104,89.618705</t>
  </si>
  <si>
    <t xml:space="preserve">01723652145</t>
  </si>
  <si>
    <t xml:space="preserve">পূর্ব কালুডাঙ্গা</t>
  </si>
  <si>
    <t xml:space="preserve">মেহগনি (বনজ) × 1, জাম (ফলদ) × 1, বেল (ফলদ) × 1, জলপাই (ফলদ) × 1</t>
  </si>
  <si>
    <t xml:space="preserve">20 Jul 2026</t>
  </si>
  <si>
    <t xml:space="preserve">25.66653,89.616868</t>
  </si>
  <si>
    <t xml:space="preserve">রফিকুল ইসলাম</t>
  </si>
  <si>
    <t xml:space="preserve">01712084793</t>
  </si>
  <si>
    <t xml:space="preserve">আজিজুর রহমান</t>
  </si>
  <si>
    <t xml:space="preserve">01745475498</t>
  </si>
  <si>
    <t xml:space="preserve">মধুপুর</t>
  </si>
  <si>
    <t xml:space="preserve">ধরনীবাড়ী</t>
  </si>
  <si>
    <t xml:space="preserve">মেহগনি (ফলদ) × 1, জম (ফলদ) × 1, বেল (ফলদ) × 1, নিম (ঔষধি) × 1</t>
  </si>
  <si>
    <t xml:space="preserve">25.698267,89.657044</t>
  </si>
  <si>
    <t xml:space="preserve">আবুল কালাম আজাদ</t>
  </si>
  <si>
    <t xml:space="preserve">01732453226</t>
  </si>
  <si>
    <t xml:space="preserve">হামিদুর রহমান</t>
  </si>
  <si>
    <t xml:space="preserve">01719462253</t>
  </si>
  <si>
    <t xml:space="preserve">কাগজিপাড়া</t>
  </si>
  <si>
    <t xml:space="preserve">আম (ফলদ) × 1, বেল (ফলদ) × 1</t>
  </si>
  <si>
    <t xml:space="preserve">18 Jul 2026</t>
  </si>
  <si>
    <t xml:space="preserve">25.665401,89.616764</t>
  </si>
  <si>
    <t xml:space="preserve">রিয়াজুল ইসলাম</t>
  </si>
  <si>
    <t xml:space="preserve">01720418644</t>
  </si>
  <si>
    <t xml:space="preserve">আশরাফ আলী সরকার</t>
  </si>
  <si>
    <t xml:space="preserve">01714802296</t>
  </si>
  <si>
    <t xml:space="preserve">চৌকিদার পাড়া</t>
  </si>
  <si>
    <t xml:space="preserve">আম (ফলদ) × 2, মেহগনি (বনজ) × 1, নিম (ঔষধি) × 1, জলপাই (ফলদ) × 1</t>
  </si>
  <si>
    <t xml:space="preserve">25.6169869,89.6284191</t>
  </si>
  <si>
    <t xml:space="preserve">আইনুল হক</t>
  </si>
  <si>
    <t xml:space="preserve">01713738542</t>
  </si>
  <si>
    <t xml:space="preserve">জাম (ফলদ) × 1, মেহগনি (বনজ) × 1, নিম (ঔষধি) × 1</t>
  </si>
  <si>
    <t xml:space="preserve">25.666353,89.61699</t>
  </si>
  <si>
    <t xml:space="preserve">ঠাকুর বাড়ি</t>
  </si>
  <si>
    <t xml:space="preserve">ধামশ্রণী</t>
  </si>
  <si>
    <t xml:space="preserve">২টি (ফলদ) × 6, ২টু (ফলদ) × 6</t>
  </si>
  <si>
    <t xml:space="preserve">21 Jul 2026</t>
  </si>
  <si>
    <t xml:space="preserve">নুরননবী সরকার</t>
  </si>
  <si>
    <t xml:space="preserve">01731990395</t>
  </si>
  <si>
    <t xml:space="preserve">মাকছুদা পারভেজ</t>
  </si>
  <si>
    <t xml:space="preserve">01719061936</t>
  </si>
  <si>
    <t xml:space="preserve">মাঝের আলগা</t>
  </si>
  <si>
    <t xml:space="preserve">সাহেবের আলগা</t>
  </si>
  <si>
    <t xml:space="preserve">আম (ফলদ) × 1, জাম (ফলদ) × 1, বেল (ফলদ) × 1, মেহগনি (বনজ) × 1, নিম (ঔষধি) × 1</t>
  </si>
  <si>
    <t xml:space="preserve">25.760325,89.801731</t>
  </si>
  <si>
    <t xml:space="preserve">নুর জামাল</t>
  </si>
  <si>
    <t xml:space="preserve">01773669097</t>
  </si>
  <si>
    <t xml:space="preserve">01933735762</t>
  </si>
  <si>
    <t xml:space="preserve">ঝাকুয়া পাড়া</t>
  </si>
  <si>
    <t xml:space="preserve">থেতরাই</t>
  </si>
  <si>
    <t xml:space="preserve">আম (ফলদ) × 1, জাম (ফলদ) × 1, নিম (ঔষধি) × 1, বেল (ফলদ) × 1</t>
  </si>
  <si>
    <t xml:space="preserve">25.657658,89.630618</t>
  </si>
  <si>
    <t xml:space="preserve">01868405144</t>
  </si>
  <si>
    <t xml:space="preserve">Maidul islam</t>
  </si>
  <si>
    <t xml:space="preserve">01722399799</t>
  </si>
  <si>
    <t xml:space="preserve">আম (ফলদ) × 2, মেহগনি (বনজ) × 1, নিম (ঔষধি) × 1, বেল (ফলদ) × 1</t>
  </si>
  <si>
    <t xml:space="preserve">89.61788,25.6098536</t>
  </si>
  <si>
    <t xml:space="preserve">আম (ফলদ) × 1, মেহগনি (বনজ) × 1, কাঁঠাল (ফলদ) × 1, জাম (ফলদ) × 1, বেল (ফলদ) × 1</t>
  </si>
  <si>
    <t xml:space="preserve">আনোয়ার হোসেন</t>
  </si>
  <si>
    <t xml:space="preserve">মেহগনি (বনজ) × 1</t>
  </si>
  <si>
    <t xml:space="preserve">25.666525,89.61687</t>
  </si>
  <si>
    <t xml:space="preserve">খায়রুল হক</t>
  </si>
  <si>
    <t xml:space="preserve">01722722307</t>
  </si>
  <si>
    <t xml:space="preserve">আম (ফলদ) × 2, মেহগনি (বনজ) × 1, বেল (ফলদ) × 1, নিম (ফলদ) × 1</t>
  </si>
  <si>
    <t xml:space="preserve">89.617888,25.6098536</t>
  </si>
  <si>
    <t xml:space="preserve">আম (ফলদ) × 2, মেহগনি (বনজ) × 1, জলপাই (ফলদ) × 1, নিম (ঔষধি) × 1</t>
  </si>
  <si>
    <t xml:space="preserve">আম (ফলদ) × 1, মেহগনি (বনজ) × 1, নিম (ঔষধি) × 1</t>
  </si>
  <si>
    <t xml:space="preserve">25.665047,89.616411</t>
  </si>
  <si>
    <t xml:space="preserve">সাদুয়াদামার হাট</t>
  </si>
  <si>
    <t xml:space="preserve">বাজরা</t>
  </si>
  <si>
    <t xml:space="preserve">বদরগঞ্জ</t>
  </si>
  <si>
    <t xml:space="preserve">রংপুর</t>
  </si>
  <si>
    <t xml:space="preserve">আম (ফলদ) × 1, জাম (ফলদ) × 1, মেহগনি (বনজ) × 1, নিম (ঔষধি) × 1, বেল (ফলদ) × 1</t>
  </si>
  <si>
    <t xml:space="preserve">25.612729,89.0575642</t>
  </si>
  <si>
    <t xml:space="preserve">গোলাপ উদ্দিন</t>
  </si>
  <si>
    <t xml:space="preserve">01319125365</t>
  </si>
  <si>
    <t xml:space="preserve">স্বপন কুমার সরকার</t>
  </si>
  <si>
    <t xml:space="preserve">01718542910</t>
  </si>
  <si>
    <t xml:space="preserve">কুড়িগ্রাম জেলার বাইরের উপজেলা; মনিটরিং অফিসার খালি</t>
  </si>
  <si>
    <t xml:space="preserve">নিম (ঔষধি) × 1, মেহগনি (বনজ) × 1, জাম (ফলদ) × 1, বেল (ফলদ) × 1</t>
  </si>
  <si>
    <t xml:space="preserve">25.621622,89.623547</t>
  </si>
  <si>
    <t xml:space="preserve">আব্দুর রহিম</t>
  </si>
  <si>
    <t xml:space="preserve">01765668876</t>
  </si>
  <si>
    <t xml:space="preserve">কৃষ্ণমঙ্গল</t>
  </si>
  <si>
    <t xml:space="preserve">আম (ফলদ) × 1, নিম (ঔষধি) × 1, মেহগনি (বনজ) × 1, জাম (ফলদ) × 1, বেল (ফলদ) × 1</t>
  </si>
  <si>
    <t xml:space="preserve">মাহফুজার রহমান</t>
  </si>
  <si>
    <t xml:space="preserve">01774359840</t>
  </si>
  <si>
    <t xml:space="preserve">পশ্চিম কালুডাঙ্গা</t>
  </si>
  <si>
    <t xml:space="preserve">25.621622,89.64353</t>
  </si>
  <si>
    <t xml:space="preserve">আশরাফুল ইসলাম</t>
  </si>
  <si>
    <t xml:space="preserve">01724323893</t>
  </si>
  <si>
    <t xml:space="preserve">বজরা</t>
  </si>
  <si>
    <t xml:space="preserve">25.618516,89.574038</t>
  </si>
  <si>
    <t xml:space="preserve">ফারুক হোসেন</t>
  </si>
  <si>
    <t xml:space="preserve">01993917940</t>
  </si>
  <si>
    <t xml:space="preserve">25.612793,89.575177</t>
  </si>
  <si>
    <t xml:space="preserve">01737227088</t>
  </si>
  <si>
    <t xml:space="preserve">25.612258,89.57823</t>
  </si>
  <si>
    <t xml:space="preserve">জাম (ফলদ) × 1, বেল (ফলদ) × 1, মেহগনি (বনজ) × 1, নিম (ঔষধি) × 1</t>
  </si>
  <si>
    <t xml:space="preserve">25.612681,89.57592</t>
  </si>
  <si>
    <t xml:space="preserve">মমিনুল ইসলাম</t>
  </si>
  <si>
    <t xml:space="preserve">01773465201</t>
  </si>
  <si>
    <t xml:space="preserve">25.610996,89.579024</t>
  </si>
  <si>
    <t xml:space="preserve">আলমগীর</t>
  </si>
  <si>
    <t xml:space="preserve">01832056013</t>
  </si>
  <si>
    <t xml:space="preserve">25.610464,89.580166</t>
  </si>
  <si>
    <t xml:space="preserve">মহুবর রহমান</t>
  </si>
  <si>
    <t xml:space="preserve">01648830428</t>
  </si>
  <si>
    <t xml:space="preserve">কাঁঠালবাড়ি</t>
  </si>
  <si>
    <t xml:space="preserve">জলপাই (ফলদ) × 1, বেল (ফলদ) × 1, নিম (ফলদ) × 1, মেহগনি (ফলদ) × 1</t>
  </si>
  <si>
    <t xml:space="preserve">25.665235,89.616608</t>
  </si>
  <si>
    <t xml:space="preserve">মরিয়ম বেগম</t>
  </si>
  <si>
    <t xml:space="preserve">01796844918</t>
  </si>
  <si>
    <t xml:space="preserve">মাহমুূুদুল হাসান</t>
  </si>
  <si>
    <t xml:space="preserve">01960307085</t>
  </si>
  <si>
    <t xml:space="preserve">বেল (ফলদ) × 1, জলপাই (ফলদ) × 1, মেহগনি (ফলদ) × 1, নিম (ফলদ) × 1</t>
  </si>
  <si>
    <t xml:space="preserve">13 Jul 2026</t>
  </si>
  <si>
    <t xml:space="preserve">তাজুল ইসলাম</t>
  </si>
  <si>
    <t xml:space="preserve">01715385264</t>
  </si>
  <si>
    <t xml:space="preserve">জলপাই (ফলদ) × 5, বেল (ফলদ) × 5, জাম (ফলদ) × 5, নিম (ফলদ) × 5</t>
  </si>
  <si>
    <t xml:space="preserve">14 Jul 2026</t>
  </si>
  <si>
    <t xml:space="preserve">25.626802,89.58779</t>
  </si>
  <si>
    <t xml:space="preserve">জিয়াউর রহমান</t>
  </si>
  <si>
    <t xml:space="preserve">01717174568</t>
  </si>
  <si>
    <t xml:space="preserve">কেবলকৃষ্ণ</t>
  </si>
  <si>
    <t xml:space="preserve">জাম (ফলদ) × 1, জলপাই (ফলদ) × 1, বেল (ফলদ) × 1, নিম (ফলদ) × 1, মেহগনি (ফলদ) × 1</t>
  </si>
  <si>
    <t xml:space="preserve">25.626188,89.585455</t>
  </si>
  <si>
    <t xml:space="preserve">01860306495</t>
  </si>
  <si>
    <t xml:space="preserve">নাওডাংগা</t>
  </si>
  <si>
    <t xml:space="preserve">মেহগনি (বনজ) × 1, নিম (ঔষধি) × 1, জাম (ফলদ) × 1, জলপাই (ফলদ) × 1</t>
  </si>
  <si>
    <t xml:space="preserve">25.673404,89.573197</t>
  </si>
  <si>
    <t xml:space="preserve">বাবলু মিয়া</t>
  </si>
  <si>
    <t xml:space="preserve">01997649314</t>
  </si>
  <si>
    <t xml:space="preserve">জাম (ফলদ) × 1, বেল (ফলদ) × 1, জলপাই (ফলদ) × 1, মেহগনি (ফলদ) × 1</t>
  </si>
  <si>
    <t xml:space="preserve">29 Jul 2026</t>
  </si>
  <si>
    <t xml:space="preserve">জান্নাতী বেগম</t>
  </si>
  <si>
    <t xml:space="preserve">01742194592</t>
  </si>
  <si>
    <t xml:space="preserve">জাম (ফলদ) × 1, বেল (ফলদ) × 1, নিন (ফলদ) × 1, মেহগনি (ফলদ) × 1</t>
  </si>
  <si>
    <t xml:space="preserve">25.626338,89.585345</t>
  </si>
  <si>
    <t xml:space="preserve">01734181226</t>
  </si>
  <si>
    <t xml:space="preserve">জলপাই (ফলদ) × 1, নিম (ঔষধি) × 1, জাম (ফলদ) × 1</t>
  </si>
  <si>
    <t xml:space="preserve">25.673405,89.573199</t>
  </si>
  <si>
    <t xml:space="preserve">ছাততার</t>
  </si>
  <si>
    <t xml:space="preserve">01921052961</t>
  </si>
  <si>
    <t xml:space="preserve">কাঁঠাল (ফলদ) × 4, লেবু (ফলদ) × 5, লিচু (ফলদ) × 3, পেয়ারা (ফলদ) × 5</t>
  </si>
  <si>
    <t xml:space="preserve">25.624635,89.584073</t>
  </si>
  <si>
    <t xml:space="preserve">রুহুল আমিন</t>
  </si>
  <si>
    <t xml:space="preserve">01745739114</t>
  </si>
  <si>
    <t xml:space="preserve">জাম (ফলদ) × 5, কাঁঠাল (ফলদ) × 10, লেবু (ফলদ) × 4, পেয়ারা (ফলদ) × 5, মেহগনি (ফলদ) × 60, ইউক্লিপটাস (ফলদ) × 150</t>
  </si>
  <si>
    <t xml:space="preserve">এরশাদুল হক</t>
  </si>
  <si>
    <t xml:space="preserve">01722666820</t>
  </si>
  <si>
    <t xml:space="preserve">রামপ্রসাদ</t>
  </si>
  <si>
    <t xml:space="preserve">জাম (ফলদ) × 1, বেল (ঔষধি) × 2, নিম (ঔষধি) × 1</t>
  </si>
  <si>
    <t xml:space="preserve">25.652866,89.559648</t>
  </si>
  <si>
    <t xml:space="preserve">নুরআমিন</t>
  </si>
  <si>
    <t xml:space="preserve">01774508899</t>
  </si>
  <si>
    <t xml:space="preserve">R F Banu</t>
  </si>
  <si>
    <t xml:space="preserve">01722793538</t>
  </si>
  <si>
    <t xml:space="preserve">কাঁঠাল (ফলদ) × 6, লিচু (ফলদ) × 3, লেবু (ফলদ) × 2, পেয়ারা (ফলদ) × 2</t>
  </si>
  <si>
    <t xml:space="preserve">16 Jul 2026</t>
  </si>
  <si>
    <t xml:space="preserve">25.62468,89.586782</t>
  </si>
  <si>
    <t xml:space="preserve">আব্দুল আজিজ</t>
  </si>
  <si>
    <t xml:space="preserve">01767181722</t>
  </si>
  <si>
    <t xml:space="preserve">নিম (ঔষধি) × 1, জাম (ফলদ) × 1</t>
  </si>
  <si>
    <t xml:space="preserve">25.678946,89.577789</t>
  </si>
  <si>
    <t xml:space="preserve">সায়েম আনছারি</t>
  </si>
  <si>
    <t xml:space="preserve">01723074818</t>
  </si>
  <si>
    <t xml:space="preserve">মহিদেব</t>
  </si>
  <si>
    <t xml:space="preserve">কাঁঠাল (ফলদ) × 15, পেয়ারা (ফলদ) × 5, জাম্বুরা (ফলদ) × 2, লেবু (ফলদ) × 4, সুপারী (ফলদ) × 130, মেহগনি (ফলদ) × 60, বাঁশ (ফলদ) × 6, ইউক্লিপটাস (ফলদ) × 25</t>
  </si>
  <si>
    <t xml:space="preserve">25.619736,89.585698</t>
  </si>
  <si>
    <t xml:space="preserve">আহসান হাবীব</t>
  </si>
  <si>
    <t xml:space="preserve">01720399412</t>
  </si>
  <si>
    <t xml:space="preserve">ভাকুয়ার কুটি</t>
  </si>
  <si>
    <t xml:space="preserve">আম (ফলদ) × 1, নিম (ঔষধি) × 1, জাম (ফলদ) × 1, মেহগনি (বনজ) × 1, বেল (ফলদ) × 1</t>
  </si>
  <si>
    <t xml:space="preserve">26 Jul 2026</t>
  </si>
  <si>
    <t xml:space="preserve">25.718072,89.545989</t>
  </si>
  <si>
    <t xml:space="preserve">আনোয়ারুল ইসলাম</t>
  </si>
  <si>
    <t xml:space="preserve">01722373965</t>
  </si>
  <si>
    <t xml:space="preserve">মো: শাহা আলম</t>
  </si>
  <si>
    <t xml:space="preserve">01740147853</t>
  </si>
  <si>
    <t xml:space="preserve">কাঁঠাল (ফলদ) × 6, লিচু (ফলদ) × 4, লেবু (ফলদ) × 2, জাম (ফলদ) × 6, মেহগনি (ফলদ) × 40, নারিকেল (ফলদ) × 4, সুপারী (ফলদ) × 35, ইউক্লিপটাস (ফলদ) × 30, জলপাই (ফলদ) × 2, লটকন (ফলদ) × 5, সফেদা (ফলদ) × 1</t>
  </si>
  <si>
    <t xml:space="preserve">25.61965,89.585657</t>
  </si>
  <si>
    <t xml:space="preserve">01737255228</t>
  </si>
  <si>
    <t xml:space="preserve">পুরীর পটল</t>
  </si>
  <si>
    <t xml:space="preserve">আম (ফলদ) × 2, নিম (ঔষধি) × 1, মেহগনি (বনজ) × 2</t>
  </si>
  <si>
    <t xml:space="preserve">25.6306925,89.6156554</t>
  </si>
  <si>
    <t xml:space="preserve">01714706122</t>
  </si>
  <si>
    <t xml:space="preserve">01785386121</t>
  </si>
  <si>
    <t xml:space="preserve">আম (ফলদ) × 1, জাম (ফলদ) × 1, বেল (ফলদ) × 1, নিম (ঔষধি) × 1, মেহগনি (বনজ) × 1</t>
  </si>
  <si>
    <t xml:space="preserve">25.717996,89.546612</t>
  </si>
  <si>
    <t xml:space="preserve">সাইফুল ইসলাম</t>
  </si>
  <si>
    <t xml:space="preserve">01719952230</t>
  </si>
  <si>
    <t xml:space="preserve">27 Jul 2026</t>
  </si>
  <si>
    <t xml:space="preserve">25.715823,89.54424</t>
  </si>
  <si>
    <t xml:space="preserve">আরিফুল ইসলাম</t>
  </si>
  <si>
    <t xml:space="preserve">01774552562</t>
  </si>
  <si>
    <t xml:space="preserve">আম (ফলদ) × 1, জাম (ফলদ) × 1, জলপাই (ফলদ) × 1</t>
  </si>
  <si>
    <t xml:space="preserve">25.678908,89.577955</t>
  </si>
  <si>
    <t xml:space="preserve">রেজাউল করিম</t>
  </si>
  <si>
    <t xml:space="preserve">01774303388</t>
  </si>
  <si>
    <t xml:space="preserve">কাঁঠাল (ফলদ) × 8, লেবু (ফলদ) × 5, নারিকেল (ফলদ) × 5, জাম্বুরা (ফলদ) × 3, নারিকেল (ফলদ) × 5, জলপাই (ফলদ) × 2, লিচু (ফলদ) × 2, কামরাঙ্গা (ফলদ) × 2, কুল/বড়ই (ফলদ) × 2, সুপারী (ফলদ) × 60, লটকন (ফলদ) × 3, কাঁঠাল (ফলদ) × 5</t>
  </si>
  <si>
    <t xml:space="preserve">25.619726,89.585692</t>
  </si>
  <si>
    <t xml:space="preserve">মাঈনুল ইসলাম</t>
  </si>
  <si>
    <t xml:space="preserve">01707917274</t>
  </si>
  <si>
    <t xml:space="preserve">কাঁঠাল (ফলদ) × 6, লিচু (ফলদ) × 2, আমড়া (ফলদ) × 2, লেবু (ফলদ) × 4, জাম্বুরা (ফলদ) × 2, লটকন (ফলদ) × 2, জলপাই (ফলদ) × 2, নারিকেল (ফলদ) × 4, সুপারী (ফলদ) × 60</t>
  </si>
  <si>
    <t xml:space="preserve">25.628112,89.58246</t>
  </si>
  <si>
    <t xml:space="preserve">জয়নুল আবেদীন</t>
  </si>
  <si>
    <t xml:space="preserve">01832557365</t>
  </si>
  <si>
    <t xml:space="preserve">জাম (ফলদ) × 6, লেবু (ফলদ) × 12, লিচু (ফলদ) × 10, জাম্বুরা (ফলদ) × 4, ডালিম (ফলদ) × 5, লটকন (ফলদ) × 6, মেহগনি (ফলদ) × 25, সুপারী (ফলদ) × 55</t>
  </si>
  <si>
    <t xml:space="preserve">01750285413</t>
  </si>
  <si>
    <t xml:space="preserve">চিড়া খাওয়ার পাড়</t>
  </si>
  <si>
    <t xml:space="preserve">হাতিয়া</t>
  </si>
  <si>
    <t xml:space="preserve">নিম (ঔষধি) × 1, বেল (ফলদ) × 1, মেহগনি (বনজ) × 1, জাম (ফলদ) × 1</t>
  </si>
  <si>
    <t xml:space="preserve">25.675676,89.684148</t>
  </si>
  <si>
    <t xml:space="preserve">লিপি বেগম</t>
  </si>
  <si>
    <t xml:space="preserve">01793788055</t>
  </si>
  <si>
    <t xml:space="preserve">Nakul Kumar</t>
  </si>
  <si>
    <t xml:space="preserve">01725673174</t>
  </si>
  <si>
    <t xml:space="preserve">জাম (ফলদ) × 1, বেল (ঔষধি) × 1, নিম (ফলদ) × 1, মেহগনি (বনজ) × 1</t>
  </si>
  <si>
    <t xml:space="preserve">28 Jul 2026</t>
  </si>
  <si>
    <t xml:space="preserve">মহিজল</t>
  </si>
  <si>
    <t xml:space="preserve">01728712844</t>
  </si>
  <si>
    <t xml:space="preserve">সুরিরডাড়া</t>
  </si>
  <si>
    <t xml:space="preserve">আম,জাম, (ফলদ) × 5</t>
  </si>
  <si>
    <t xml:space="preserve">আমিন উদ্দিন</t>
  </si>
  <si>
    <t xml:space="preserve">01304660781</t>
  </si>
  <si>
    <t xml:space="preserve">মো মোশাররফ হোসেন</t>
  </si>
  <si>
    <t xml:space="preserve">বোতলা</t>
  </si>
  <si>
    <t xml:space="preserve">আম, জলপাই,জাম (ফলদ) × 3, মেহগনি (বনজ) × 1, নিম (ঔষধি) × 1</t>
  </si>
  <si>
    <t xml:space="preserve">২৫.৭৩৮০৬৭,৮৯.৬৭২১৫৮</t>
  </si>
  <si>
    <t xml:space="preserve">ফারুক আহমদ</t>
  </si>
  <si>
    <t xml:space="preserve">01740865141</t>
  </si>
  <si>
    <t xml:space="preserve">MD Anjirul islam</t>
  </si>
  <si>
    <t xml:space="preserve">01714230355</t>
  </si>
  <si>
    <t xml:space="preserve">আঠারো পাইকা</t>
  </si>
  <si>
    <t xml:space="preserve">আম, জলপাই জাম (ফলদ) × 3, মেহগনি (বনজ) × 1, নিম (ঔষধি) × 1</t>
  </si>
  <si>
    <t xml:space="preserve">২৫.৭০৮৯৫৩,৮৯.৬৬৩২১২</t>
  </si>
  <si>
    <t xml:space="preserve">মমিনা বেগম</t>
  </si>
  <si>
    <t xml:space="preserve">01788059963</t>
  </si>
  <si>
    <t xml:space="preserve">আম, জলপাই,বেল (ফলদ) × 3, মেহগনি (ফলদ) × 1, নিম (ঔষধি) × 1</t>
  </si>
  <si>
    <t xml:space="preserve">২৫.৭১১৮৬০,৮৯.৬৬৩৭০৭</t>
  </si>
  <si>
    <t xml:space="preserve">আবু মোত্তালিব</t>
  </si>
  <si>
    <t xml:space="preserve">01713765864</t>
  </si>
  <si>
    <t xml:space="preserve">পুব ছড়ার পাড়</t>
  </si>
  <si>
    <t xml:space="preserve">নিম (ঔষধি) × 1, জাম (ফলদ) × 1, মেহগনি (বনজ) × 1</t>
  </si>
  <si>
    <t xml:space="preserve">25.668888,89.587644</t>
  </si>
  <si>
    <t xml:space="preserve">সোনাউল্যা</t>
  </si>
  <si>
    <t xml:space="preserve">01320762429</t>
  </si>
  <si>
    <t xml:space="preserve">আম (ফলদ) × 1, নিম (ঔষধি) × 1, মেহগনি (বনজ) × 1, জাম (বনজ) × 1</t>
  </si>
  <si>
    <t xml:space="preserve">25.668889,89.587645</t>
  </si>
  <si>
    <t xml:space="preserve">জলিম উদ্দীন</t>
  </si>
  <si>
    <t xml:space="preserve">01723516418</t>
  </si>
  <si>
    <t xml:space="preserve">নেওয়ার পাড়</t>
  </si>
  <si>
    <t xml:space="preserve">জলপাই (ফলদ) × 1, মেহগনি (বনজ) × 1, নিম (ঔষধি) × 1</t>
  </si>
  <si>
    <t xml:space="preserve">25.668128,89.593289</t>
  </si>
  <si>
    <t xml:space="preserve">নুর উল্ল্যাহ</t>
  </si>
  <si>
    <t xml:space="preserve">01917772285</t>
  </si>
  <si>
    <t xml:space="preserve">আম (ফলদ) × 1, জাম (ফলদ) × 1, মেহগনি (বনজ) × 1, নিম (ঔষধি) × 1</t>
  </si>
  <si>
    <t xml:space="preserve">25.668154,89.593264</t>
  </si>
  <si>
    <t xml:space="preserve">বিপ্লব মিয়া</t>
  </si>
  <si>
    <t xml:space="preserve">01305108412</t>
  </si>
  <si>
    <t xml:space="preserve">কুড়ার পাড়</t>
  </si>
  <si>
    <t xml:space="preserve">মেহগনি (বনজ) × 1, জলপাই (ফলদ) × 1, নিম (ঔষধি) × 1</t>
  </si>
  <si>
    <t xml:space="preserve">25.673704,89.607271</t>
  </si>
  <si>
    <t xml:space="preserve">সুর্রুজ্জামাল মিয়া</t>
  </si>
  <si>
    <t xml:space="preserve">01751475047</t>
  </si>
  <si>
    <t xml:space="preserve">আম (ফলদ) × 1, জলপাই (ফলদ) × 1, মেহগনি (বনজ) × 1</t>
  </si>
  <si>
    <t xml:space="preserve">মোস্তাফিজুর রহমান</t>
  </si>
  <si>
    <t xml:space="preserve">01786916209</t>
  </si>
  <si>
    <t xml:space="preserve">আম (ফলদ) × 1, জলপাই (ফলদ) × 1, মেহগনি (বনজ) × 1, নিম (ঔষধি) × 1</t>
  </si>
  <si>
    <t xml:space="preserve">25.673706,89.607274</t>
  </si>
  <si>
    <t xml:space="preserve">জাম (ফলদ) × 1, জলপাই (ফলদ) × 1, মেহগনি (বনজ) × 1</t>
  </si>
  <si>
    <t xml:space="preserve">25.673705,89.607272</t>
  </si>
  <si>
    <t xml:space="preserve">01729316973</t>
  </si>
  <si>
    <t xml:space="preserve">জাম (ফলদ) × 1, নিম (ঔষধি) × 1</t>
  </si>
  <si>
    <t xml:space="preserve">25.673704,89.607269</t>
  </si>
  <si>
    <t xml:space="preserve">01760983300</t>
  </si>
  <si>
    <t xml:space="preserve">মোক্তার আলী</t>
  </si>
  <si>
    <t xml:space="preserve">01981576607</t>
  </si>
  <si>
    <t xml:space="preserve">মৌলভি পাড়া</t>
  </si>
  <si>
    <t xml:space="preserve">মেহগনি (ফলদ) × 1</t>
  </si>
  <si>
    <t xml:space="preserve">25.6972,89.570823</t>
  </si>
  <si>
    <t xml:space="preserve">সোহরাব হোসেন</t>
  </si>
  <si>
    <t xml:space="preserve">01740643220</t>
  </si>
  <si>
    <t xml:space="preserve">25.696983,89.57058</t>
  </si>
  <si>
    <t xml:space="preserve">ফরহাদ হোসেন</t>
  </si>
  <si>
    <t xml:space="preserve">01710337504</t>
  </si>
  <si>
    <t xml:space="preserve">দামুয়ার পাড়</t>
  </si>
  <si>
    <t xml:space="preserve">25.705571,89.562978</t>
  </si>
  <si>
    <t xml:space="preserve">রহিমা বেগম</t>
  </si>
  <si>
    <t xml:space="preserve">01758252146</t>
  </si>
  <si>
    <t xml:space="preserve">বকশি পাড়া</t>
  </si>
  <si>
    <t xml:space="preserve">25.705257,89.559227</t>
  </si>
  <si>
    <t xml:space="preserve">আমিনুর ইসলাম</t>
  </si>
  <si>
    <t xml:space="preserve">01774670570</t>
  </si>
  <si>
    <t xml:space="preserve">সাহেবের কুটি</t>
  </si>
  <si>
    <t xml:space="preserve">জলপাই (ফলদ) × 1</t>
  </si>
  <si>
    <t xml:space="preserve">25.700823,89.550585</t>
  </si>
  <si>
    <t xml:space="preserve">সাইদুর রহমান</t>
  </si>
  <si>
    <t xml:space="preserve">01722079047</t>
  </si>
  <si>
    <t xml:space="preserve">পাচগ্রাম</t>
  </si>
  <si>
    <t xml:space="preserve">বুড়াবুড়ি</t>
  </si>
  <si>
    <t xml:space="preserve">বেল (ফলদ) × 1</t>
  </si>
  <si>
    <t xml:space="preserve">25.746094,89.689137</t>
  </si>
  <si>
    <t xml:space="preserve">01726345720</t>
  </si>
  <si>
    <t xml:space="preserve">হাজীপাড়া</t>
  </si>
  <si>
    <t xml:space="preserve">25.699278,89.541087</t>
  </si>
  <si>
    <t xml:space="preserve">জাহাঙ্গীর আলম</t>
  </si>
  <si>
    <t xml:space="preserve">01737029844</t>
  </si>
  <si>
    <t xml:space="preserve">বানিয়া পাড়া</t>
  </si>
  <si>
    <t xml:space="preserve">25.745374,89.689239</t>
  </si>
  <si>
    <t xml:space="preserve">মোঃ রতন আলী</t>
  </si>
  <si>
    <t xml:space="preserve">01710465872</t>
  </si>
  <si>
    <t xml:space="preserve">25.700326,89.54213</t>
  </si>
  <si>
    <t xml:space="preserve">আফরোজা বেগম</t>
  </si>
  <si>
    <t xml:space="preserve">01712412793</t>
  </si>
  <si>
    <t xml:space="preserve">মাষ্টার পাড়া</t>
  </si>
  <si>
    <t xml:space="preserve">25.74497,89.688464</t>
  </si>
  <si>
    <t xml:space="preserve">তোফায়েল আহমেদ</t>
  </si>
  <si>
    <t xml:space="preserve">01764773770</t>
  </si>
  <si>
    <t xml:space="preserve">ফকির মোহাম্মদ</t>
  </si>
  <si>
    <t xml:space="preserve">25.744877,89.688705</t>
  </si>
  <si>
    <t xml:space="preserve">সৈয়দ আলী</t>
  </si>
  <si>
    <t xml:space="preserve">01318853731</t>
  </si>
  <si>
    <t xml:space="preserve">ঝড়ুর কুটি</t>
  </si>
  <si>
    <t xml:space="preserve">25.703214,89.546539</t>
  </si>
  <si>
    <t xml:space="preserve">শ্যামলী রানী</t>
  </si>
  <si>
    <t xml:space="preserve">01928588848</t>
  </si>
  <si>
    <t xml:space="preserve">ঝরুর কুটি</t>
  </si>
  <si>
    <t xml:space="preserve">25.70313,89.545696</t>
  </si>
  <si>
    <t xml:space="preserve">গোপাল চন্দ্র বর্মন</t>
  </si>
  <si>
    <t xml:space="preserve">01758161666</t>
  </si>
  <si>
    <t xml:space="preserve">তেলিপাড়া</t>
  </si>
  <si>
    <t xml:space="preserve">25.703851,89.545214</t>
  </si>
  <si>
    <t xml:space="preserve">01905381565</t>
  </si>
  <si>
    <t xml:space="preserve">25.743788,89.695264</t>
  </si>
  <si>
    <t xml:space="preserve">মোঃ আদব আলী</t>
  </si>
  <si>
    <t xml:space="preserve">নিম (ঔষধি) × 1</t>
  </si>
  <si>
    <t xml:space="preserve">25.74391,89.695105</t>
  </si>
  <si>
    <t xml:space="preserve">মোঃ শাহাদৎ হোসেন</t>
  </si>
  <si>
    <t xml:space="preserve">01320728647</t>
  </si>
  <si>
    <t xml:space="preserve">নিম (ফলদ) × 1</t>
  </si>
  <si>
    <t xml:space="preserve">25.743771,89.695118</t>
  </si>
  <si>
    <t xml:space="preserve">আবুল হোসেন</t>
  </si>
  <si>
    <t xml:space="preserve">01333492365</t>
  </si>
  <si>
    <t xml:space="preserve">কুটিপাড়া</t>
  </si>
  <si>
    <t xml:space="preserve">25.711697,89.548413</t>
  </si>
  <si>
    <t xml:space="preserve">চীন বানু বেগম</t>
  </si>
  <si>
    <t xml:space="preserve">01760668094</t>
  </si>
  <si>
    <t xml:space="preserve">মাদ্রাসার পাড়,কর্পুরা</t>
  </si>
  <si>
    <t xml:space="preserve">25.711555,89.533432</t>
  </si>
  <si>
    <t xml:space="preserve">জাহাঙ্গীর হোসেন</t>
  </si>
  <si>
    <t xml:space="preserve">01300175711</t>
  </si>
  <si>
    <t xml:space="preserve">পঞচগ্রাম</t>
  </si>
  <si>
    <t xml:space="preserve">25.739227,89.690063</t>
  </si>
  <si>
    <t xml:space="preserve">আমেনা খাতুন</t>
  </si>
  <si>
    <t xml:space="preserve">01732477116</t>
  </si>
  <si>
    <t xml:space="preserve">কর্পুরা</t>
  </si>
  <si>
    <t xml:space="preserve">25.713581,89.534304</t>
  </si>
  <si>
    <t xml:space="preserve">জবা বেগম</t>
  </si>
  <si>
    <t xml:space="preserve">01862100796</t>
  </si>
  <si>
    <t xml:space="preserve">ছয়ানী</t>
  </si>
  <si>
    <t xml:space="preserve">25.739166,89.689853</t>
  </si>
  <si>
    <t xml:space="preserve">হযরত আলী</t>
  </si>
  <si>
    <t xml:space="preserve">01734733472</t>
  </si>
  <si>
    <t xml:space="preserve">25.713583,89.534305</t>
  </si>
  <si>
    <t xml:space="preserve">মাজেদা বেগম</t>
  </si>
  <si>
    <t xml:space="preserve">01765483390</t>
  </si>
  <si>
    <t xml:space="preserve">মহাদেব</t>
  </si>
  <si>
    <t xml:space="preserve">25.7219,89.532772</t>
  </si>
  <si>
    <t xml:space="preserve">সরকারি ইছহাক</t>
  </si>
  <si>
    <t xml:space="preserve">01710870595</t>
  </si>
  <si>
    <t xml:space="preserve">রামদাস ধনিরাম</t>
  </si>
  <si>
    <t xml:space="preserve">আম জলপাই লটকন (বনজ) × 3</t>
  </si>
  <si>
    <t xml:space="preserve">26 Aug 2026</t>
  </si>
  <si>
    <t xml:space="preserve">মনজুরুল ইসলাম</t>
  </si>
  <si>
    <t xml:space="preserve">01715178561</t>
  </si>
  <si>
    <t xml:space="preserve">তেজার মোড়</t>
  </si>
  <si>
    <t xml:space="preserve">25.720412,89.555077</t>
  </si>
  <si>
    <t xml:space="preserve">মোজাহারুল ইসলাম</t>
  </si>
  <si>
    <t xml:space="preserve">01723439375</t>
  </si>
  <si>
    <t xml:space="preserve">দল বাড়ির পাড়</t>
  </si>
  <si>
    <t xml:space="preserve">25.698199,89.568343</t>
  </si>
  <si>
    <t xml:space="preserve">মনিরা আক্তার</t>
  </si>
  <si>
    <t xml:space="preserve">01773781132</t>
  </si>
  <si>
    <t xml:space="preserve">25 Aug 2026</t>
  </si>
  <si>
    <t xml:space="preserve">25.652586,89.614176</t>
  </si>
  <si>
    <t xml:space="preserve">পারুল</t>
  </si>
  <si>
    <t xml:space="preserve">01752520485</t>
  </si>
  <si>
    <t xml:space="preserve">25.651956,89.614713</t>
  </si>
  <si>
    <t xml:space="preserve">আকবর আলী</t>
  </si>
  <si>
    <t xml:space="preserve">01753951547</t>
  </si>
  <si>
    <t xml:space="preserve">25.648577,89.611917</t>
  </si>
  <si>
    <t xml:space="preserve">মইন্ুউদ্দিন</t>
  </si>
  <si>
    <t xml:space="preserve">01713714039</t>
  </si>
  <si>
    <t xml:space="preserve">27 Aug 2026</t>
  </si>
  <si>
    <t xml:space="preserve">25.657807,89.624334</t>
  </si>
  <si>
    <t xml:space="preserve">সফিকুল ইসলাম</t>
  </si>
  <si>
    <t xml:space="preserve">01914722744</t>
  </si>
  <si>
    <t xml:space="preserve">25.657538,89.623558</t>
  </si>
  <si>
    <t xml:space="preserve">শিবনাথ</t>
  </si>
  <si>
    <t xml:space="preserve">01945287078</t>
  </si>
  <si>
    <t xml:space="preserve">25.655375,89.625629</t>
  </si>
  <si>
    <t xml:space="preserve">মমিনুল হক</t>
  </si>
  <si>
    <t xml:space="preserve">01715107289</t>
  </si>
  <si>
    <t xml:space="preserve">25.642736,89.629645</t>
  </si>
  <si>
    <t xml:space="preserve">জাহাংগির আলম</t>
  </si>
  <si>
    <t xml:space="preserve">01714535242</t>
  </si>
  <si>
    <t xml:space="preserve">জাম (ঔষধি) × 1</t>
  </si>
  <si>
    <t xml:space="preserve">25.643053,89.62954</t>
  </si>
  <si>
    <t xml:space="preserve">28 Aug 2026</t>
  </si>
  <si>
    <t xml:space="preserve">25.649559,89.630188</t>
  </si>
  <si>
    <t xml:space="preserve">মজিবর রহমান</t>
  </si>
  <si>
    <t xml:space="preserve">01963404661</t>
  </si>
  <si>
    <t xml:space="preserve">25.649503,89.629692</t>
  </si>
  <si>
    <t xml:space="preserve">আব্দুর রহৃান</t>
  </si>
  <si>
    <t xml:space="preserve">01989505269</t>
  </si>
  <si>
    <t xml:space="preserve">25.651991,89.62382</t>
  </si>
  <si>
    <t xml:space="preserve">মাসুদ আলম</t>
  </si>
  <si>
    <t xml:space="preserve">01776791806</t>
  </si>
  <si>
    <t xml:space="preserve">আকো ইরপার</t>
  </si>
  <si>
    <t xml:space="preserve">মেহগিনি (বনজ) × 2</t>
  </si>
  <si>
    <t xml:space="preserve">25.586528,89.634767</t>
  </si>
  <si>
    <t xml:space="preserve">নুরুজ্জামান</t>
  </si>
  <si>
    <t xml:space="preserve">01735202635</t>
  </si>
  <si>
    <t xml:space="preserve">01712437800</t>
  </si>
  <si>
    <t xml:space="preserve">হোকডাঙা</t>
  </si>
  <si>
    <t xml:space="preserve">25.657658,89.610629</t>
  </si>
  <si>
    <t xml:space="preserve">মোয়াজ্জেমা বেগম</t>
  </si>
  <si>
    <t xml:space="preserve">01859991840</t>
  </si>
  <si>
    <t xml:space="preserve">উলিপুর সরদারপাড়া</t>
  </si>
  <si>
    <t xml:space="preserve">25.662779,89.621154</t>
  </si>
  <si>
    <t xml:space="preserve">আব্দুল মতিন</t>
  </si>
  <si>
    <t xml:space="preserve">01739694450</t>
  </si>
  <si>
    <t xml:space="preserve">25.676026,89.580535</t>
  </si>
  <si>
    <t xml:space="preserve">ছাইফুল ইসলাম</t>
  </si>
  <si>
    <t xml:space="preserve">01863520849</t>
  </si>
  <si>
    <t xml:space="preserve">25.660865,89.624877</t>
  </si>
  <si>
    <t xml:space="preserve">আশরাফুল</t>
  </si>
  <si>
    <t xml:space="preserve">01710505846</t>
  </si>
  <si>
    <t xml:space="preserve">বে়ল (ঔষধি) × 1</t>
  </si>
  <si>
    <t xml:space="preserve">মোজাম্মেল হক</t>
  </si>
  <si>
    <t xml:space="preserve">01713783413</t>
  </si>
  <si>
    <t xml:space="preserve">সোবান বাজার</t>
  </si>
  <si>
    <t xml:space="preserve">ধাম শ্রেনী</t>
  </si>
  <si>
    <t xml:space="preserve">25.675676,89.60418</t>
  </si>
  <si>
    <t xml:space="preserve">01707634510</t>
  </si>
  <si>
    <t xml:space="preserve">01724264812</t>
  </si>
  <si>
    <t xml:space="preserve">আল আমিন</t>
  </si>
  <si>
    <t xml:space="preserve">01745535891</t>
  </si>
  <si>
    <t xml:space="preserve">জাম (ফলদ) × 1</t>
  </si>
  <si>
    <t xml:space="preserve">বেল (ঔষধি) × 1</t>
  </si>
  <si>
    <t xml:space="preserve">31 Jul 2026</t>
  </si>
  <si>
    <t xml:space="preserve">01767428184</t>
  </si>
  <si>
    <t xml:space="preserve">25.676027,89.580537</t>
  </si>
  <si>
    <t xml:space="preserve">01773251747</t>
  </si>
  <si>
    <t xml:space="preserve">2 Aug 2026</t>
  </si>
  <si>
    <t xml:space="preserve">25.660642,89.619073</t>
  </si>
  <si>
    <t xml:space="preserve">তোফাজ্জল হোসেন</t>
  </si>
  <si>
    <t xml:space="preserve">01728911875</t>
  </si>
  <si>
    <t xml:space="preserve">25.675077,89.579919</t>
  </si>
  <si>
    <t xml:space="preserve">ফরিদুল ইসলাম</t>
  </si>
  <si>
    <t xml:space="preserve">01723173544</t>
  </si>
  <si>
    <t xml:space="preserve">25.66062,89.619207</t>
  </si>
  <si>
    <t xml:space="preserve">নাজমুল হক</t>
  </si>
  <si>
    <t xml:space="preserve">01719641864</t>
  </si>
  <si>
    <t xml:space="preserve">সুরিরডারা</t>
  </si>
  <si>
    <t xml:space="preserve">ধামশ্রেনী</t>
  </si>
  <si>
    <t xml:space="preserve">মেহগুনি (বনজ) × 1</t>
  </si>
  <si>
    <t xml:space="preserve">25.766181,88.828143</t>
  </si>
  <si>
    <t xml:space="preserve">রুকুক হাবিব</t>
  </si>
  <si>
    <t xml:space="preserve">01314250812</t>
  </si>
  <si>
    <t xml:space="preserve">মাকসুদা পারভেজ</t>
  </si>
  <si>
    <t xml:space="preserve">সুরির ডারা</t>
  </si>
  <si>
    <t xml:space="preserve">ধামশ্রনী</t>
  </si>
  <si>
    <t xml:space="preserve">25.770393,88.828754</t>
  </si>
  <si>
    <t xml:space="preserve">আইজল ইসলাম</t>
  </si>
  <si>
    <t xml:space="preserve">01909143928</t>
  </si>
  <si>
    <t xml:space="preserve">25.67855,89.577524</t>
  </si>
  <si>
    <t xml:space="preserve">শাহ আলম</t>
  </si>
  <si>
    <t xml:space="preserve">01313963149</t>
  </si>
  <si>
    <t xml:space="preserve">25.678542,89.57705</t>
  </si>
  <si>
    <t xml:space="preserve">সবুর মিয়া</t>
  </si>
  <si>
    <t xml:space="preserve">01925174973</t>
  </si>
  <si>
    <t xml:space="preserve">25.770783,88.828792</t>
  </si>
  <si>
    <t xml:space="preserve">নুরুননবী সরকার</t>
  </si>
  <si>
    <t xml:space="preserve">25.771091,88.828888</t>
  </si>
  <si>
    <t xml:space="preserve">আব্দুল্লাহ আল মামুন</t>
  </si>
  <si>
    <t xml:space="preserve">01793160238</t>
  </si>
  <si>
    <t xml:space="preserve">25.772794,88.829323</t>
  </si>
  <si>
    <t xml:space="preserve">পলাশ চন্দ্র পাল</t>
  </si>
  <si>
    <t xml:space="preserve">01792761203</t>
  </si>
  <si>
    <t xml:space="preserve">25.773423,88.829473</t>
  </si>
  <si>
    <t xml:space="preserve">সাধন পাল</t>
  </si>
  <si>
    <t xml:space="preserve">01767027679</t>
  </si>
  <si>
    <t xml:space="preserve">আব্দুল জব্বার</t>
  </si>
  <si>
    <t xml:space="preserve">01976312853</t>
  </si>
  <si>
    <t xml:space="preserve">25.653689,89.602114</t>
  </si>
  <si>
    <t xml:space="preserve">আব্দুস সালাম</t>
  </si>
  <si>
    <t xml:space="preserve">01761190299</t>
  </si>
  <si>
    <t xml:space="preserve">ভাটিয়াপাড়া</t>
  </si>
  <si>
    <t xml:space="preserve">25.66432,89.60548</t>
  </si>
  <si>
    <t xml:space="preserve">রমজান আলী</t>
  </si>
  <si>
    <t xml:space="preserve">01767027962</t>
  </si>
  <si>
    <t xml:space="preserve">25.664319,89.605479</t>
  </si>
  <si>
    <t xml:space="preserve">জহুরুল হক</t>
  </si>
  <si>
    <t xml:space="preserve">01715204732</t>
  </si>
  <si>
    <t xml:space="preserve">25.648193,89.598952</t>
  </si>
  <si>
    <t xml:space="preserve">শামীউল ইসলাম</t>
  </si>
  <si>
    <t xml:space="preserve">01712754966</t>
  </si>
  <si>
    <t xml:space="preserve">25.648273,89.59905</t>
  </si>
  <si>
    <t xml:space="preserve">রামদাস ধনিরামসরদারপাড়া</t>
  </si>
  <si>
    <t xml:space="preserve">নিৃম (ঔষধি) × 1</t>
  </si>
  <si>
    <t xml:space="preserve">25.648221,89.599165</t>
  </si>
  <si>
    <t xml:space="preserve">সরোয়ার হোসেন</t>
  </si>
  <si>
    <t xml:space="preserve">01719435670</t>
  </si>
  <si>
    <t xml:space="preserve">রামদাস সরদাপাড়া</t>
  </si>
  <si>
    <t xml:space="preserve">25.648268,89.599111</t>
  </si>
  <si>
    <t xml:space="preserve">মতিয়ার রহমান</t>
  </si>
  <si>
    <t xml:space="preserve">01858301928</t>
  </si>
  <si>
    <t xml:space="preserve">বড় মহিষমুড়ি</t>
  </si>
  <si>
    <t xml:space="preserve">মেহগনি (বনজ) × 3</t>
  </si>
  <si>
    <t xml:space="preserve">25.727546,89.59078</t>
  </si>
  <si>
    <t xml:space="preserve">মশিউর রহমান</t>
  </si>
  <si>
    <t xml:space="preserve">01718639519</t>
  </si>
  <si>
    <t xml:space="preserve">কাল পানি বজরা</t>
  </si>
  <si>
    <t xml:space="preserve">25.585586,89.616517</t>
  </si>
  <si>
    <t xml:space="preserve">নুর আজম</t>
  </si>
  <si>
    <t xml:space="preserve">01867580517</t>
  </si>
  <si>
    <t xml:space="preserve">01738687750</t>
  </si>
  <si>
    <t xml:space="preserve">পূব্শিববাড়ি</t>
  </si>
  <si>
    <t xml:space="preserve">25.689936,89.613794</t>
  </si>
  <si>
    <t xml:space="preserve">দুলু মিয়া</t>
  </si>
  <si>
    <t xml:space="preserve">01719206280</t>
  </si>
  <si>
    <t xml:space="preserve">25.68905,89.613277</t>
  </si>
  <si>
    <t xml:space="preserve">সোলায়মান</t>
  </si>
  <si>
    <t xml:space="preserve">01726995254</t>
  </si>
  <si>
    <t xml:space="preserve">25.6933,89.61358</t>
  </si>
  <si>
    <t xml:space="preserve">আব্দুল হাই</t>
  </si>
  <si>
    <t xml:space="preserve">25.693356,89.613823</t>
  </si>
  <si>
    <t xml:space="preserve">হারুন</t>
  </si>
  <si>
    <t xml:space="preserve">01734640874</t>
  </si>
  <si>
    <t xml:space="preserve">25.691705,89.610672</t>
  </si>
  <si>
    <t xml:space="preserve">সুকুমার রায়</t>
  </si>
  <si>
    <t xml:space="preserve">01936416315</t>
  </si>
  <si>
    <t xml:space="preserve">25.691746,89.610489</t>
  </si>
  <si>
    <t xml:space="preserve">সুবল চন।দ</t>
  </si>
  <si>
    <t xml:space="preserve">01832323180</t>
  </si>
  <si>
    <t xml:space="preserve">পশ্চিমশিববাড়ি</t>
  </si>
  <si>
    <t xml:space="preserve">25.69434,89.598355</t>
  </si>
  <si>
    <t xml:space="preserve">01773828612</t>
  </si>
  <si>
    <t xml:space="preserve">কুড়ারপার</t>
  </si>
  <si>
    <t xml:space="preserve">23.924491,90.602638</t>
  </si>
  <si>
    <t xml:space="preserve">তালেব উদ্দীন</t>
  </si>
  <si>
    <t xml:space="preserve">01750078074</t>
  </si>
  <si>
    <t xml:space="preserve">মো মোশাররফ হোসেন।</t>
  </si>
  <si>
    <t xml:space="preserve">25.688573,89.601177</t>
  </si>
  <si>
    <t xml:space="preserve">01745228834</t>
  </si>
  <si>
    <t xml:space="preserve">ফুলকুমার</t>
  </si>
  <si>
    <t xml:space="preserve">শেফালী খাতুন</t>
  </si>
  <si>
    <t xml:space="preserve">০১৭১৯৪০১৭০৯</t>
  </si>
  <si>
    <t xml:space="preserve">মোঃ আবুল বাশার,</t>
  </si>
  <si>
    <t xml:space="preserve">০১৭৭৩০৮৩৫৫৩</t>
  </si>
  <si>
    <t xml:space="preserve">মোঃ আব্দুল জব্বার</t>
  </si>
  <si>
    <t xml:space="preserve">০১৭২২৬৮৩২৯১</t>
  </si>
  <si>
    <t xml:space="preserve">জাম (ফলদ) × 1, জলপাই (ফলদ) × 1, বেল (ফলদ) × 1, নিম (ফলদ) × 1, মেহগনি (ফলদ) × 2</t>
  </si>
  <si>
    <t xml:space="preserve">শিরিনা আক্তার (হাসি)</t>
  </si>
  <si>
    <t xml:space="preserve">০১৬১০১১৩৬৪৬</t>
  </si>
  <si>
    <t xml:space="preserve">জাম (ফলদ) × 1, জলপাই (ফলদ) × 1, বেল (ফলদ) × 1, নিম (ফলদ) × 1, মেহগনি (ফলদ) × 3</t>
  </si>
  <si>
    <t xml:space="preserve">26.148694,89.62044</t>
  </si>
  <si>
    <t xml:space="preserve">আবুল হাসেম</t>
  </si>
  <si>
    <t xml:space="preserve">০১৭১৪৯২৫২৪৯</t>
  </si>
  <si>
    <t xml:space="preserve">জাম (ফলদ) × 1, জলপাই (ফলদ) × 1, বেল (ফলদ) × 1, নিম (ফলদ) × 1, মেহগনি (ফলদ) × 4</t>
  </si>
  <si>
    <t xml:space="preserve">26.14875,89.620416</t>
  </si>
  <si>
    <t xml:space="preserve">আবুল কাশেম</t>
  </si>
  <si>
    <t xml:space="preserve">০১৭১৩৭৬৩১২২</t>
  </si>
  <si>
    <t xml:space="preserve">জাম (ফলদ) × 1, জলপাই (ফলদ) × 1, বেল (ফলদ) × 1, নিম (ফলদ) × 1, মেহগনি (ফলদ) × 5</t>
  </si>
  <si>
    <t xml:space="preserve">নুরুল ইসলাম</t>
  </si>
  <si>
    <t xml:space="preserve">০১৭৭২৮৪৮৯১৯</t>
  </si>
  <si>
    <t xml:space="preserve">জাম (ফলদ) × 1, জলপাই (ফলদ) × 1, বেল (ফলদ) × 1, নিম (ফলদ) × 1, মেহগনি (ফলদ) × 6</t>
  </si>
  <si>
    <t xml:space="preserve">০১৭২৩৩১৫৩৮৪</t>
  </si>
  <si>
    <t xml:space="preserve">জাম (ফলদ) × 1, জলপাই (ফলদ) × 1, বেল (ফলদ) × 1, নিম (ফলদ) × 1, মেহগনি (ফলদ) × 7</t>
  </si>
  <si>
    <t xml:space="preserve">মোঃ কায়সার আলী</t>
  </si>
  <si>
    <t xml:space="preserve">০১৭২৪৫৬৪৪৬৬</t>
  </si>
  <si>
    <t xml:space="preserve">জাম (ফলদ) × 1, জলপাই (ফলদ) × 1, বেল (ফলদ) × 1, নিম (ফলদ) × 1, মেহগনি (ফলদ) × 8</t>
  </si>
  <si>
    <t xml:space="preserve">26.147627,89.62125</t>
  </si>
  <si>
    <t xml:space="preserve">মোঃ খাদেম আলী</t>
  </si>
  <si>
    <t xml:space="preserve">০১৭৩৭৫৬৬১১৮</t>
  </si>
  <si>
    <t xml:space="preserve">জাম (ফলদ) × 1, জলপাই (ফলদ) × 1, বেল (ফলদ) × 1, নিম (ফলদ) × 1, মেহগনি (ফলদ) × 9</t>
  </si>
  <si>
    <t xml:space="preserve">26.14084,89.60265</t>
  </si>
  <si>
    <t xml:space="preserve">মোঃ আনছার আলী</t>
  </si>
  <si>
    <t xml:space="preserve">০১৭২৯৬৭৯৬৭৭</t>
  </si>
  <si>
    <t xml:space="preserve">জাম (ফলদ) × 1, জলপাই (ফলদ) × 1, বেল (ফলদ) × 1, নিম (ফলদ) × 1, মেহগনি (ফলদ) × 10</t>
  </si>
  <si>
    <t xml:space="preserve">26.163407,89.6232</t>
  </si>
  <si>
    <t xml:space="preserve">মোঃ খাদেমুল ইসলাম</t>
  </si>
  <si>
    <t xml:space="preserve">১৭১৯৭০৮৯৩২</t>
  </si>
  <si>
    <t xml:space="preserve">জাম (ফলদ) × 1, জলপাই (ফলদ) × 1, বেল (ফলদ) × 1, নিম (ফলদ) × 1, মেহগনি (ফলদ) × 11</t>
  </si>
  <si>
    <t xml:space="preserve">মোঃ ফজলুল রহমান</t>
  </si>
  <si>
    <t xml:space="preserve">০১৭২০৮৪৮০৩০</t>
  </si>
  <si>
    <t xml:space="preserve">জাম (ফলদ) × 1, জলপাই (ফলদ) × 1, বেল (ফলদ) × 1, নিম (ফলদ) × 1, মেহগনি (ফলদ) × 12</t>
  </si>
  <si>
    <t xml:space="preserve">মোঃ শহিদুল ইসলাম</t>
  </si>
  <si>
    <t xml:space="preserve">০১৭১৫৮৪৩৯৫২</t>
  </si>
  <si>
    <t xml:space="preserve">জাম (ফলদ) × 1, জলপাই (ফলদ) × 1, বেল (ফলদ) × 1, নিম (ফলদ) × 1, মেহগনি (ফলদ) × 13</t>
  </si>
  <si>
    <t xml:space="preserve">26.139085,89.62604</t>
  </si>
  <si>
    <t xml:space="preserve">মোঃ বাবলু</t>
  </si>
  <si>
    <t xml:space="preserve">০১৬০৭২৮২১৯২</t>
  </si>
  <si>
    <t xml:space="preserve">জাম (ফলদ) × 1, জলপাই (ফলদ) × 1, বেল (ফলদ) × 1, নিম (ফলদ) × 1, মেহগনি (ফলদ) × 14</t>
  </si>
  <si>
    <t xml:space="preserve">মোঃ হাসেম</t>
  </si>
  <si>
    <t xml:space="preserve">০১৭৭৪০৩৮৪১৫</t>
  </si>
  <si>
    <t xml:space="preserve">জাম (ফলদ) × 1, জলপাই (ফলদ) × 1, বেল (ফলদ) × 1, নিম (ফলদ) × 1, মেহগনি (ফলদ) × 15</t>
  </si>
  <si>
    <t xml:space="preserve">আঃ হালিম</t>
  </si>
  <si>
    <t xml:space="preserve">০১৮২৫৪৭২২৭১</t>
  </si>
  <si>
    <t xml:space="preserve">জাম (ফলদ) × 1, জলপাই (ফলদ) × 1, বেল (ফলদ) × 1, নিম (ফলদ) × 1, মেহগনি (ফলদ) × 16</t>
  </si>
  <si>
    <t xml:space="preserve">সোজাম্মেল</t>
  </si>
  <si>
    <t xml:space="preserve">০১৭৯৪৯৮৮৬৫০</t>
  </si>
  <si>
    <t xml:space="preserve">জাম (ফলদ) × 1, জলপাই (ফলদ) × 1, বেল (ফলদ) × 1, নিম (ফলদ) × 1, মেহগনি (ফলদ) × 17</t>
  </si>
  <si>
    <t xml:space="preserve">26.1484,89.622497</t>
  </si>
  <si>
    <t xml:space="preserve">জান্নাতুল</t>
  </si>
  <si>
    <t xml:space="preserve">০১৭২১৭৭২৬৮৭</t>
  </si>
  <si>
    <t xml:space="preserve">জাম (ফলদ) × 1, জলপাই (ফলদ) × 1, বেল (ফলদ) × 1, নিম (ফলদ) × 1, মেহগনি (ফলদ) × 18</t>
  </si>
  <si>
    <t xml:space="preserve">26.146202,89.62132</t>
  </si>
  <si>
    <t xml:space="preserve">জোসনা</t>
  </si>
  <si>
    <t xml:space="preserve">০১৭৬৮৯৫৮৪৬৩</t>
  </si>
  <si>
    <t xml:space="preserve">জাম (ফলদ) × 1, জলপাই (ফলদ) × 1, বেল (ফলদ) × 1, নিম (ফলদ) × 1, মেহগনি (ফলদ) × 19</t>
  </si>
  <si>
    <t xml:space="preserve">শারমিন</t>
  </si>
  <si>
    <t xml:space="preserve">০১৩৪১৩৩৮৮০০</t>
  </si>
  <si>
    <t xml:space="preserve">জাম (ফলদ) × 1, জলপাই (ফলদ) × 1, বেল (ফলদ) × 1, নিম (ফলদ) × 1, মেহগনি (ফলদ) × 20</t>
  </si>
  <si>
    <t xml:space="preserve">শাপলা</t>
  </si>
  <si>
    <t xml:space="preserve">০১৭২৯১২১২৮২</t>
  </si>
  <si>
    <t xml:space="preserve">জাম (ফলদ) × 1, জলপাই (ফলদ) × 1, বেল (ফলদ) × 1, নিম (ফলদ) × 1, মেহগনি (ফলদ) × 21</t>
  </si>
  <si>
    <t xml:space="preserve">কাজিম</t>
  </si>
  <si>
    <t xml:space="preserve">০১৭২৯৩১৫৪৬২</t>
  </si>
  <si>
    <t xml:space="preserve">জাম (ফলদ) × 1, জলপাই (ফলদ) × 1, বেল (ফলদ) × 1, নিম (ফলদ) × 1, মেহগনি (ফলদ) × 22</t>
  </si>
  <si>
    <t xml:space="preserve">রোজিনা</t>
  </si>
  <si>
    <t xml:space="preserve">০১৮৯৭৯৭২২৪৯</t>
  </si>
  <si>
    <t xml:space="preserve">জাম (ফলদ) × 1, জলপাই (ফলদ) × 1, বেল (ফলদ) × 1, নিম (ফলদ) × 1, মেহগনি (ফলদ) × 23</t>
  </si>
  <si>
    <t xml:space="preserve">ছাহারা</t>
  </si>
  <si>
    <t xml:space="preserve">০১৬২৮৮৪৬১৮৪</t>
  </si>
  <si>
    <t xml:space="preserve">জাম (ফলদ) × 1, জলপাই (ফলদ) × 1, বেল (ফলদ) × 1, নিম (ফলদ) × 1, মেহগনি (ফলদ) × 24</t>
  </si>
  <si>
    <t xml:space="preserve">আবেদা বেগম</t>
  </si>
  <si>
    <t xml:space="preserve">০১৭৮৯৯১৭৮০</t>
  </si>
  <si>
    <t xml:space="preserve">বাঁশজানী</t>
  </si>
  <si>
    <t xml:space="preserve">জাম (ফলদ) × 1, জলপাই (ফলদ) × 1, বেল (ফলদ) × 1, নিম (ফলদ) × 1, মেহগনি (ফলদ) × 25</t>
  </si>
  <si>
    <t xml:space="preserve">26.15247,89.622932</t>
  </si>
  <si>
    <t xml:space="preserve">আল্পনা</t>
  </si>
  <si>
    <t xml:space="preserve">০১৭৬১৩১০৮২০</t>
  </si>
  <si>
    <t xml:space="preserve">মইদাম</t>
  </si>
  <si>
    <t xml:space="preserve">জাম (ফলদ) × 1, জলপাই (ফলদ) × 1, বেল (ফলদ) × 1, নিম (ফলদ) × 1, মেহগনি (ফলদ) × 26</t>
  </si>
  <si>
    <t xml:space="preserve">খুকিরন</t>
  </si>
  <si>
    <t xml:space="preserve">০১৭৩৪৫২৫১০</t>
  </si>
  <si>
    <t xml:space="preserve">মোঃ জীবন সরকার,</t>
  </si>
  <si>
    <t xml:space="preserve">০১৭৫৫১০৩১৭৮</t>
  </si>
  <si>
    <t xml:space="preserve">জাম (ফলদ) × 1, জলপাই (ফলদ) × 1, বেল (ফলদ) × 1, নিম (ফলদ) × 1, মেহগনি (ফলদ) × 27</t>
  </si>
  <si>
    <t xml:space="preserve">ইনছার</t>
  </si>
  <si>
    <t xml:space="preserve">০১৭৯৭৭৮৩৭৭৬</t>
  </si>
  <si>
    <t xml:space="preserve">জাম (ফলদ) × 1, জলপাই (ফলদ) × 1, বেল (ফলদ) × 1, নিম (ফলদ) × 1, মেহগনি (ফলদ) × 28</t>
  </si>
  <si>
    <t xml:space="preserve">রোকেয়া</t>
  </si>
  <si>
    <t xml:space="preserve">০১৮৫১৩৫৫৭০৫</t>
  </si>
  <si>
    <t xml:space="preserve">জাম (ফলদ) × 1, জলপাই (ফলদ) × 1, বেল (ফলদ) × 1, নিম (ফলদ) × 1, মেহগনি (ফলদ) × 29</t>
  </si>
  <si>
    <t xml:space="preserve">26.14762,89.620757</t>
  </si>
  <si>
    <t xml:space="preserve">শাকিল</t>
  </si>
  <si>
    <t xml:space="preserve">০১৭৮৬৯৫৩৯৪</t>
  </si>
  <si>
    <t xml:space="preserve">জাম (ফলদ) × 1, জলপাই (ফলদ) × 1, বেল (ফলদ) × 1, নিম (ফলদ) × 1, মেহগনি (ফলদ) × 30</t>
  </si>
  <si>
    <t xml:space="preserve">মিনহাজুল</t>
  </si>
  <si>
    <t xml:space="preserve">০১৬৮৩১৪৯৩৩</t>
  </si>
  <si>
    <t xml:space="preserve">জাম (ফলদ) × 1, জলপাই (ফলদ) × 1, বেল (ফলদ) × 1, নিম (ফলদ) × 1, মেহগনি (ফলদ) × 31</t>
  </si>
  <si>
    <t xml:space="preserve">সাইদুর</t>
  </si>
  <si>
    <t xml:space="preserve">০১৭৫০৫২৭২১৫</t>
  </si>
  <si>
    <t xml:space="preserve">জাম (ফলদ) × 1, জলপাই (ফলদ) × 1, বেল (ফলদ) × 1, নিম (ফলদ) × 1, মেহগনি (ফলদ) × 32</t>
  </si>
  <si>
    <t xml:space="preserve">সইতন</t>
  </si>
  <si>
    <t xml:space="preserve">০১৭৪৯১৩৩৫৮৮</t>
  </si>
  <si>
    <t xml:space="preserve">জাম (ফলদ) × 1, জলপাই (ফলদ) × 1, বেল (ফলদ) × 1, নিম (ফলদ) × 1, মেহগনি (ফলদ) × 33</t>
  </si>
  <si>
    <t xml:space="preserve">মজিদা</t>
  </si>
  <si>
    <t xml:space="preserve">০১৭৩৪৯৯৮০৯৬</t>
  </si>
  <si>
    <t xml:space="preserve">জাম (ফলদ) × 1, জলপাই (ফলদ) × 1, বেল (ফলদ) × 1, নিম (ফলদ) × 1, মেহগনি (ফলদ) × 34</t>
  </si>
  <si>
    <t xml:space="preserve">হাফিজুল</t>
  </si>
  <si>
    <t xml:space="preserve">জাম (ফলদ) × 1, জলপাই (ফলদ) × 1, বেল (ফলদ) × 1, নিম (ফলদ) × 1, মেহগনি (ফলদ) × 35</t>
  </si>
  <si>
    <t xml:space="preserve">আমিনুল</t>
  </si>
  <si>
    <t xml:space="preserve">০১৭১৮১৫৭৪৩৭</t>
  </si>
  <si>
    <t xml:space="preserve">জাম (ফলদ) × 1, জলপাই (ফলদ) × 1, বেল (ফলদ) × 1, নিম (ফলদ) × 1, মেহগনি (ফলদ) × 36</t>
  </si>
  <si>
    <t xml:space="preserve">রমজান</t>
  </si>
  <si>
    <t xml:space="preserve">০১৮৩১৭৯৯০৭</t>
  </si>
  <si>
    <t xml:space="preserve">জাম (ফলদ) × 1, জলপাই (ফলদ) × 1, বেল (ফলদ) × 1, নিম (ফলদ) × 1, মেহগনি (ফলদ) × 37</t>
  </si>
  <si>
    <t xml:space="preserve">26.157362,89.62182</t>
  </si>
  <si>
    <t xml:space="preserve">রইচ</t>
  </si>
  <si>
    <t xml:space="preserve">০১৭২২৯৭৭৫২৩</t>
  </si>
  <si>
    <t xml:space="preserve">জাম (ফলদ) × 1, জলপাই (ফলদ) × 1, বেল (ফলদ) × 1, নিম (ফলদ) × 1, মেহগনি (ফলদ) × 38</t>
  </si>
  <si>
    <t xml:space="preserve">সেলিমা</t>
  </si>
  <si>
    <t xml:space="preserve">০১৩০৭৯৫৯৫৮৭</t>
  </si>
  <si>
    <t xml:space="preserve">জাম (ফলদ) × 1, জলপাই (ফলদ) × 1, বেল (ফলদ) × 1, নিম (ফলদ) × 1, মেহগনি (ফলদ) × 39</t>
  </si>
  <si>
    <t xml:space="preserve">মনিরুজ্জামান</t>
  </si>
  <si>
    <t xml:space="preserve">০১৭৫৫১৯৫৬৯৮</t>
  </si>
  <si>
    <t xml:space="preserve">জাম (ফলদ) × 1, জলপাই (ফলদ) × 1, বেল (ফলদ) × 1, নিম (ফলদ) × 1, মেহগনি (ফলদ) × 40</t>
  </si>
  <si>
    <t xml:space="preserve">হানিফ</t>
  </si>
  <si>
    <t xml:space="preserve">০১৩১৮৯৭৩৯৩৮</t>
  </si>
  <si>
    <t xml:space="preserve">জাম (ফলদ) × 1, জলপাই (ফলদ) × 1, বেল (ফলদ) × 1, নিম (ফলদ) × 1, মেহগনি (ফলদ) × 41</t>
  </si>
  <si>
    <t xml:space="preserve">আবুল কালাম</t>
  </si>
  <si>
    <t xml:space="preserve">০১৮৩৬৩৭৫০২২</t>
  </si>
  <si>
    <t xml:space="preserve">উঃ ধলডাঙ্গা</t>
  </si>
  <si>
    <t xml:space="preserve">শিলখুড়ি</t>
  </si>
  <si>
    <t xml:space="preserve">জাম (ফলদ) × 1, জলপাই (ফলদ) × 1, বেল (ফলদ) × 1, নিম (ফলদ) × 1, মেহগনি (ফলদ) × 42</t>
  </si>
  <si>
    <t xml:space="preserve">26.208125,89.66698</t>
  </si>
  <si>
    <t xml:space="preserve">রফিকুল</t>
  </si>
  <si>
    <t xml:space="preserve">০১৭৩৭০৪৩৮৯১</t>
  </si>
  <si>
    <t xml:space="preserve">মোঃ সাদ্দাম হোসেন,</t>
  </si>
  <si>
    <t xml:space="preserve">০১৭৩৮১৫৫১৭৮</t>
  </si>
  <si>
    <t xml:space="preserve">জাম (ফলদ) × 1, জলপাই (ফলদ) × 1, বেল (ফলদ) × 1, নিম (ফলদ) × 1, মেহগনি (ফলদ) × 43</t>
  </si>
  <si>
    <t xml:space="preserve">সুখজান</t>
  </si>
  <si>
    <t xml:space="preserve">০১৭৬৩০৫২৪৮৬</t>
  </si>
  <si>
    <t xml:space="preserve">জাম (ফলদ) × 1, জলপাই (ফলদ) × 1, বেল (ফলদ) × 1, নিম (ফলদ) × 1, মেহগনি (ফলদ) × 44</t>
  </si>
  <si>
    <t xml:space="preserve">সুজন</t>
  </si>
  <si>
    <t xml:space="preserve">০১৭৭৪১৪২৭৮৮</t>
  </si>
  <si>
    <t xml:space="preserve">জাম (ফলদ) × 1, জলপাই (ফলদ) × 1, বেল (ফলদ) × 1, নিম (ফলদ) × 1, মেহগনি (ফলদ) × 45</t>
  </si>
  <si>
    <t xml:space="preserve">০১৩৪৬৪৯৯৯২৭</t>
  </si>
  <si>
    <t xml:space="preserve">জাম (ফলদ) × 1, জলপাই (ফলদ) × 1, বেল (ফলদ) × 1, নিম (ফলদ) × 1, মেহগনি (ফলদ) × 46</t>
  </si>
  <si>
    <t xml:space="preserve">26.205751,89.6675</t>
  </si>
  <si>
    <t xml:space="preserve">সাইফুর</t>
  </si>
  <si>
    <t xml:space="preserve">০১৭৬১০৪৭৬৭৮</t>
  </si>
  <si>
    <t xml:space="preserve">জাম (ফলদ) × 1, জলপাই (ফলদ) × 1, বেল (ফলদ) × 1, নিম (ফলদ) × 1, মেহগনি (ফলদ) × 47</t>
  </si>
  <si>
    <t xml:space="preserve">০১৩১৮৬৯৯২৭৭</t>
  </si>
  <si>
    <t xml:space="preserve">চরপাড়া চার মাথা</t>
  </si>
  <si>
    <t xml:space="preserve">জাম (ফলদ) × 1, জলপাই (ফলদ) × 1, বেল (ফলদ) × 1, নিম (ফলদ) × 1, মেহগনি (ফলদ) × 48</t>
  </si>
  <si>
    <t xml:space="preserve">জহুরা</t>
  </si>
  <si>
    <t xml:space="preserve">০১৭৭৩২৫০৭৯০</t>
  </si>
  <si>
    <t xml:space="preserve">জাম (ফলদ) × 1, জলপাই (ফলদ) × 1, বেল (ফলদ) × 1, নিম (ফলদ) × 1, মেহগনি (ফলদ) × 49</t>
  </si>
  <si>
    <t xml:space="preserve">০১৭৪৪৮৫৫৫৪০</t>
  </si>
  <si>
    <t xml:space="preserve">জাম (ফলদ) × 1, জলপাই (ফলদ) × 1, বেল (ফলদ) × 1, নিম (ফলদ) × 1, মেহগনি (ফলদ) × 50</t>
  </si>
  <si>
    <t xml:space="preserve">আঃ জলিল</t>
  </si>
  <si>
    <t xml:space="preserve">০১৩৩২০১৫৭৬২</t>
  </si>
  <si>
    <t xml:space="preserve">জাম (ফলদ) × 1, জলপাই (ফলদ) × 1, বেল (ফলদ) × 1, নিম (ফলদ) × 1, মেহগনি (ফলদ) × 51</t>
  </si>
  <si>
    <t xml:space="preserve">26.205751,89.66734</t>
  </si>
  <si>
    <t xml:space="preserve">সাহাবুদ্দিন</t>
  </si>
  <si>
    <t xml:space="preserve">০১৭৬০৩২৫০৩১</t>
  </si>
  <si>
    <t xml:space="preserve">জাম (ফলদ) × 1, জলপাই (ফলদ) × 1, বেল (ফলদ) × 1, নিম (ফলদ) × 1, মেহগনি (ফলদ) × 52</t>
  </si>
  <si>
    <t xml:space="preserve">কাজিয়ার চর</t>
  </si>
  <si>
    <t xml:space="preserve">জাম (ফলদ) × 1, জলপাই (ফলদ) × 1, বেল (ফলদ) × 1, নিম (ফলদ) × 1, মেহগনি (ফলদ) × 53</t>
  </si>
  <si>
    <t xml:space="preserve">তোফাজ্জল</t>
  </si>
  <si>
    <t xml:space="preserve">০১৭৫১৩৭৬৪৫১</t>
  </si>
  <si>
    <t xml:space="preserve">জাম (ফলদ) × 1, জলপাই (ফলদ) × 1, বেল (ফলদ) × 1, নিম (ফলদ) × 1, মেহগনি (ফলদ) × 54</t>
  </si>
  <si>
    <t xml:space="preserve">০১৭৫৫২৫৫৫৯৮</t>
  </si>
  <si>
    <t xml:space="preserve">জাম (ফলদ) × 1, জলপাই (ফলদ) × 1, বেল (ফলদ) × 1, নিম (ফলদ) × 1, মেহগনি (ফলদ) × 55</t>
  </si>
  <si>
    <t xml:space="preserve">সোনা মিয়া</t>
  </si>
  <si>
    <t xml:space="preserve">০১৭৪৩৫৮২৩৩৯</t>
  </si>
  <si>
    <t xml:space="preserve">জাম (ফলদ) × 1, জলপাই (ফলদ) × 1, বেল (ফলদ) × 1, নিম (ফলদ) × 1, মেহগনি (ফলদ) × 56</t>
  </si>
  <si>
    <t xml:space="preserve">ছমির</t>
  </si>
  <si>
    <t xml:space="preserve">০১৭১৫৮০৬৩৩৩</t>
  </si>
  <si>
    <t xml:space="preserve">জাম (ফলদ) × 1, জলপাই (ফলদ) × 1, বেল (ফলদ) × 1, নিম (ফলদ) × 1, মেহগনি (ফলদ) × 57</t>
  </si>
  <si>
    <t xml:space="preserve">জাহিদুল</t>
  </si>
  <si>
    <t xml:space="preserve">০১৭৫১৪৪৫৫২৮</t>
  </si>
  <si>
    <t xml:space="preserve">জাম (ফলদ) × 1, জলপাই (ফলদ) × 1, বেল (ফলদ) × 1, নিম (ফলদ) × 1, মেহগনি (ফলদ) × 58</t>
  </si>
  <si>
    <t xml:space="preserve">খলিল</t>
  </si>
  <si>
    <t xml:space="preserve">০১৭৯২০৭৭৫১২</t>
  </si>
  <si>
    <t xml:space="preserve">জাম (ফলদ) × 1, জলপাই (ফলদ) × 1, বেল (ফলদ) × 1, নিম (ফলদ) × 1, মেহগনি (ফলদ) × 60</t>
  </si>
  <si>
    <t xml:space="preserve">নজরুল</t>
  </si>
  <si>
    <t xml:space="preserve">০১৭৩৩৬৪৮৪৩১</t>
  </si>
  <si>
    <t xml:space="preserve">জাম (ফলদ) × 1, জলপাই (ফলদ) × 1, বেল (ফলদ) × 1, নিম (ফলদ) × 1, মেহগনি (ফলদ) × 61</t>
  </si>
  <si>
    <t xml:space="preserve">০১৭৯১৮৭৩৪৯৬</t>
  </si>
  <si>
    <t xml:space="preserve">উঃ তিলাই</t>
  </si>
  <si>
    <t xml:space="preserve">জাম (ফলদ) × 1, জলপাই (ফলদ) × 1, বেল (ফলদ) × 1, নিম (ফলদ) × 1, মেহগনি (ফলদ) × 62</t>
  </si>
  <si>
    <t xml:space="preserve">26.18585,89.671675</t>
  </si>
  <si>
    <t xml:space="preserve">মুকুল</t>
  </si>
  <si>
    <t xml:space="preserve">০১৭২৩৫৫৩১৬৭</t>
  </si>
  <si>
    <t xml:space="preserve">জাম (ফলদ) × 1, জলপাই (ফলদ) × 1, বেল (ফলদ) × 1, নিম (ফলদ) × 1, মেহগনি (ফলদ) × 63</t>
  </si>
  <si>
    <t xml:space="preserve">০১৭১৬৪৯৭৪০৯</t>
  </si>
  <si>
    <t xml:space="preserve">সরকারপাড়া</t>
  </si>
  <si>
    <t xml:space="preserve">জাম (ফলদ) × 1, জলপাই (ফলদ) × 1, বেল (ফলদ) × 1, নিম (ফলদ) × 1, মেহগনি (ফলদ) × 64</t>
  </si>
  <si>
    <t xml:space="preserve">26.187821,89.63435</t>
  </si>
  <si>
    <t xml:space="preserve">জুবায়েদ</t>
  </si>
  <si>
    <t xml:space="preserve">০১৭২৩০৮৮৮১৮</t>
  </si>
  <si>
    <t xml:space="preserve">কাটাগীড়</t>
  </si>
  <si>
    <t xml:space="preserve">জাম (ফলদ) × 1, জলপাই (ফলদ) × 1, বেল (ফলদ) × 1, নিম (ফলদ) × 1, মেহগনি (ফলদ) × 65</t>
  </si>
  <si>
    <t xml:space="preserve">আবু সাইদ</t>
  </si>
  <si>
    <t xml:space="preserve">০১৭৭৩২৭১৫৬২</t>
  </si>
  <si>
    <t xml:space="preserve">বটতলা</t>
  </si>
  <si>
    <t xml:space="preserve">জাম (ফলদ) × 1, জলপাই (ফলদ) × 1, বেল (ফলদ) × 1, নিম (ফলদ) × 1, মেহগনি (ফলদ) × 66</t>
  </si>
  <si>
    <t xml:space="preserve">মোন্নফা</t>
  </si>
  <si>
    <t xml:space="preserve">০১৭২৩৫৯৪১৬১</t>
  </si>
  <si>
    <t xml:space="preserve">জাম (ফলদ) × 1, জলপাই (ফলদ) × 1, বেল (ফলদ) × 1, নিম (ফলদ) × 1, মেহগনি (ফলদ) × 67</t>
  </si>
  <si>
    <t xml:space="preserve">নুরুল</t>
  </si>
  <si>
    <t xml:space="preserve">০১৭১০৩৩৩০২১</t>
  </si>
  <si>
    <t xml:space="preserve">ডাক্তারপাড়া</t>
  </si>
  <si>
    <t xml:space="preserve">জাম (ফলদ) × 1, জলপাই (ফলদ) × 1, বেল (ফলদ) × 1, নিম (ফলদ) × 1, মেহগনি (ফলদ) × 68</t>
  </si>
  <si>
    <t xml:space="preserve">কাদের আলী</t>
  </si>
  <si>
    <t xml:space="preserve">০১৭১৪০৫০৫২</t>
  </si>
  <si>
    <t xml:space="preserve">জাম (ফলদ) × 1, জলপাই (ফলদ) × 1, বেল (ফলদ) × 1, নিম (ফলদ) × 1, মেহগনি (ফলদ) × 69</t>
  </si>
  <si>
    <t xml:space="preserve">আতাউর</t>
  </si>
  <si>
    <t xml:space="preserve">০১৭৩৭৫৪১৪৪২</t>
  </si>
  <si>
    <t xml:space="preserve">দঃ ধলডাঙ্গা</t>
  </si>
  <si>
    <t xml:space="preserve">জাম (ফলদ) × 1, জলপাই (ফলদ) × 1, বেল (ফলদ) × 1, নিম (ফলদ) × 1, মেহগনি (ফলদ) × 70</t>
  </si>
  <si>
    <t xml:space="preserve">ইসমাইল</t>
  </si>
  <si>
    <t xml:space="preserve">০১৭৪০১০৫৩১৪</t>
  </si>
  <si>
    <t xml:space="preserve">জাম (ফলদ) × 1, জলপাই (ফলদ) × 1, বেল (ফলদ) × 1, নিম (ফলদ) × 1, মেহগনি (ফলদ) × 71</t>
  </si>
  <si>
    <t xml:space="preserve">সবুজ</t>
  </si>
  <si>
    <t xml:space="preserve">০১৭১৭৯৯১৫৯৬</t>
  </si>
  <si>
    <t xml:space="preserve">জাম (ফলদ) × 1, জলপাই (ফলদ) × 1, বেল (ফলদ) × 1, নিম (ফলদ) × 1, মেহগনি (ফলদ) × 72</t>
  </si>
  <si>
    <t xml:space="preserve">26.178961,89.67886</t>
  </si>
  <si>
    <t xml:space="preserve">আঃ রাজ্জাক</t>
  </si>
  <si>
    <t xml:space="preserve">০১৭৩৬৩৫৯৭১৪</t>
  </si>
  <si>
    <t xml:space="preserve">জাম (ফলদ) × 1, জলপাই (ফলদ) × 1, বেল (ফলদ) × 1, নিম (ফলদ) × 1, মেহগনি (ফলদ) × 73</t>
  </si>
  <si>
    <t xml:space="preserve">26.18164,89.663241</t>
  </si>
  <si>
    <t xml:space="preserve">জাহাঙ্গীর</t>
  </si>
  <si>
    <t xml:space="preserve">০১৭১৩৭৭৩৮১৪</t>
  </si>
  <si>
    <t xml:space="preserve">জাম (ফলদ) × 1, জলপাই (ফলদ) × 1, বেল (ফলদ) × 1, নিম (ফলদ) × 1, মেহগনি (ফলদ) × 74</t>
  </si>
  <si>
    <t xml:space="preserve">লুৎফর</t>
  </si>
  <si>
    <t xml:space="preserve">০১৩১২৭১০৪২৪</t>
  </si>
  <si>
    <t xml:space="preserve">উঃ ছাটগোপালপুর</t>
  </si>
  <si>
    <t xml:space="preserve">জাম (ফলদ) × 1, জলপাই (ফলদ) × 1, বেল (ফলদ) × 1, নিম (ফলদ) × 1, মেহগনি (ফলদ) × 75</t>
  </si>
  <si>
    <t xml:space="preserve">26.171,89.663695</t>
  </si>
  <si>
    <t xml:space="preserve">মোফাজ্জল</t>
  </si>
  <si>
    <t xml:space="preserve">০১৭৫১৪৪৬৯২৫</t>
  </si>
  <si>
    <t xml:space="preserve">উঃ ছাটগোপাপুর</t>
  </si>
  <si>
    <t xml:space="preserve">জাম (ফলদ) × 1, জলপাই (ফলদ) × 1, বেল (ফলদ) × 1, নিম (ফলদ) × 1, মেহগনি (ফলদ) × 76</t>
  </si>
  <si>
    <t xml:space="preserve">জাবেদ আলী</t>
  </si>
  <si>
    <t xml:space="preserve">০১৭৩৯১১৩২৩৩</t>
  </si>
  <si>
    <t xml:space="preserve">জাম (ফলদ) × 1, জলপাই (ফলদ) × 1, বেল (ফলদ) × 1, নিম (ফলদ) × 1, মেহগনি (ফলদ) × 77</t>
  </si>
  <si>
    <t xml:space="preserve">হোসেন মুন্সী</t>
  </si>
  <si>
    <t xml:space="preserve">০১৭৪৮০৬৪১৪২</t>
  </si>
  <si>
    <t xml:space="preserve">জাম (ফলদ) × 1, জলপাই (ফলদ) × 1, বেল (ফলদ) × 1, নিম (ফলদ) × 1, মেহগনি (ফলদ) × 78</t>
  </si>
  <si>
    <t xml:space="preserve">26.199636,89.64369</t>
  </si>
  <si>
    <t xml:space="preserve">ফজলুর</t>
  </si>
  <si>
    <t xml:space="preserve">০১৭৪০৮৪০৩৬১</t>
  </si>
  <si>
    <t xml:space="preserve">জাম (ফলদ) × 1, জলপাই (ফলদ) × 1, বেল (ফলদ) × 1, নিম (ফলদ) × 1, মেহগনি (ফলদ) × 79</t>
  </si>
  <si>
    <t xml:space="preserve">বাবলু</t>
  </si>
  <si>
    <t xml:space="preserve">০১৩৪৪২৪৯০৯৭</t>
  </si>
  <si>
    <t xml:space="preserve">জাম (ফলদ) × 1, জলপাই (ফলদ) × 1, বেল (ফলদ) × 1, নিম (ফলদ) × 1, মেহগনি (ফলদ) × 80</t>
  </si>
  <si>
    <t xml:space="preserve">জাম (ফলদ) × 1, জলপাই (ফলদ) × 1, বেল (ফলদ) × 1, নিম (ফলদ) × 1, মেহগনি (ফলদ) × 81</t>
  </si>
  <si>
    <t xml:space="preserve">০১৭৯৩৯৭০৮৭৮</t>
  </si>
  <si>
    <t xml:space="preserve">জাম (ফলদ) × 1, জলপাই (ফলদ) × 1, বেল (ফলদ) × 1, নিম (ফলদ) × 1, মেহগনি (ফলদ) × 82</t>
  </si>
  <si>
    <t xml:space="preserve">০১৭৯১৩৩৫১৯৯</t>
  </si>
  <si>
    <t xml:space="preserve">জাম (ফলদ) × 1, জলপাই (ফলদ) × 1, বেল (ফলদ) × 1, নিম (ফলদ) × 1, মেহগনি (ফলদ) × 83</t>
  </si>
  <si>
    <t xml:space="preserve">আবদুস সালাম</t>
  </si>
  <si>
    <t xml:space="preserve">০১৭১৮৬১৫০৫৪</t>
  </si>
  <si>
    <t xml:space="preserve">দঃ ছাটগোপালপুর</t>
  </si>
  <si>
    <t xml:space="preserve">তিলাই</t>
  </si>
  <si>
    <t xml:space="preserve">জাম (ফলদ) × 1, জলপাই (ফলদ) × 1, বেল (ফলদ) × 1, নিম (ফলদ) × 1, মেহগনি (ফলদ) × 84</t>
  </si>
  <si>
    <t xml:space="preserve">আমজাদ</t>
  </si>
  <si>
    <t xml:space="preserve">০১৭৩৭৫৯২৫৮</t>
  </si>
  <si>
    <t xml:space="preserve">মোঃ জাহাঙ্গীর আলম,</t>
  </si>
  <si>
    <t xml:space="preserve">০১৭৮০৫৩৮২৮৪</t>
  </si>
  <si>
    <t xml:space="preserve">জাম (ফলদ) × 1, জলপাই (ফলদ) × 1, বেল (ফলদ) × 1, নিম (ফলদ) × 1, মেহগনি (ফলদ) × 85</t>
  </si>
  <si>
    <t xml:space="preserve">০১৭৭৪৩৮৭৩৯৬</t>
  </si>
  <si>
    <t xml:space="preserve">জাম (ফলদ) × 1, জলপাই (ফলদ) × 1, বেল (ফলদ) × 1, নিম (ফলদ) × 1, মেহগনি (ফলদ) × 86</t>
  </si>
  <si>
    <t xml:space="preserve">০১৭১৭০১৪৯৯৬</t>
  </si>
  <si>
    <t xml:space="preserve">জাম (ফলদ) × 1, জলপাই (ফলদ) × 1, বেল (ফলদ) × 1, নিম (ফলদ) × 1, মেহগনি (ফলদ) × 87</t>
  </si>
  <si>
    <t xml:space="preserve">২৬.১৪৫৩৯৬,৮৯.৬৬৩৮৯৬</t>
  </si>
  <si>
    <t xml:space="preserve">গোলাম মোস্তফা</t>
  </si>
  <si>
    <t xml:space="preserve">০১৭৬৭১১৯৩১৯</t>
  </si>
  <si>
    <t xml:space="preserve">জাম (ফলদ) × 1, জলপাই (ফলদ) × 1, বেল (ফলদ) × 1, নিম (ফলদ) × 1, মেহগনি (ফলদ) × 88</t>
  </si>
  <si>
    <t xml:space="preserve">শহিদুল</t>
  </si>
  <si>
    <t xml:space="preserve">০১৭৬২৫২৬৫৫৯</t>
  </si>
  <si>
    <t xml:space="preserve">জাম (ফলদ) × 1, জলপাই (ফলদ) × 1, বেল (ফলদ) × 1, নিম (ফলদ) × 1, মেহগনি (ফলদ) × 89</t>
  </si>
  <si>
    <t xml:space="preserve">জাম (ফলদ) × 1, জলপাই (ফলদ) × 1, বেল (ফলদ) × 1, নিম (ফলদ) × 1, মেহগনি (ফলদ) × 90</t>
  </si>
  <si>
    <t xml:space="preserve">০১৭৬৭৩৩২৪০৬</t>
  </si>
  <si>
    <t xml:space="preserve">জাম (ফলদ) × 1, জলপাই (ফলদ) × 1, বেল (ফলদ) × 1, নিম (ফলদ) × 1, মেহগনি (ফলদ) × 91</t>
  </si>
  <si>
    <t xml:space="preserve">আছর</t>
  </si>
  <si>
    <t xml:space="preserve">০১৭৩৬০৬৪৯৮১</t>
  </si>
  <si>
    <t xml:space="preserve">জাম (ফলদ) × 1, জলপাই (ফলদ) × 1, বেল (ফলদ) × 1, নিম (ফলদ) × 1, মেহগনি (ফলদ) × 92</t>
  </si>
  <si>
    <t xml:space="preserve">খোকন</t>
  </si>
  <si>
    <t xml:space="preserve">০১৭৩৮৪৩৪৩৪৫</t>
  </si>
  <si>
    <t xml:space="preserve">জাম (ফলদ) × 1, জলপাই (ফলদ) × 1, বেল (ফলদ) × 1, নিম (ফলদ) × 1, মেহগনি (ফলদ) × 93</t>
  </si>
  <si>
    <t xml:space="preserve">হাজেরা</t>
  </si>
  <si>
    <t xml:space="preserve">০১৩৩৩৮৬৮৩৩১</t>
  </si>
  <si>
    <t xml:space="preserve">জাম (ফলদ) × 1, জলপাই (ফলদ) × 1, বেল (ফলদ) × 1, নিম (ফলদ) × 1, মেহগনি (ফলদ) × 94</t>
  </si>
  <si>
    <t xml:space="preserve">০১৭০৯০৫৩৮০২</t>
  </si>
  <si>
    <t xml:space="preserve">জাম (ফলদ) × 1, জলপাই (ফলদ) × 1, বেল (ফলদ) × 1, নিম (ফলদ) × 1, মেহগনি (ফলদ) × 95</t>
  </si>
  <si>
    <t xml:space="preserve">আরিফুল</t>
  </si>
  <si>
    <t xml:space="preserve">০১৭৬১৭৬০১৬৫</t>
  </si>
  <si>
    <t xml:space="preserve">জাম (ফলদ) × 1, জলপাই (ফলদ) × 1, বেল (ফলদ) × 1, নিম (ফলদ) × 1, মেহগনি (ফলদ) × 96</t>
  </si>
  <si>
    <t xml:space="preserve">আমিনুর</t>
  </si>
  <si>
    <t xml:space="preserve">০১৭৮৭৭৮৪১২৯</t>
  </si>
  <si>
    <t xml:space="preserve">জাম (ফলদ) × 1, জলপাই (ফলদ) × 1, বেল (ফলদ) × 1, নিম (ফলদ) × 1, মেহগনি (ফলদ) × 97</t>
  </si>
  <si>
    <t xml:space="preserve">মনোয়ারা</t>
  </si>
  <si>
    <t xml:space="preserve">০১৭৬১৬৬১৫০৬</t>
  </si>
  <si>
    <t xml:space="preserve">জাম (ফলদ) × 1, জলপাই (ফলদ) × 1, বেল (ফলদ) × 1, নিম (ফলদ) × 1, মেহগনি (ফলদ) × 98</t>
  </si>
  <si>
    <t xml:space="preserve">জাম (ফলদ) × 1, জলপাই (ফলদ) × 1, বেল (ফলদ) × 1, নিম (ফলদ) × 1, মেহগনি (ফলদ) × 99</t>
  </si>
  <si>
    <t xml:space="preserve">লোকমান</t>
  </si>
  <si>
    <t xml:space="preserve">০১৭৬২৭৭২৪৫০</t>
  </si>
  <si>
    <t xml:space="preserve">জাম (ফলদ) × 1, জলপাই (ফলদ) × 1, বেল (ফলদ) × 1, নিম (ফলদ) × 1, মেহগনি (ফলদ) × 100</t>
  </si>
  <si>
    <t xml:space="preserve">মোশারফ</t>
  </si>
  <si>
    <t xml:space="preserve">০১৭৪৭২৮৩৯৩৯</t>
  </si>
  <si>
    <t xml:space="preserve">জাম (ফলদ) × 1, জলপাই (ফলদ) × 1, বেল (ফলদ) × 1, নিম (ফলদ) × 1, মেহগনি (ফলদ) × 101</t>
  </si>
  <si>
    <t xml:space="preserve">শাহিন</t>
  </si>
  <si>
    <t xml:space="preserve">০১৭২৯১০৫৭১৭</t>
  </si>
  <si>
    <t xml:space="preserve">জাম (ফলদ) × 1, জলপাই (ফলদ) × 1, বেল (ফলদ) × 1, নিম (ফলদ) × 1, মেহগনি (ফলদ) × 102</t>
  </si>
  <si>
    <t xml:space="preserve">০১৭১৪৯৬৪৬৬৮</t>
  </si>
  <si>
    <t xml:space="preserve">জাম (ফলদ) × 1, জলপাই (ফলদ) × 1, বেল (ফলদ) × 1, নিম (ফলদ) × 1, মেহগনি (ফলদ) × 103</t>
  </si>
  <si>
    <t xml:space="preserve">আতোয়ার</t>
  </si>
  <si>
    <t xml:space="preserve">০১৩০৭৩৩৭৫৪৮</t>
  </si>
  <si>
    <t xml:space="preserve">জাম (ফলদ) × 1, জলপাই (ফলদ) × 1, বেল (ফলদ) × 1, নিম (ফলদ) × 1, মেহগনি (ফলদ) × 104</t>
  </si>
  <si>
    <t xml:space="preserve">০১৭৬৪৮১৭৪০২</t>
  </si>
  <si>
    <t xml:space="preserve">জাম (ফলদ) × 1, জলপাই (ফলদ) × 1, বেল (ফলদ) × 1, নিম (ফলদ) × 1, মেহগনি (ফলদ) × 105</t>
  </si>
  <si>
    <t xml:space="preserve">০১৭৩৮৩৭২৭৯৪</t>
  </si>
  <si>
    <t xml:space="preserve">পঃ ছাটগোপালপুর</t>
  </si>
  <si>
    <t xml:space="preserve">জাম (ফলদ) × 1, জলপাই (ফলদ) × 1, বেল (ফলদ) × 1, নিম (ফলদ) × 1, মেহগনি (ফলদ) × 106</t>
  </si>
  <si>
    <t xml:space="preserve">সোহরাব</t>
  </si>
  <si>
    <t xml:space="preserve">০১৭৬২৯৫৮৪৭০</t>
  </si>
  <si>
    <t xml:space="preserve">জাম (ফলদ) × 1, জলপাই (ফলদ) × 1, বেল (ফলদ) × 1, নিম (ফলদ) × 1, মেহগনি (ফলদ) × 107</t>
  </si>
  <si>
    <t xml:space="preserve">২৬.১৪০৫৭০,৮৯.৬৬১৬৮৪</t>
  </si>
  <si>
    <t xml:space="preserve">আফছার</t>
  </si>
  <si>
    <t xml:space="preserve">০১৭১৩৭১৪২০২</t>
  </si>
  <si>
    <t xml:space="preserve">জাম (ফলদ) × 1, জলপাই (ফলদ) × 1, বেল (ফলদ) × 1, নিম (ফলদ) × 1, মেহগনি (ফলদ) × 108</t>
  </si>
  <si>
    <t xml:space="preserve">আনিছুর</t>
  </si>
  <si>
    <t xml:space="preserve">০১৭৪০১৬৫৬৫৫</t>
  </si>
  <si>
    <t xml:space="preserve">জাম (ফলদ) × 1, জলপাই (ফলদ) × 1, বেল (ফলদ) × 1, নিম (ফলদ) × 1, মেহগনি (ফলদ) × 109</t>
  </si>
  <si>
    <t xml:space="preserve">০১৭২৯০৮১৭১৭</t>
  </si>
  <si>
    <t xml:space="preserve">জাম (ফলদ) × 1, জলপাই (ফলদ) × 1, বেল (ফলদ) × 1, নিম (ফলদ) × 1, মেহগনি (ফলদ) × 110</t>
  </si>
  <si>
    <t xml:space="preserve">কফিল</t>
  </si>
  <si>
    <t xml:space="preserve">০১৭২৭৯৮৮৭৯৬</t>
  </si>
  <si>
    <t xml:space="preserve">জাম (ফলদ) × 1, জলপাই (ফলদ) × 1, বেল (ফলদ) × 1, নিম (ফলদ) × 1, মেহগনি (ফলদ) × 111</t>
  </si>
  <si>
    <t xml:space="preserve">রিপা খাতুন</t>
  </si>
  <si>
    <t xml:space="preserve">০১৭৮০৬৬৪৮৬৮</t>
  </si>
  <si>
    <t xml:space="preserve">জাম (ফলদ) × 1, জলপাই (ফলদ) × 1, বেল (ফলদ) × 1, নিম (ফলদ) × 1, মেহগনি (ফলদ) × 112</t>
  </si>
  <si>
    <t xml:space="preserve">তফের</t>
  </si>
  <si>
    <t xml:space="preserve">০১৭৪৩৯৮৪০১২</t>
  </si>
  <si>
    <t xml:space="preserve">জাম (ফলদ) × 1, জলপাই (ফলদ) × 1, বেল (ফলদ) × 1, নিম (ফলদ) × 1, মেহগনি (ফলদ) × 113</t>
  </si>
  <si>
    <t xml:space="preserve">রেজিয়া</t>
  </si>
  <si>
    <t xml:space="preserve">০১৩২৪০৩৬৪৭৪</t>
  </si>
  <si>
    <t xml:space="preserve">জাম (ফলদ) × 1, জলপাই (ফলদ) × 1, বেল (ফলদ) × 1, নিম (ফলদ) × 1, মেহগনি (ফলদ) × 114</t>
  </si>
  <si>
    <t xml:space="preserve">ছকির</t>
  </si>
  <si>
    <t xml:space="preserve">জাম (ফলদ) × 1, জলপাই (ফলদ) × 1, বেল (ফলদ) × 1, নিম (ফলদ) × 1, মেহগনি (ফলদ) × 115</t>
  </si>
  <si>
    <t xml:space="preserve">চান মিয়া</t>
  </si>
  <si>
    <t xml:space="preserve">জাম (ফলদ) × 1, জলপাই (ফলদ) × 1, বেল (ফলদ) × 1, নিম (ফলদ) × 1, মেহগনি (ফলদ) × 116</t>
  </si>
  <si>
    <t xml:space="preserve">শেখ কামাল</t>
  </si>
  <si>
    <t xml:space="preserve">০১৭৯১৭৬১৫১৬</t>
  </si>
  <si>
    <t xml:space="preserve">জাম (ফলদ) × 1, জলপাই (ফলদ) × 1, বেল (ফলদ) × 1, নিম (ফলদ) × 1, মেহগনি (ফলদ) × 117</t>
  </si>
  <si>
    <t xml:space="preserve">সাদ্দাম</t>
  </si>
  <si>
    <t xml:space="preserve">০১৩১৩২৮৮৭৯৯</t>
  </si>
  <si>
    <t xml:space="preserve">জাম (ফলদ) × 1, জলপাই (ফলদ) × 1, বেল (ফলদ) × 1, নিম (ফলদ) × 1, মেহগনি (ফলদ) × 118</t>
  </si>
  <si>
    <t xml:space="preserve">সালমা</t>
  </si>
  <si>
    <t xml:space="preserve">০১৭২৮০৫২৬০৬</t>
  </si>
  <si>
    <t xml:space="preserve">জাম (ফলদ) × 1, জলপাই (ফলদ) × 1, বেল (ফলদ) × 1, নিম (ফলদ) × 1, মেহগনি (ফলদ) × 119</t>
  </si>
  <si>
    <t xml:space="preserve">আঃ রহিম</t>
  </si>
  <si>
    <t xml:space="preserve">জাম (ফলদ) × 1, জলপাই (ফলদ) × 1, বেল (ফলদ) × 1, নিম (ফলদ) × 1, মেহগনি (ফলদ) × 120</t>
  </si>
  <si>
    <t xml:space="preserve">নুরুন্নাহার</t>
  </si>
  <si>
    <t xml:space="preserve">০১৭৭৩৬৪১২৭৮</t>
  </si>
  <si>
    <t xml:space="preserve">জাম (ফলদ) × 1, জলপাই (ফলদ) × 1, বেল (ফলদ) × 1, নিম (ফলদ) × 1, মেহগনি (ফলদ) × 121</t>
  </si>
  <si>
    <t xml:space="preserve">লাভলী</t>
  </si>
  <si>
    <t xml:space="preserve">০১৭৩৫১৪০৩৫০</t>
  </si>
  <si>
    <t xml:space="preserve">জাম (ফলদ) × 1, জলপাই (ফলদ) × 1, বেল (ফলদ) × 1, নিম (ফলদ) × 1, মেহগনি (ফলদ) × 122</t>
  </si>
  <si>
    <t xml:space="preserve">০১৭২৮২৬৬৮৫০</t>
  </si>
  <si>
    <t xml:space="preserve">জাম (ফলদ) × 1, জলপাই (ফলদ) × 1, বেল (ফলদ) × 1, নিম (ফলদ) × 1, মেহগনি (ফলদ) × 123</t>
  </si>
  <si>
    <t xml:space="preserve">আয়নাল</t>
  </si>
  <si>
    <t xml:space="preserve">০১৭০৬৮৫৫৬৯৯</t>
  </si>
  <si>
    <t xml:space="preserve">জাম (ফলদ) × 1, জলপাই (ফলদ) × 1, বেল (ফলদ) × 1, নিম (ফলদ) × 1, মেহগনি (ফলদ) × 124</t>
  </si>
  <si>
    <t xml:space="preserve">আছমা</t>
  </si>
  <si>
    <t xml:space="preserve">০১৭৫২২৬৫৭৮১</t>
  </si>
  <si>
    <t xml:space="preserve">বেলদহ</t>
  </si>
  <si>
    <t xml:space="preserve">জাম (ফলদ) × 1, জলপাই (ফলদ) × 1, বেল (ফলদ) × 1, নিম (ফলদ) × 1, মেহগনি (ফলদ) × 125</t>
  </si>
  <si>
    <t xml:space="preserve">মোঃ শাহানুর আলম,</t>
  </si>
  <si>
    <t xml:space="preserve">০১৭৩৭০৮৪৯০৯</t>
  </si>
  <si>
    <t xml:space="preserve">গছিডাঙ্গা</t>
  </si>
  <si>
    <t xml:space="preserve">জাম (ফলদ) × 1, জলপাই (ফলদ) × 1, বেল (ফলদ) × 1, নিম (ফলদ) × 1, মেহগনি (ফলদ) × 126</t>
  </si>
  <si>
    <t xml:space="preserve">জাম (ফলদ) × 1, জলপাই (ফলদ) × 1, বেল (ফলদ) × 1, নিম (ফলদ) × 1, মেহগনি (ফলদ) × 127</t>
  </si>
  <si>
    <t xml:space="preserve">জাম (ফলদ) × 1, জলপাই (ফলদ) × 1, বেল (ফলদ) × 1, নিম (ফলদ) × 1, মেহগনি (ফলদ) × 128</t>
  </si>
  <si>
    <t xml:space="preserve">কালিরহাট</t>
  </si>
  <si>
    <t xml:space="preserve">জাম (ফলদ) × 1, জলপাই (ফলদ) × 1, বেল (ফলদ) × 1, নিম (ফলদ) × 1, মেহগনি (ফলদ) × 129</t>
  </si>
  <si>
    <t xml:space="preserve">জাম (ফলদ) × 1, জলপাই (ফলদ) × 1, বেল (ফলদ) × 1, নিম (ফলদ) × 1, মেহগনি (ফলদ) × 130</t>
  </si>
  <si>
    <t xml:space="preserve">মোঃ রাফসানুরজামান,</t>
  </si>
  <si>
    <t xml:space="preserve">০১৭৫০৫১৮২৩৭</t>
  </si>
  <si>
    <t xml:space="preserve">জাম (ফলদ) × 1, জলপাই (ফলদ) × 1, বেল (ফলদ) × 1, নিম (ফলদ) × 1, মেহগনি (ফলদ) × 131</t>
  </si>
  <si>
    <t xml:space="preserve">জাম (ফলদ) × 1, জলপাই (ফলদ) × 1, বেল (ফলদ) × 1, নিম (ফলদ) × 1, মেহগনি (ফলদ) × 132</t>
  </si>
  <si>
    <t xml:space="preserve">কচুবাড়ি</t>
  </si>
  <si>
    <t xml:space="preserve">জাম (ফলদ) × 1, জলপাই (ফলদ) × 1, বেল (ফলদ) × 1, নিম (ফলদ) × 1, মেহগনি (ফলদ) × 133</t>
  </si>
  <si>
    <t xml:space="preserve">ময়নাতলা</t>
  </si>
  <si>
    <t xml:space="preserve">জাম (ফলদ) × 1, জলপাই (ফলদ) × 1, বেল (ফলদ) × 1, নিম (ফলদ) × 1, মেহগনি (ফলদ) × 134</t>
  </si>
  <si>
    <t xml:space="preserve">ছিটপাইকেরছড়া</t>
  </si>
  <si>
    <t xml:space="preserve">জাম (ফলদ) × 1, জলপাই (ফলদ) × 1, বেল (ফলদ) × 1, নিম (ফলদ) × 1, মেহগনি (ফলদ) × 135</t>
  </si>
  <si>
    <t xml:space="preserve">জাম (ফলদ) × 1, জলপাই (ফলদ) × 1, বেল (ফলদ) × 1, নিম (ফলদ) × 1, মেহগনি (ফলদ) × 136</t>
  </si>
  <si>
    <t xml:space="preserve">জাম (ফলদ) × 1, জলপাই (ফলদ) × 1, বেল (ফলদ) × 1, নিম (ফলদ) × 1, মেহগনি (ফলদ) × 137</t>
  </si>
  <si>
    <t xml:space="preserve">জাম (ফলদ) × 1, জলপাই (ফলদ) × 1, বেল (ফলদ) × 1, নিম (ফলদ) × 1, মেহগনি (ফলদ) × 138</t>
  </si>
  <si>
    <t xml:space="preserve">জাম (ফলদ) × 1, জলপাই (ফলদ) × 1, বেল (ফলদ) × 1, নিম (ফলদ) × 1, মেহগনি (ফলদ) × 139</t>
  </si>
  <si>
    <t xml:space="preserve">জাম (ফলদ) × 1, জলপাই (ফলদ) × 1, বেল (ফলদ) × 1, নিম (ফলদ) × 1, মেহগনি (ফলদ) × 140</t>
  </si>
  <si>
    <t xml:space="preserve">জাম (ফলদ) × 1, জলপাই (ফলদ) × 1, বেল (ফলদ) × 1, নিম (ফলদ) × 1, মেহগনি (ফলদ) × 141</t>
  </si>
  <si>
    <t xml:space="preserve">জাম (ফলদ) × 1, জলপাই (ফলদ) × 1, বেল (ফলদ) × 1, নিম (ফলদ) × 1, মেহগনি (ফলদ) × 142</t>
  </si>
  <si>
    <t xml:space="preserve">জাম (ফলদ) × 1, জলপাই (ফলদ) × 1, বেল (ফলদ) × 1, নিম (ফলদ) × 1, মেহগনি (ফলদ) × 143</t>
  </si>
  <si>
    <t xml:space="preserve">জাম (ফলদ) × 1, জলপাই (ফলদ) × 1, বেল (ফলদ) × 1, নিম (ফলদ) × 1, মেহগনি (ফলদ) × 144</t>
  </si>
  <si>
    <t xml:space="preserve">জাম (ফলদ) × 1, জলপাই (ফলদ) × 1, বেল (ফলদ) × 1, নিম (ফলদ) × 1, মেহগনি (ফলদ) × 145</t>
  </si>
  <si>
    <t xml:space="preserve">জাম (ফলদ) × 1, জলপাই (ফলদ) × 1, বেল (ফলদ) × 1, নিম (ফলদ) × 1, মেহগনি (ফলদ) × 146</t>
  </si>
  <si>
    <t xml:space="preserve">জাম (ফলদ) × 1, জলপাই (ফলদ) × 1, বেল (ফলদ) × 1, নিম (ফলদ) × 1, মেহগনি (ফলদ) × 147</t>
  </si>
  <si>
    <t xml:space="preserve">জাম (ফলদ) × 1, জলপাই (ফলদ) × 1, বেল (ফলদ) × 1, নিম (ফলদ) × 1, মেহগনি (ফলদ) × 148</t>
  </si>
  <si>
    <t xml:space="preserve">জাম (ফলদ) × 1, জলপাই (ফলদ) × 1, বেল (ফলদ) × 1, নিম (ফলদ) × 1, মেহগনি (ফলদ) × 149</t>
  </si>
  <si>
    <t xml:space="preserve">জাম (ফলদ) × 1, জলপাই (ফলদ) × 1, বেল (ফলদ) × 1, নিম (ফলদ) × 1, মেহগনি (ফলদ) × 150</t>
  </si>
  <si>
    <t xml:space="preserve">জাম (ফলদ) × 1, জলপাই (ফলদ) × 1, বেল (ফলদ) × 1, নিম (ফলদ) × 1, মেহগনি (ফলদ) × 151</t>
  </si>
  <si>
    <t xml:space="preserve">জাম (ফলদ) × 1, জলপাই (ফলদ) × 1, বেল (ফলদ) × 1, নিম (ফলদ) × 1, মেহগনি (ফলদ) × 152</t>
  </si>
  <si>
    <t xml:space="preserve">জাম (ফলদ) × 1, জলপাই (ফলদ) × 1, বেল (ফলদ) × 1, নিম (ফলদ) × 1, মেহগনি (ফলদ) × 153</t>
  </si>
  <si>
    <t xml:space="preserve">জাম (ফলদ) × 1, জলপাই (ফলদ) × 1, বেল (ফলদ) × 1, নিম (ফলদ) × 1, মেহগনি (ফলদ) × 154</t>
  </si>
  <si>
    <t xml:space="preserve">জাম (ফলদ) × 1, জলপাই (ফলদ) × 1, বেল (ফলদ) × 1, নিম (ফলদ) × 1, মেহগনি (ফলদ) × 155</t>
  </si>
  <si>
    <t xml:space="preserve">জাম (ফলদ) × 1, জলপাই (ফলদ) × 1, বেল (ফলদ) × 1, নিম (ফলদ) × 1, মেহগনি (ফলদ) × 156</t>
  </si>
  <si>
    <t xml:space="preserve">জাম (ফলদ) × 1, জলপাই (ফলদ) × 1, বেল (ফলদ) × 1, নিম (ফলদ) × 1, মেহগনি (ফলদ) × 157</t>
  </si>
  <si>
    <t xml:space="preserve">জাম (ফলদ) × 1, জলপাই (ফলদ) × 1, বেল (ফলদ) × 1, নিম (ফলদ) × 1, মেহগনি (ফলদ) × 158</t>
  </si>
  <si>
    <t xml:space="preserve">জাম (ফলদ) × 1, জলপাই (ফলদ) × 1, বেল (ফলদ) × 1, নিম (ফলদ) × 1, মেহগনি (ফলদ) × 159</t>
  </si>
  <si>
    <t xml:space="preserve">জাম (ফলদ) × 1, জলপাই (ফলদ) × 1, বেল (ফলদ) × 1, নিম (ফলদ) × 1, মেহগনি (ফলদ) × 160</t>
  </si>
  <si>
    <t xml:space="preserve">জাম (ফলদ) × 1, জলপাই (ফলদ) × 1, বেল (ফলদ) × 1, নিম (ফলদ) × 1, মেহগনি (ফলদ) × 161</t>
  </si>
  <si>
    <t xml:space="preserve">জাম (ফলদ) × 1, জলপাই (ফলদ) × 1, বেল (ফলদ) × 1, নিম (ফলদ) × 1, মেহগনি (ফলদ) × 162</t>
  </si>
  <si>
    <t xml:space="preserve">জাম (ফলদ) × 1, জলপাই (ফলদ) × 1, বেল (ফলদ) × 1, নিম (ফলদ) × 1, মেহগনি (ফলদ) × 163</t>
  </si>
  <si>
    <t xml:space="preserve">জাম (ফলদ) × 1, জলপাই (ফলদ) × 1, বেল (ফলদ) × 1, নিম (ফলদ) × 1, মেহগনি (ফলদ) × 164</t>
  </si>
  <si>
    <t xml:space="preserve">জাম (ফলদ) × 1, জলপাই (ফলদ) × 1, বেল (ফলদ) × 1, নিম (ফলদ) × 1, মেহগনি (ফলদ) × 165</t>
  </si>
  <si>
    <t xml:space="preserve">দেয়ানের খামার</t>
  </si>
  <si>
    <t xml:space="preserve">জাম (ফলদ) × 1, জলপাই (ফলদ) × 1, বেল (ফলদ) × 1, নিম (ফলদ) × 1, মেহগনি (ফলদ) × 166</t>
  </si>
  <si>
    <t xml:space="preserve">আজিজুল</t>
  </si>
  <si>
    <t xml:space="preserve">০১৭১২৫১১৭৪৩</t>
  </si>
  <si>
    <t xml:space="preserve">মোছাঃ আয়শা আক্তার,</t>
  </si>
  <si>
    <t xml:space="preserve">০১৭৪০১৪১১৩১</t>
  </si>
  <si>
    <t xml:space="preserve">জাম (ফলদ) × 1, জলপাই (ফলদ) × 1, বেল (ফলদ) × 1, নিম (ফলদ) × 1, মেহগনি (ফলদ) × 167</t>
  </si>
  <si>
    <t xml:space="preserve">তাইফুর</t>
  </si>
  <si>
    <t xml:space="preserve">০১৭১০৮৬৯৭০৪</t>
  </si>
  <si>
    <t xml:space="preserve">জাম (ফলদ) × 1, জলপাই (ফলদ) × 1, বেল (ফলদ) × 1, নিম (ফলদ) × 1, মেহগনি (ফলদ) × 168</t>
  </si>
  <si>
    <t xml:space="preserve">জসিমউদ্দিন</t>
  </si>
  <si>
    <t xml:space="preserve">০১৭৬৬১৭৮৯১</t>
  </si>
  <si>
    <t xml:space="preserve">জাম (ফলদ) × 1, জলপাই (ফলদ) × 1, বেল (ফলদ) × 1, নিম (ফলদ) × 1, মেহগনি (ফলদ) × 169</t>
  </si>
  <si>
    <t xml:space="preserve">হবিবর রহমান</t>
  </si>
  <si>
    <t xml:space="preserve">০১৭২৮৬১৬২১৬</t>
  </si>
  <si>
    <t xml:space="preserve">জাম (ফলদ) × 1, জলপাই (ফলদ) × 1, বেল (ফলদ) × 1, নিম (ফলদ) × 1, মেহগনি (ফলদ) × 170</t>
  </si>
  <si>
    <t xml:space="preserve">আঃ সোবাহান</t>
  </si>
  <si>
    <t xml:space="preserve">০১৭০৬৮১২৮৬৯</t>
  </si>
  <si>
    <t xml:space="preserve">জাম (ফলদ) × 1, জলপাই (ফলদ) × 1, বেল (ফলদ) × 1, নিম (ফলদ) × 1, মেহগনি (ফলদ) × 171</t>
  </si>
  <si>
    <t xml:space="preserve">ভুরুঙ্গামারী ইউপি.</t>
  </si>
  <si>
    <t xml:space="preserve">০১৭৩৮১৪৫৬০৪</t>
  </si>
  <si>
    <t xml:space="preserve">নলেয়া</t>
  </si>
  <si>
    <t xml:space="preserve">জাম (ফলদ) × 1, জলপাই (ফলদ) × 1, বেল (ফলদ) × 1, নিম (ফলদ) × 1, মেহগনি (ফলদ) × 172</t>
  </si>
  <si>
    <t xml:space="preserve">এস এম নাছিমুল</t>
  </si>
  <si>
    <t xml:space="preserve">০১৭৩৪৬৮৫৩৮৩</t>
  </si>
  <si>
    <t xml:space="preserve">মোঃ মঞ্জুরুল ইসলাম,</t>
  </si>
  <si>
    <t xml:space="preserve">০১৭১৭৮১৩১৩৮</t>
  </si>
  <si>
    <t xml:space="preserve">কামাত আঙ্গারীয়া</t>
  </si>
  <si>
    <t xml:space="preserve">জাম (ফলদ) × 1, জলপাই (ফলদ) × 1, বেল (ফলদ) × 1, নিম (ফলদ) × 1, মেহগনি (ফলদ) × 173</t>
  </si>
  <si>
    <t xml:space="preserve">সাইদুল</t>
  </si>
  <si>
    <t xml:space="preserve">০১৭৯৪৮০৬৮০৯</t>
  </si>
  <si>
    <t xml:space="preserve">জাম (ফলদ) × 1, জলপাই (ফলদ) × 1, বেল (ফলদ) × 1, নিম (ফলদ) × 1, মেহগনি (ফলদ) × 174</t>
  </si>
  <si>
    <t xml:space="preserve">মমিনুর</t>
  </si>
  <si>
    <t xml:space="preserve">০১৭৭৩৮৯৬৯৭২</t>
  </si>
  <si>
    <t xml:space="preserve">জাম (ফলদ) × 1, জলপাই (ফলদ) × 1, বেল (ফলদ) × 1, নিম (ফলদ) × 1, মেহগনি (ফলদ) × 175</t>
  </si>
  <si>
    <t xml:space="preserve">রাজিয়া</t>
  </si>
  <si>
    <t xml:space="preserve">০১৭৫১০৮৬৯৪৪</t>
  </si>
  <si>
    <t xml:space="preserve">মানিক কাজি</t>
  </si>
  <si>
    <t xml:space="preserve">জাম (ফলদ) × 1, জলপাই (ফলদ) × 1, বেল (ফলদ) × 1, নিম (ফলদ) × 1, মেহগনি (ফলদ) × 176</t>
  </si>
  <si>
    <t xml:space="preserve">সামছুল</t>
  </si>
  <si>
    <t xml:space="preserve">০১৭২৪১৩৯০০৯</t>
  </si>
  <si>
    <t xml:space="preserve">জাম (ফলদ) × 1, জলপাই (ফলদ) × 1, বেল (ফলদ) × 1, নিম (ফলদ) × 1, মেহগনি (ফলদ) × 177</t>
  </si>
  <si>
    <t xml:space="preserve">26.102004,89.6464</t>
  </si>
  <si>
    <t xml:space="preserve">০১৭৫৯৩০৩৮০২</t>
  </si>
  <si>
    <t xml:space="preserve">জাম (ফলদ) × 1, জলপাই (ফলদ) × 1, বেল (ফলদ) × 1, নিম (ফলদ) × 1, মেহগনি (ফলদ) × 178</t>
  </si>
  <si>
    <t xml:space="preserve">26.107875,89.63424</t>
  </si>
  <si>
    <t xml:space="preserve">০১৭১০০৫১৮০১</t>
  </si>
  <si>
    <t xml:space="preserve">জাম (ফলদ) × 1, জলপাই (ফলদ) × 1, বেল (ফলদ) × 1, নিম (ফলদ) × 1, মেহগনি (ফলদ) × 179</t>
  </si>
  <si>
    <t xml:space="preserve">26.10501,89.649383</t>
  </si>
  <si>
    <t xml:space="preserve">সোনাতলী সঃপা্রঃ</t>
  </si>
  <si>
    <t xml:space="preserve">জাম (ফলদ) × 1, জলপাই (ফলদ) × 1, বেল (ফলদ) × 1, নিম (ফলদ) × 1, মেহগনি (ফলদ) × 180</t>
  </si>
  <si>
    <t xml:space="preserve">মানিক কাজী সঃ প্রাঃ</t>
  </si>
  <si>
    <t xml:space="preserve">জাম (ফলদ) × 1, জলপাই (ফলদ) × 1, বেল (ফলদ) × 1, নিম (ফলদ) × 1, মেহগনি (ফলদ) × 181</t>
  </si>
  <si>
    <t xml:space="preserve">ঘাটপাড় মাদ্রসা</t>
  </si>
  <si>
    <t xml:space="preserve">০১৭৫১২২০৯২৪</t>
  </si>
  <si>
    <t xml:space="preserve">জাম (ফলদ) × 1, জলপাই (ফলদ) × 1, বেল (ফলদ) × 1, নিম (ফলদ) × 1, মেহগনি (ফলদ) × 182</t>
  </si>
  <si>
    <t xml:space="preserve">ভ‚ঃমারী মডেল</t>
  </si>
  <si>
    <t xml:space="preserve">০১৭১৯৪৬৪৩০৬</t>
  </si>
  <si>
    <t xml:space="preserve">জাম (ফলদ) × 1, জলপাই (ফলদ) × 1, বেল (ফলদ) × 1, নিম (ফলদ) × 1, মেহগনি (ফলদ) × 183</t>
  </si>
  <si>
    <t xml:space="preserve">০১৭১২৩৮৬৬৭১</t>
  </si>
  <si>
    <t xml:space="preserve">জাম (ফলদ) × 1, জলপাই (ফলদ) × 1, বেল (ফলদ) × 1, নিম (ফলদ) × 1, মেহগনি (ফলদ) × 184</t>
  </si>
  <si>
    <t xml:space="preserve">রিপন</t>
  </si>
  <si>
    <t xml:space="preserve">০১৭৪৪৬৫২৫০০</t>
  </si>
  <si>
    <t xml:space="preserve">জাম (ফলদ) × 1, জলপাই (ফলদ) × 1, বেল (ফলদ) × 1, নিম (ফলদ) × 1, মেহগনি (ফলদ) × 185</t>
  </si>
  <si>
    <t xml:space="preserve">মোজাম্মেল</t>
  </si>
  <si>
    <t xml:space="preserve">০১৭২৪৫১২৩৭</t>
  </si>
  <si>
    <t xml:space="preserve">জাম (ফলদ) × 1, জলপাই (ফলদ) × 1, বেল (ফলদ) × 1, নিম (ফলদ) × 1, মেহগনি (ফলদ) × 186</t>
  </si>
  <si>
    <t xml:space="preserve">আঃ হাই</t>
  </si>
  <si>
    <t xml:space="preserve">০১৭৩৯২৬৫২১৪</t>
  </si>
  <si>
    <t xml:space="preserve">জাম (ফলদ) × 1, জলপাই (ফলদ) × 1, বেল (ফলদ) × 1, নিম (ফলদ) × 1, মেহগনি (ফলদ) × 187</t>
  </si>
  <si>
    <t xml:space="preserve">ইসাহাক</t>
  </si>
  <si>
    <t xml:space="preserve">০১৭২১৬৩১৮৫৮</t>
  </si>
  <si>
    <t xml:space="preserve">জাম (ফলদ) × 1, জলপাই (ফলদ) × 1, বেল (ফলদ) × 1, নিম (ফলদ) × 1, মেহগনি (ফলদ) × 188</t>
  </si>
  <si>
    <t xml:space="preserve">26.113083,89.66179</t>
  </si>
  <si>
    <t xml:space="preserve">আঃ মোতালেব</t>
  </si>
  <si>
    <t xml:space="preserve">০১৭৩০১৭৪৪৪৮</t>
  </si>
  <si>
    <t xml:space="preserve">জাম (ফলদ) × 1, জলপাই (ফলদ) × 1, বেল (ফলদ) × 1, নিম (ফলদ) × 1, মেহগনি (ফলদ) × 189</t>
  </si>
  <si>
    <t xml:space="preserve">এরশাদ</t>
  </si>
  <si>
    <t xml:space="preserve">০১৭১৭৫২৩৭৭৪</t>
  </si>
  <si>
    <t xml:space="preserve">ভোটহাট</t>
  </si>
  <si>
    <t xml:space="preserve">জাম (ফলদ) × 1, জলপাই (ফলদ) × 1, বেল (ফলদ) × 1, নিম (ফলদ) × 1, মেহগনি (ফলদ) × 190</t>
  </si>
  <si>
    <t xml:space="preserve">26.11903,89.659768</t>
  </si>
  <si>
    <t xml:space="preserve">সোহরাফ</t>
  </si>
  <si>
    <t xml:space="preserve">০১৭২২০৯০২৬৬</t>
  </si>
  <si>
    <t xml:space="preserve">জাম (ফলদ) × 1, জলপাই (ফলদ) × 1, বেল (ফলদ) × 1, নিম (ফলদ) × 1, মেহগনি (ফলদ) × 191</t>
  </si>
  <si>
    <t xml:space="preserve">০১৭১০২৬৫২২৪</t>
  </si>
  <si>
    <t xml:space="preserve">জাম (ফলদ) × 1, জলপাই (ফলদ) × 1, বেল (ফলদ) × 1, নিম (ফলদ) × 1, মেহগনি (ফলদ) × 192</t>
  </si>
  <si>
    <t xml:space="preserve">আঃ লতিফ</t>
  </si>
  <si>
    <t xml:space="preserve">০১৭৩৮২৩৭৯১৯</t>
  </si>
  <si>
    <t xml:space="preserve">বাগভান্ডার</t>
  </si>
  <si>
    <t xml:space="preserve">জাম (ফলদ) × 1, জলপাই (ফলদ) × 1, বেল (ফলদ) × 1, নিম (ফলদ) × 1, মেহগনি (ফলদ) × 193</t>
  </si>
  <si>
    <t xml:space="preserve">০১৭৩০৩৫৮১৮৭</t>
  </si>
  <si>
    <t xml:space="preserve">জাম (ফলদ) × 1, জলপাই (ফলদ) × 1, বেল (ফলদ) × 1, নিম (ফলদ) × 1, মেহগনি (ফলদ) × 194</t>
  </si>
  <si>
    <t xml:space="preserve">26.10563989.650074,</t>
  </si>
  <si>
    <t xml:space="preserve">নাজমা</t>
  </si>
  <si>
    <t xml:space="preserve">০১৭৪১৬৫৯৯১১</t>
  </si>
  <si>
    <t xml:space="preserve">জাম (ফলদ) × 1, জলপাই (ফলদ) × 1, বেল (ফলদ) × 1, নিম (ফলদ) × 1, মেহগনি (ফলদ) × 195</t>
  </si>
  <si>
    <t xml:space="preserve">26.11572,89.650731</t>
  </si>
  <si>
    <t xml:space="preserve">রাশেদা পারভীন</t>
  </si>
  <si>
    <t xml:space="preserve">০১৭৩৮০২৩৩১৫</t>
  </si>
  <si>
    <t xml:space="preserve">জাম (ফলদ) × 1, জলপাই (ফলদ) × 1, বেল (ফলদ) × 1, নিম (ফলদ) × 1, মেহগনি (ফলদ) × 196</t>
  </si>
  <si>
    <t xml:space="preserve">০১৭৩৬০০০৬৮৫</t>
  </si>
  <si>
    <t xml:space="preserve">জাম (ফলদ) × 1, জলপাই (ফলদ) × 1, বেল (ফলদ) × 1, নিম (ফলদ) × 1, মেহগনি (ফলদ) × 197</t>
  </si>
  <si>
    <t xml:space="preserve">বাবুল</t>
  </si>
  <si>
    <t xml:space="preserve">০১৭৫০৭৬৯৩৪৫</t>
  </si>
  <si>
    <t xml:space="preserve">জাম (ফলদ) × 1, জলপাই (ফলদ) × 1, বেল (ফলদ) × 1, নিম (ফলদ) × 1, মেহগনি (ফলদ) × 198</t>
  </si>
  <si>
    <t xml:space="preserve">শাহদৎ</t>
  </si>
  <si>
    <t xml:space="preserve">০১৭৪০১৫১৯২৫</t>
  </si>
  <si>
    <t xml:space="preserve">সোনাতলী</t>
  </si>
  <si>
    <t xml:space="preserve">জাম (ফলদ) × 1, জলপাই (ফলদ) × 1, বেল (ফলদ) × 1, নিম (ফলদ) × 1, মেহগনি (ফলদ) × 199</t>
  </si>
  <si>
    <t xml:space="preserve">26.11583,89.667856</t>
  </si>
  <si>
    <t xml:space="preserve">রিনা</t>
  </si>
  <si>
    <t xml:space="preserve">০১৭৩৭৬১৯৯৩৭</t>
  </si>
  <si>
    <t xml:space="preserve">জাম (ফলদ) × 1, জলপাই (ফলদ) × 1, বেল (ফলদ) × 1, নিম (ফলদ) × 1, মেহগনি (ফলদ) × 200</t>
  </si>
  <si>
    <t xml:space="preserve">26.119704,89.66865</t>
  </si>
  <si>
    <t xml:space="preserve">লাইলী</t>
  </si>
  <si>
    <t xml:space="preserve">০১৩৪৫৮৮৭০৪০</t>
  </si>
  <si>
    <t xml:space="preserve">জাম (ফলদ) × 1, জলপাই (ফলদ) × 1, বেল (ফলদ) × 1, নিম (ফলদ) × 1, মেহগনি (ফলদ) × 201</t>
  </si>
  <si>
    <t xml:space="preserve">০১৭৪৮৪৯১৫১৯</t>
  </si>
  <si>
    <t xml:space="preserve">জাম (ফলদ) × 1, জলপাই (ফলদ) × 1, বেল (ফলদ) × 1, নিম (ফলদ) × 1, মেহগনি (ফলদ) × 202</t>
  </si>
  <si>
    <t xml:space="preserve">জুয়েল</t>
  </si>
  <si>
    <t xml:space="preserve">০১৭৫০৭৩০৫৮৯</t>
  </si>
  <si>
    <t xml:space="preserve">জাম (ফলদ) × 1, জলপাই (ফলদ) × 1, বেল (ফলদ) × 1, নিম (ফলদ) × 1, মেহগনি (ফলদ) × 203</t>
  </si>
  <si>
    <t xml:space="preserve">রফিকা</t>
  </si>
  <si>
    <t xml:space="preserve">০১৭৪৬০৪৮১১</t>
  </si>
  <si>
    <t xml:space="preserve">জাম (ফলদ) × 1, জলপাই (ফলদ) × 1, বেল (ফলদ) × 1, নিম (ফলদ) × 1, মেহগনি (ফলদ) × 204</t>
  </si>
  <si>
    <t xml:space="preserve">মকবুল</t>
  </si>
  <si>
    <t xml:space="preserve">০১৭৯৯৯১৫৫৭৯</t>
  </si>
  <si>
    <t xml:space="preserve">ছোটখাটামারী</t>
  </si>
  <si>
    <t xml:space="preserve">জাম (ফলদ) × 1, জলপাই (ফলদ) × 1, বেল (ফলদ) × 1, নিম (ফলদ) × 1, মেহগনি (ফলদ) × 205</t>
  </si>
  <si>
    <t xml:space="preserve">০১৭২২৪৫৯৪৮২</t>
  </si>
  <si>
    <t xml:space="preserve">মোঃ শহিদুল ইসলাম,</t>
  </si>
  <si>
    <t xml:space="preserve">০১৭৩৭৪৫৮৪৬৪</t>
  </si>
  <si>
    <t xml:space="preserve">জাম (ফলদ) × 1, জলপাই (ফলদ) × 1, বেল (ফলদ) × 1, নিম (ফলদ) × 1, মেহগনি (ফলদ) × 206</t>
  </si>
  <si>
    <t xml:space="preserve">আঃ মজিদ</t>
  </si>
  <si>
    <t xml:space="preserve">০১৭৪৮৬৮৯২৯১</t>
  </si>
  <si>
    <t xml:space="preserve">জাম (ফলদ) × 1, জলপাই (ফলদ) × 1, বেল (ফলদ) × 1, নিম (ফলদ) × 1, মেহগনি (ফলদ) × 207</t>
  </si>
  <si>
    <t xml:space="preserve">রাশেদা বেগম</t>
  </si>
  <si>
    <t xml:space="preserve">০১৭৪০৮৬৩৭৭৬</t>
  </si>
  <si>
    <t xml:space="preserve">জাম (ফলদ) × 1, জলপাই (ফলদ) × 1, বেল (ফলদ) × 1, নিম (ফলদ) × 1, মেহগনি (ফলদ) × 208</t>
  </si>
  <si>
    <t xml:space="preserve">আশেক</t>
  </si>
  <si>
    <t xml:space="preserve">০১১৭০১৫৬৬৬১</t>
  </si>
  <si>
    <t xml:space="preserve">জাম (ফলদ) × 1, জলপাই (ফলদ) × 1, বেল (ফলদ) × 1, নিম (ফলদ) × 1, মেহগনি (ফলদ) × 209</t>
  </si>
  <si>
    <t xml:space="preserve">মঞ্জুরুল</t>
  </si>
  <si>
    <t xml:space="preserve">০১৭১২৩৪৫২৭২</t>
  </si>
  <si>
    <t xml:space="preserve">বকুলতলী</t>
  </si>
  <si>
    <t xml:space="preserve">জাম (ফলদ) × 1, জলপাই (ফলদ) × 1, বেল (ফলদ) × 1, নিম (ফলদ) × 1, মেহগনি (ফলদ) × 210</t>
  </si>
  <si>
    <t xml:space="preserve">০১৩০৪৭৬২২৯</t>
  </si>
  <si>
    <t xml:space="preserve">জাম (ফলদ) × 1, জলপাই (ফলদ) × 1, বেল (ফলদ) × 1, নিম (ফলদ) × 1, মেহগনি (ফলদ) × 211</t>
  </si>
  <si>
    <t xml:space="preserve">আমান</t>
  </si>
  <si>
    <t xml:space="preserve">০১৯০৬৮৪৮৮৯৫</t>
  </si>
  <si>
    <t xml:space="preserve">শিংঝাড়</t>
  </si>
  <si>
    <t xml:space="preserve">জাম (ফলদ) × 1, জলপাই (ফলদ) × 1, বেল (ফলদ) × 1, নিম (ফলদ) × 1, মেহগনি (ফলদ) × 212</t>
  </si>
  <si>
    <t xml:space="preserve">০১৭৯৬৯১৪০৬৬</t>
  </si>
  <si>
    <t xml:space="preserve">বড়খাটামারী</t>
  </si>
  <si>
    <t xml:space="preserve">জাম (ফলদ) × 1, জলপাই (ফলদ) × 1, বেল (ফলদ) × 1, নিম (ফলদ) × 1, মেহগনি (ফলদ) × 213</t>
  </si>
  <si>
    <t xml:space="preserve">নুরনবী</t>
  </si>
  <si>
    <t xml:space="preserve">০১৭৬৭৫৬১৬৩৩</t>
  </si>
  <si>
    <t xml:space="preserve">জাম (ফলদ) × 1, জলপাই (ফলদ) × 1, বেল (ফলদ) × 1, নিম (ফলদ) × 1, মেহগনি (ফলদ) × 214</t>
  </si>
  <si>
    <t xml:space="preserve">০১৭৩৮৪৫০০১৫</t>
  </si>
  <si>
    <t xml:space="preserve">জাম (ফলদ) × 1, জলপাই (ফলদ) × 1, বেল (ফলদ) × 1, নিম (ফলদ) × 1, মেহগনি (ফলদ) × 215</t>
  </si>
  <si>
    <t xml:space="preserve">০১৭৪১৭৯৯৭৫০</t>
  </si>
  <si>
    <t xml:space="preserve">জাম (ফলদ) × 1, জলপাই (ফলদ) × 1, বেল (ফলদ) × 1, নিম (ফলদ) × 1, মেহগনি (ফলদ) × 216</t>
  </si>
  <si>
    <t xml:space="preserve">সানজিদা</t>
  </si>
  <si>
    <t xml:space="preserve">০১৭৯২৯৫০৮৯৫</t>
  </si>
  <si>
    <t xml:space="preserve">সিরিয়াল নম্বর অনুপস্থিত; জিও-কোঅর্ডিনেট ত্রুটিপূর্ণ; রোপণের তারিখ খালি</t>
  </si>
  <si>
    <t xml:space="preserve">জাম (ফলদ) × 1, জলপাই (ফলদ) × 1, বেল (ফলদ) × 1, নিম (ফলদ) × 1, মেহগনি (ফলদ) × 217</t>
  </si>
  <si>
    <t xml:space="preserve">হারন অর রশিদ</t>
  </si>
  <si>
    <t xml:space="preserve">০১৭৪৪৯৫৩৮২৪</t>
  </si>
  <si>
    <t xml:space="preserve">জাম (ফলদ) × 1, জলপাই (ফলদ) × 1, বেল (ফলদ) × 1, নিম (ফলদ) × 1, মেহগনি (ফলদ) × 218</t>
  </si>
  <si>
    <t xml:space="preserve">০১৭৩৬৩৬৫০৫</t>
  </si>
  <si>
    <t xml:space="preserve">জাম (ফলদ) × 1, জলপাই (ফলদ) × 1, বেল (ফলদ) × 1, নিম (ফলদ) × 1, মেহগনি (ফলদ) × 219</t>
  </si>
  <si>
    <t xml:space="preserve">হাছেন আলী</t>
  </si>
  <si>
    <t xml:space="preserve">০১৭৪০৯৫৪৯৯১</t>
  </si>
  <si>
    <t xml:space="preserve">জাম (ফলদ) × 1, জলপাই (ফলদ) × 1, বেল (ফলদ) × 1, নিম (ফলদ) × 1, মেহগনি (ফলদ) × 220</t>
  </si>
  <si>
    <t xml:space="preserve">০১৩১৯১০০৪৭৬</t>
  </si>
  <si>
    <t xml:space="preserve">জাম (ফলদ) × 1, জলপাই (ফলদ) × 1, বেল (ফলদ) × 1, নিম (ফলদ) × 1, মেহগনি (ফলদ) × 221</t>
  </si>
  <si>
    <t xml:space="preserve">স্বপন</t>
  </si>
  <si>
    <t xml:space="preserve">০১৭৪০২৫১৪৫০</t>
  </si>
  <si>
    <t xml:space="preserve">ছোটখাটামরী</t>
  </si>
  <si>
    <t xml:space="preserve">জাম (ফলদ) × 1, জলপাই (ফলদ) × 1, বেল (ফলদ) × 1, নিম (ফলদ) × 1, মেহগনি (ফলদ) × 222</t>
  </si>
  <si>
    <t xml:space="preserve">রাজমুল</t>
  </si>
  <si>
    <t xml:space="preserve">০১৭৩১৪৮১৫৭৯</t>
  </si>
  <si>
    <t xml:space="preserve">জাম (ফলদ) × 1, জলপাই (ফলদ) × 1, বেল (ফলদ) × 1, নিম (ফলদ) × 1, মেহগনি (ফলদ) × 223</t>
  </si>
  <si>
    <t xml:space="preserve">রাশেদুজ্জামান</t>
  </si>
  <si>
    <t xml:space="preserve">০১৯২৮০১৩৩০০</t>
  </si>
  <si>
    <t xml:space="preserve">জাম (ফলদ) × 1, জলপাই (ফলদ) × 1, বেল (ফলদ) × 1, নিম (ফলদ) × 1, মেহগনি (ফলদ) × 224</t>
  </si>
  <si>
    <t xml:space="preserve">০১৭১০৪৮৯০৬১</t>
  </si>
  <si>
    <t xml:space="preserve">জাম (ফলদ) × 1, জলপাই (ফলদ) × 1, বেল (ফলদ) × 1, নিম (ফলদ) × 1, মেহগনি (ফলদ) × 225</t>
  </si>
  <si>
    <t xml:space="preserve">০১৭৯২৯৪২১৭৮</t>
  </si>
  <si>
    <t xml:space="preserve">জাম (ফলদ) × 1, জলপাই (ফলদ) × 1, বেল (ফলদ) × 1, নিম (ফলদ) × 1, মেহগনি (ফলদ) × 226</t>
  </si>
  <si>
    <t xml:space="preserve">০১৭০৫৯১৫৮৭</t>
  </si>
  <si>
    <t xml:space="preserve">বড়খাটামরী</t>
  </si>
  <si>
    <t xml:space="preserve">জাম (ফলদ) × 1, জলপাই (ফলদ) × 1, বেল (ফলদ) × 1, নিম (ফলদ) × 1, মেহগনি (ফলদ) × 227</t>
  </si>
  <si>
    <t xml:space="preserve">০১৭০৫৯১৫০৮৭</t>
  </si>
  <si>
    <t xml:space="preserve">জাম (ফলদ) × 1, জলপাই (ফলদ) × 1, বেল (ফলদ) × 1, নিম (ফলদ) × 1, মেহগনি (ফলদ) × 228</t>
  </si>
  <si>
    <t xml:space="preserve">রুবেল</t>
  </si>
  <si>
    <t xml:space="preserve">০১৭৫০৪১৮৩৫৯</t>
  </si>
  <si>
    <t xml:space="preserve">জাম (ফলদ) × 1, জলপাই (ফলদ) × 1, বেল (ফলদ) × 1, নিম (ফলদ) × 1, মেহগনি (ফলদ) × 229</t>
  </si>
  <si>
    <t xml:space="preserve">রোমন</t>
  </si>
  <si>
    <t xml:space="preserve">০১৭৪০৯৯৮২৬০</t>
  </si>
  <si>
    <t xml:space="preserve">জাম (ফলদ) × 1, জলপাই (ফলদ) × 1, বেল (ফলদ) × 1, নিম (ফলদ) × 1, মেহগনি (ফলদ) × 230</t>
  </si>
  <si>
    <t xml:space="preserve">শাহিদা বেগম</t>
  </si>
  <si>
    <t xml:space="preserve">০১৭০৬৪৪০৯৫২</t>
  </si>
  <si>
    <t xml:space="preserve">জাম (ফলদ) × 1, জলপাই (ফলদ) × 1, বেল (ফলদ) × 1, নিম (ফলদ) × 1, মেহগনি (ফলদ) × 231</t>
  </si>
  <si>
    <t xml:space="preserve">নাজমা বেগম</t>
  </si>
  <si>
    <t xml:space="preserve">০১৯৯৮৪৮৫৮৭৭</t>
  </si>
  <si>
    <t xml:space="preserve">জাম (ফলদ) × 1, জলপাই (ফলদ) × 1, বেল (ফলদ) × 1, নিম (ফলদ) × 1, মেহগনি (ফলদ) × 233</t>
  </si>
  <si>
    <t xml:space="preserve">আব্বাস</t>
  </si>
  <si>
    <t xml:space="preserve">০১৭৮৩৬২৫১৯৯</t>
  </si>
  <si>
    <t xml:space="preserve">জাম (ফলদ) × 1, জলপাই (ফলদ) × 1, বেল (ফলদ) × 1, নিম (ফলদ) × 1, মেহগনি (ফলদ) × 234</t>
  </si>
  <si>
    <t xml:space="preserve">মতিয়ার</t>
  </si>
  <si>
    <t xml:space="preserve">০১৭১৪৫৫০৯৬৬</t>
  </si>
  <si>
    <t xml:space="preserve">জাম (ফলদ) × 1, জলপাই (ফলদ) × 1, বেল (ফলদ) × 1, নিম (ফলদ) × 1, মেহগনি (ফলদ) × 235</t>
  </si>
  <si>
    <t xml:space="preserve">০১৭৬৯৩৪৬৭৬</t>
  </si>
  <si>
    <t xml:space="preserve">জাম (ফলদ) × 1, জলপাই (ফলদ) × 1, বেল (ফলদ) × 1, নিম (ফলদ) × 1, মেহগনি (ফলদ) × 236</t>
  </si>
  <si>
    <t xml:space="preserve">রইসুল</t>
  </si>
  <si>
    <t xml:space="preserve">০১৩৩৮৪০৭৭৩৬</t>
  </si>
  <si>
    <t xml:space="preserve">জাম (ফলদ) × 1, জলপাই (ফলদ) × 1, বেল (ফলদ) × 1, নিম (ফলদ) × 1, মেহগনি (ফলদ) × 237</t>
  </si>
  <si>
    <t xml:space="preserve">সেলিনা</t>
  </si>
  <si>
    <t xml:space="preserve">০১৭৬২৮৯০৪৫৮</t>
  </si>
  <si>
    <t xml:space="preserve">জাম (ফলদ) × 1, জলপাই (ফলদ) × 1, বেল (ফলদ) × 1, নিম (ফলদ) × 1, মেহগনি (ফলদ) × 238</t>
  </si>
  <si>
    <t xml:space="preserve">০১৭৯৯৯০৪১৯৫</t>
  </si>
  <si>
    <t xml:space="preserve">জাম (ফলদ) × 1, জলপাই (ফলদ) × 1, বেল (ফলদ) × 1, নিম (ফলদ) × 1, মেহগনি (ফলদ) × 239</t>
  </si>
  <si>
    <t xml:space="preserve">রুমি খাতুন</t>
  </si>
  <si>
    <t xml:space="preserve">০১৮১৯২৪৭২১৬</t>
  </si>
  <si>
    <t xml:space="preserve">জাম (ফলদ) × 1, জলপাই (ফলদ) × 1, বেল (ফলদ) × 1, নিম (ফলদ) × 1, মেহগনি (ফলদ) × 240</t>
  </si>
  <si>
    <t xml:space="preserve">নাছির</t>
  </si>
  <si>
    <t xml:space="preserve">০১৭৩৮১১৫৩২৬</t>
  </si>
  <si>
    <t xml:space="preserve">জাম (ফলদ) × 1, জলপাই (ফলদ) × 1, বেল (ফলদ) × 1, নিম (ফলদ) × 1, মেহগনি (ফলদ) × 241</t>
  </si>
  <si>
    <t xml:space="preserve">শাহানাজ</t>
  </si>
  <si>
    <t xml:space="preserve">০১৭৩৮৭৬২৭০২</t>
  </si>
  <si>
    <t xml:space="preserve">জাম (ফলদ) × 1, জলপাই (ফলদ) × 1, বেল (ফলদ) × 1, নিম (ফলদ) × 1, মেহগনি (ফলদ) × 242</t>
  </si>
  <si>
    <t xml:space="preserve">বেগম খাতুন</t>
  </si>
  <si>
    <t xml:space="preserve">০১৭৫৪১৭৫৭০৭</t>
  </si>
  <si>
    <t xml:space="preserve">জাম (ফলদ) × 1, জলপাই (ফলদ) × 1, বেল (ফলদ) × 1, নিম (ফলদ) × 1, মেহগনি (ফলদ) × 243</t>
  </si>
  <si>
    <t xml:space="preserve">মোমিনুর</t>
  </si>
  <si>
    <t xml:space="preserve">০১৭৬০০৪৩৫৭৪</t>
  </si>
  <si>
    <t xml:space="preserve">জাম (ফলদ) × 1, জলপাই (ফলদ) × 1, বেল (ফলদ) × 1, নিম (ফলদ) × 1, মেহগনি (ফলদ) × 244</t>
  </si>
  <si>
    <t xml:space="preserve">খায়রুল</t>
  </si>
  <si>
    <t xml:space="preserve">০১৭২৫৩৩৯৭২৬</t>
  </si>
  <si>
    <t xml:space="preserve">জাম (ফলদ) × 1, জলপাই (ফলদ) × 1, বেল (ফলদ) × 1, নিম (ফলদ) × 1, মেহগনি (ফলদ) × 245</t>
  </si>
  <si>
    <t xml:space="preserve">মমিন</t>
  </si>
  <si>
    <t xml:space="preserve">০১৯৫৩০৬৩৭৪৭</t>
  </si>
  <si>
    <t xml:space="preserve">আন্ধারীঝাড়</t>
  </si>
  <si>
    <t xml:space="preserve">জাম (ফলদ) × 1, জলপাই (ফলদ) × 1, বেল (ফলদ) × 1, নিম (ফলদ) × 1, মেহগনি (ফলদ) × 246</t>
  </si>
  <si>
    <t xml:space="preserve">জহুরুল</t>
  </si>
  <si>
    <t xml:space="preserve">০১৩২৪০৩৫৭৮৩</t>
  </si>
  <si>
    <t xml:space="preserve">মোঃ মাহমুদুল ইসলাম,</t>
  </si>
  <si>
    <t xml:space="preserve">০১৭৪৩৬৩৭৫৬৯</t>
  </si>
  <si>
    <t xml:space="preserve">জাম (ফলদ) × 1, জলপাই (ফলদ) × 1, বেল (ফলদ) × 1, নিম (ফলদ) × 1, মেহগনি (ফলদ) × 247</t>
  </si>
  <si>
    <t xml:space="preserve">26.06123,89.684509</t>
  </si>
  <si>
    <t xml:space="preserve">এস এম আশরাফুল</t>
  </si>
  <si>
    <t xml:space="preserve">০১৭১৮৮৭৬৯৫২</t>
  </si>
  <si>
    <t xml:space="preserve">জাম (ফলদ) × 1, জলপাই (ফলদ) × 1, বেল (ফলদ) × 1, নিম (ফলদ) × 1, মেহগনি (ফলদ) × 248</t>
  </si>
  <si>
    <t xml:space="preserve">আমানউল্লাহ</t>
  </si>
  <si>
    <t xml:space="preserve">০১৭২৭৭৭৪৮৬১</t>
  </si>
  <si>
    <t xml:space="preserve">জাম (ফলদ) × 1, জলপাই (ফলদ) × 1, বেল (ফলদ) × 1, নিম (ফলদ) × 1, মেহগনি (ফলদ) × 249</t>
  </si>
  <si>
    <t xml:space="preserve">নিলুফা</t>
  </si>
  <si>
    <t xml:space="preserve">০১৮৬৪৩৪১৭১৬</t>
  </si>
  <si>
    <t xml:space="preserve">জাম (ফলদ) × 1, জলপাই (ফলদ) × 1, বেল (ফলদ) × 1, নিম (ফলদ) × 1, মেহগনি (ফলদ) × 250</t>
  </si>
  <si>
    <t xml:space="preserve">মোহাম্মদ</t>
  </si>
  <si>
    <t xml:space="preserve">০১৭১৪০০৩৬১৬</t>
  </si>
  <si>
    <t xml:space="preserve">ধাউরারকুটি</t>
  </si>
  <si>
    <t xml:space="preserve">জাম (ফলদ) × 1, জলপাই (ফলদ) × 1, বেল (ফলদ) × 1, নিম (ফলদ) × 1, মেহগনি (ফলদ) × 251</t>
  </si>
  <si>
    <t xml:space="preserve">বাদশা</t>
  </si>
  <si>
    <t xml:space="preserve">০১৭৫০৫৪৮৩৯৭</t>
  </si>
  <si>
    <t xml:space="preserve">জাম (ফলদ) × 1, জলপাই (ফলদ) × 1, বেল (ফলদ) × 1, নিম (ফলদ) × 1, মেহগনি (ফলদ) × 252</t>
  </si>
  <si>
    <t xml:space="preserve">মমেনা</t>
  </si>
  <si>
    <t xml:space="preserve">০১৭৬২৪৯৮৭০৪</t>
  </si>
  <si>
    <t xml:space="preserve">জাম (ফলদ) × 1, জলপাই (ফলদ) × 1, বেল (ফলদ) × 1, নিম (ফলদ) × 1, মেহগনি (ফলদ) × 253</t>
  </si>
  <si>
    <t xml:space="preserve">26.05056,89.700785</t>
  </si>
  <si>
    <t xml:space="preserve">০১৭৪৫২২৮৮৮৫</t>
  </si>
  <si>
    <t xml:space="preserve">জাম (ফলদ) × 1, জলপাই (ফলদ) × 1, বেল (ফলদ) × 1, নিম (ফলদ) × 1, মেহগনি (ফলদ) × 254</t>
  </si>
  <si>
    <t xml:space="preserve">আছর উদ্দিন</t>
  </si>
  <si>
    <t xml:space="preserve">০১৮২০৮৫৮৪২৭</t>
  </si>
  <si>
    <t xml:space="preserve">জাম (ফলদ) × 1, জলপাই (ফলদ) × 1, বেল (ফলদ) × 1, নিম (ফলদ) × 1, মেহগনি (ফলদ) × 255</t>
  </si>
  <si>
    <t xml:space="preserve">26.050527,89.70079</t>
  </si>
  <si>
    <t xml:space="preserve">০১৭৩৮৮১৪৭৬৯</t>
  </si>
  <si>
    <t xml:space="preserve">জাম (ফলদ) × 1, জলপাই (ফলদ) × 1, বেল (ফলদ) × 1, নিম (ফলদ) × 1, মেহগনি (ফলদ) × 256</t>
  </si>
  <si>
    <t xml:space="preserve">০১৭৭৩০৫৮২১৪</t>
  </si>
  <si>
    <t xml:space="preserve">জাম (ফলদ) × 1, জলপাই (ফলদ) × 1, বেল (ফলদ) × 1, নিম (ফলদ) × 1, মেহগনি (ফলদ) × 257</t>
  </si>
  <si>
    <t xml:space="preserve">০১৭২৩৩৯৩৯৬৫</t>
  </si>
  <si>
    <t xml:space="preserve">জাম (ফলদ) × 1, জলপাই (ফলদ) × 1, বেল (ফলদ) × 1, নিম (ফলদ) × 1, মেহগনি (ফলদ) × 258</t>
  </si>
  <si>
    <t xml:space="preserve">আঃ হামিদ</t>
  </si>
  <si>
    <t xml:space="preserve">০১৭৪৮৫৬৮৭৬৪</t>
  </si>
  <si>
    <t xml:space="preserve">জাম (ফলদ) × 1, জলপাই (ফলদ) × 1, বেল (ফলদ) × 1, নিম (ফলদ) × 1, মেহগনি (ফলদ) × 259</t>
  </si>
  <si>
    <t xml:space="preserve">এনায়েত</t>
  </si>
  <si>
    <t xml:space="preserve">০১৭৩৭৫২৮৬৭০</t>
  </si>
  <si>
    <t xml:space="preserve">জাম (ফলদ) × 1, জলপাই (ফলদ) × 1, বেল (ফলদ) × 1, নিম (ফলদ) × 1, মেহগনি (ফলদ) × 260</t>
  </si>
  <si>
    <t xml:space="preserve">০১৭৭০৪০৮১৩০</t>
  </si>
  <si>
    <t xml:space="preserve">জাম (ফলদ) × 1, জলপাই (ফলদ) × 1, বেল (ফলদ) × 1, নিম (ফলদ) × 1, মেহগনি (ফলদ) × 261</t>
  </si>
  <si>
    <t xml:space="preserve">26.04498,89.71347</t>
  </si>
  <si>
    <t xml:space="preserve">ফরিদা</t>
  </si>
  <si>
    <t xml:space="preserve">০১৭৮৮৭৬২৭২৬</t>
  </si>
  <si>
    <t xml:space="preserve">জাম (ফলদ) × 1, জলপাই (ফলদ) × 1, বেল (ফলদ) × 1, নিম (ফলদ) × 1, মেহগনি (ফলদ) × 262</t>
  </si>
  <si>
    <t xml:space="preserve">জবাউদুল</t>
  </si>
  <si>
    <t xml:space="preserve">০১৩০২৮৩৪৮৯৮</t>
  </si>
  <si>
    <t xml:space="preserve">জাম (ফলদ) × 1, জলপাই (ফলদ) × 1, বেল (ফলদ) × 1, নিম (ফলদ) × 1, মেহগনি (ফলদ) × 263</t>
  </si>
  <si>
    <t xml:space="preserve">জামেলা</t>
  </si>
  <si>
    <t xml:space="preserve">০১৭৩৭৫৪৯৭১৫</t>
  </si>
  <si>
    <t xml:space="preserve">জাম (ফলদ) × 1, জলপাই (ফলদ) × 1, বেল (ফলদ) × 1, নিম (ফলদ) × 1, মেহগনি (ফলদ) × 264</t>
  </si>
  <si>
    <t xml:space="preserve">আমেনা</t>
  </si>
  <si>
    <t xml:space="preserve">০১৭৫১০৫২৪৪৯</t>
  </si>
  <si>
    <t xml:space="preserve">জাম (ফলদ) × 1, জলপাই (ফলদ) × 1, বেল (ফলদ) × 1, নিম (ফলদ) × 1, মেহগনি (ফলদ) × 265</t>
  </si>
  <si>
    <t xml:space="preserve">ছালমা</t>
  </si>
  <si>
    <t xml:space="preserve">০১৭০৬৭০৩৩৭৭</t>
  </si>
  <si>
    <t xml:space="preserve">জাম (ফলদ) × 1, জলপাই (ফলদ) × 1, বেল (ফলদ) × 1, নিম (ফলদ) × 1, মেহগনি (ফলদ) × 266</t>
  </si>
  <si>
    <t xml:space="preserve">ছাবিয়া</t>
  </si>
  <si>
    <t xml:space="preserve">০১৭৮৫০১৪৩৩৬</t>
  </si>
  <si>
    <t xml:space="preserve">জাম (ফলদ) × 1, জলপাই (ফলদ) × 1, বেল (ফলদ) × 1, নিম (ফলদ) × 1, মেহগনি (ফলদ) × 267</t>
  </si>
  <si>
    <t xml:space="preserve">আছিয়া</t>
  </si>
  <si>
    <t xml:space="preserve">জাম (ফলদ) × 1, জলপাই (ফলদ) × 1, বেল (ফলদ) × 1, নিম (ফলদ) × 1, মেহগনি (ফলদ) × 268</t>
  </si>
  <si>
    <t xml:space="preserve">খোদেজ</t>
  </si>
  <si>
    <t xml:space="preserve">০১৭৯২৯৬৯৯১৯</t>
  </si>
  <si>
    <t xml:space="preserve">জাম (ফলদ) × 1, জলপাই (ফলদ) × 1, বেল (ফলদ) × 1, নিম (ফলদ) × 1, মেহগনি (ফলদ) × 269</t>
  </si>
  <si>
    <t xml:space="preserve">খালেদা</t>
  </si>
  <si>
    <t xml:space="preserve">০১৭৬০৬৯১১৫১</t>
  </si>
  <si>
    <t xml:space="preserve">জাম (ফলদ) × 1, জলপাই (ফলদ) × 1, বেল (ফলদ) × 1, নিম (ফলদ) × 1, মেহগনি (ফলদ) × 270</t>
  </si>
  <si>
    <t xml:space="preserve">কুলসুমা</t>
  </si>
  <si>
    <t xml:space="preserve">০১৭৫৭১৬৩২৯১</t>
  </si>
  <si>
    <t xml:space="preserve">জাম (ফলদ) × 1, জলপাই (ফলদ) × 1, বেল (ফলদ) × 1, নিম (ফলদ) × 1, মেহগনি (ফলদ) × 271</t>
  </si>
  <si>
    <t xml:space="preserve">সোবাহান</t>
  </si>
  <si>
    <t xml:space="preserve">০১৭৯২৮৩৮৪০৪</t>
  </si>
  <si>
    <t xml:space="preserve">হেলোডাঙ্গা</t>
  </si>
  <si>
    <t xml:space="preserve">জাম (ফলদ) × 1, জলপাই (ফলদ) × 1, বেল (ফলদ) × 1, নিম (ফলদ) × 1, মেহগনি (ফলদ) × 272</t>
  </si>
  <si>
    <t xml:space="preserve">০১৭৬৭০৬০৭৬১</t>
  </si>
  <si>
    <t xml:space="preserve">জাম (ফলদ) × 1, জলপাই (ফলদ) × 1, বেল (ফলদ) × 1, নিম (ফলদ) × 1, মেহগনি (ফলদ) × 273</t>
  </si>
  <si>
    <t xml:space="preserve">মাজেদা</t>
  </si>
  <si>
    <t xml:space="preserve">জাম (ফলদ) × 1, জলপাই (ফলদ) × 1, বেল (ফলদ) × 1, নিম (ফলদ) × 1, মেহগনি (ফলদ) × 274</t>
  </si>
  <si>
    <t xml:space="preserve">আঃ কাদের</t>
  </si>
  <si>
    <t xml:space="preserve">০১৭৯৪৯৭২৯২২</t>
  </si>
  <si>
    <t xml:space="preserve">জাম (ফলদ) × 1, জলপাই (ফলদ) × 1, বেল (ফলদ) × 1, নিম (ফলদ) × 1, মেহগনি (ফলদ) × 275</t>
  </si>
  <si>
    <t xml:space="preserve">আনোয়ার</t>
  </si>
  <si>
    <t xml:space="preserve">জাম (ফলদ) × 1, জলপাই (ফলদ) × 1, বেল (ফলদ) × 1, নিম (ফলদ) × 1, মেহগনি (ফলদ) × 276</t>
  </si>
  <si>
    <t xml:space="preserve">সুফিয়া</t>
  </si>
  <si>
    <t xml:space="preserve">০১৭২১৯৭৯৩২৩</t>
  </si>
  <si>
    <t xml:space="preserve">আ</t>
  </si>
  <si>
    <t xml:space="preserve">জাম (ফলদ) × 1, জলপাই (ফলদ) × 1, বেল (ফলদ) × 1, নিম (ফলদ) × 1, মেহগনি (ফলদ) × 277</t>
  </si>
  <si>
    <t xml:space="preserve">০১৭০৭৭১০৯২৩</t>
  </si>
  <si>
    <t xml:space="preserve">জাম (ফলদ) × 1, জলপাই (ফলদ) × 1, বেল (ফলদ) × 1, নিম (ফলদ) × 1, মেহগনি (ফলদ) × 278</t>
  </si>
  <si>
    <t xml:space="preserve">বোরহান আলী</t>
  </si>
  <si>
    <t xml:space="preserve">জাম (ফলদ) × 1, জলপাই (ফলদ) × 1, বেল (ফলদ) × 1, নিম (ফলদ) × 1, মেহগনি (ফলদ) × 279</t>
  </si>
  <si>
    <t xml:space="preserve">26.066252,89.72482</t>
  </si>
  <si>
    <t xml:space="preserve">সেকেন্দা</t>
  </si>
  <si>
    <t xml:space="preserve">০১৭৮৬৭৮১৮৪৩</t>
  </si>
  <si>
    <t xml:space="preserve">জাম (ফলদ) × 1, জলপাই (ফলদ) × 1, বেল (ফলদ) × 1, নিম (ফলদ) × 1, মেহগনি (ফলদ) × 280</t>
  </si>
  <si>
    <t xml:space="preserve">কোব্বাত</t>
  </si>
  <si>
    <t xml:space="preserve">০১৩১৯০২২০১৩</t>
  </si>
  <si>
    <t xml:space="preserve">জাম (ফলদ) × 1, জলপাই (ফলদ) × 1, বেল (ফলদ) × 1, নিম (ফলদ) × 1, মেহগনি (ফলদ) × 281</t>
  </si>
  <si>
    <t xml:space="preserve">26.066129,89.7248</t>
  </si>
  <si>
    <t xml:space="preserve">হাতেম</t>
  </si>
  <si>
    <t xml:space="preserve">০১৭৮৮০৯৮৮২৮</t>
  </si>
  <si>
    <t xml:space="preserve">জাম (ফলদ) × 1, জলপাই (ফলদ) × 1, বেল (ফলদ) × 1, নিম (ফলদ) × 1, মেহগনি (ফলদ) × 282</t>
  </si>
  <si>
    <t xml:space="preserve">০১৭৫১৪৯৪৩৪৯</t>
  </si>
  <si>
    <t xml:space="preserve">জাম (ফলদ) × 1, জলপাই (ফলদ) × 1, বেল (ফলদ) × 1, নিম (ফলদ) × 1, মেহগনি (ফলদ) × 283</t>
  </si>
  <si>
    <t xml:space="preserve">মনোরুল</t>
  </si>
  <si>
    <t xml:space="preserve">০১৭৯৪০১০১৭৪</t>
  </si>
  <si>
    <t xml:space="preserve">জাম (ফলদ) × 1, জলপাই (ফলদ) × 1, বেল (ফলদ) × 1, নিম (ফলদ) × 1, মেহগনি (ফলদ) × 284</t>
  </si>
  <si>
    <t xml:space="preserve">০১৭৪০১০৮৭১৬</t>
  </si>
  <si>
    <t xml:space="preserve">জাম (ফলদ) × 1, জলপাই (ফলদ) × 1, বেল (ফলদ) × 1, নিম (ফলদ) × 1, মেহগনি (ফলদ) × 285</t>
  </si>
  <si>
    <t xml:space="preserve">আলম</t>
  </si>
  <si>
    <t xml:space="preserve">০১৭৬১২৬৬৭৩৫</t>
  </si>
  <si>
    <t xml:space="preserve">জাম (ফলদ) × 1, জলপাই (ফলদ) × 1, বেল (ফলদ) × 1, নিম (ফলদ) × 1, মেহগনি (ফলদ) × 286</t>
  </si>
  <si>
    <t xml:space="preserve">সাবিনা</t>
  </si>
  <si>
    <t xml:space="preserve">০১৩৩৪০১৩৫৪৬</t>
  </si>
  <si>
    <t xml:space="preserve">পশ্চিম কেদার</t>
  </si>
  <si>
    <t xml:space="preserve">বলদিয়া</t>
  </si>
  <si>
    <t xml:space="preserve">জাম (ফলদ) × 1, জলপাই (ফলদ) × 1, বেল (ফলদ) × 1, নিম (ফলদ) × 1, মেহগনি (ফলদ) × 287</t>
  </si>
  <si>
    <t xml:space="preserve">আঃ মান্নান</t>
  </si>
  <si>
    <t xml:space="preserve">০১৭৯০২৮৮৫৫৯</t>
  </si>
  <si>
    <t xml:space="preserve">মোঃ মোস্তাফিজুর রহমান,</t>
  </si>
  <si>
    <t xml:space="preserve">০১৭৩৯০১১৮৭৭</t>
  </si>
  <si>
    <t xml:space="preserve">জাম (ফলদ) × 1, জলপাই (ফলদ) × 1, বেল (ফলদ) × 1, নিম (ফলদ) × 1, মেহগনি (ফলদ) × 288</t>
  </si>
  <si>
    <t xml:space="preserve">নাজমুল</t>
  </si>
  <si>
    <t xml:space="preserve">০১৩১৮০৭৬৬০৩</t>
  </si>
  <si>
    <t xml:space="preserve">জাম (ফলদ) × 1, জলপাই (ফলদ) × 1, বেল (ফলদ) × 1, নিম (ফলদ) × 1, মেহগনি (ফলদ) × 289</t>
  </si>
  <si>
    <t xml:space="preserve">আবু বক্কও সিদ্দিক</t>
  </si>
  <si>
    <t xml:space="preserve">০১৭৫৫১৯২১৫৯</t>
  </si>
  <si>
    <t xml:space="preserve">পূর্ব কেদার</t>
  </si>
  <si>
    <t xml:space="preserve">জাম (ফলদ) × 1, জলপাই (ফলদ) × 1, বেল (ফলদ) × 1, নিম (ফলদ) × 1, মেহগনি (ফলদ) × 290</t>
  </si>
  <si>
    <t xml:space="preserve">আবু তাহের</t>
  </si>
  <si>
    <t xml:space="preserve">০১৩০৪৬৬৭৫২৮</t>
  </si>
  <si>
    <t xml:space="preserve">উঃ বলদিয়া</t>
  </si>
  <si>
    <t xml:space="preserve">জাম (ফলদ) × 1, জলপাই (ফলদ) × 1, বেল (ফলদ) × 1, নিম (ফলদ) × 1, মেহগনি (ফলদ) × 291</t>
  </si>
  <si>
    <t xml:space="preserve">আশাদুজ্জামান</t>
  </si>
  <si>
    <t xml:space="preserve">০১৭১৩৭৪৬৭৫৯</t>
  </si>
  <si>
    <t xml:space="preserve">রাঙ্গালীরকুটি</t>
  </si>
  <si>
    <t xml:space="preserve">জাম (ফলদ) × 1, জলপাই (ফলদ) × 1, বেল (ফলদ) × 1, নিম (ফলদ) × 1, মেহগনি (ফলদ) × 292</t>
  </si>
  <si>
    <t xml:space="preserve">নুর হোসেন</t>
  </si>
  <si>
    <t xml:space="preserve">০১৭২২৮৬৬২৯০</t>
  </si>
  <si>
    <t xml:space="preserve">মংলারকুটি</t>
  </si>
  <si>
    <t xml:space="preserve">জাম (ফলদ) × 1, জলপাই (ফলদ) × 1, বেল (ফলদ) × 1, নিম (ফলদ) × 1, মেহগনি (ফলদ) × 293</t>
  </si>
  <si>
    <t xml:space="preserve">তারা মিয়া</t>
  </si>
  <si>
    <t xml:space="preserve">০১৭৪৩৭৮২৬৭৮</t>
  </si>
  <si>
    <t xml:space="preserve">রাঙ্গালিরকুটি</t>
  </si>
  <si>
    <t xml:space="preserve">জাম (ফলদ) × 1, জলপাই (ফলদ) × 1, বেল (ফলদ) × 1, নিম (ফলদ) × 1, মেহগনি (ফলদ) × 294</t>
  </si>
  <si>
    <t xml:space="preserve">০১৭৬৩৩৯১৩৪৭</t>
  </si>
  <si>
    <t xml:space="preserve">কেদার</t>
  </si>
  <si>
    <t xml:space="preserve">জাম (ফলদ) × 1, জলপাই (ফলদ) × 1, বেল (ফলদ) × 1, নিম (ফলদ) × 1, মেহগনি (ফলদ) × 295</t>
  </si>
  <si>
    <t xml:space="preserve">রবিউল</t>
  </si>
  <si>
    <t xml:space="preserve">০১৭৩৮০৭৯৪৯৪</t>
  </si>
  <si>
    <t xml:space="preserve">জাম (ফলদ) × 1, জলপাই (ফলদ) × 1, বেল (ফলদ) × 1, নিম (ফলদ) × 1, মেহগনি (ফলদ) × 296</t>
  </si>
  <si>
    <t xml:space="preserve">০১৩১৩২৫৮৭০৫</t>
  </si>
  <si>
    <t xml:space="preserve">জাম (ফলদ) × 1, জলপাই (ফলদ) × 1, বেল (ফলদ) × 1, নিম (ফলদ) × 1, মেহগনি (ফলদ) × 297</t>
  </si>
  <si>
    <t xml:space="preserve">রুহুল</t>
  </si>
  <si>
    <t xml:space="preserve">০১৭৫১৪০৫৪৩৮</t>
  </si>
  <si>
    <t xml:space="preserve">জাম (ফলদ) × 1, জলপাই (ফলদ) × 1, বেল (ফলদ) × 1, নিম (ফলদ) × 1, মেহগনি (ফলদ) × 298</t>
  </si>
  <si>
    <t xml:space="preserve">০১৭৫১১৫৯৭৭৭</t>
  </si>
  <si>
    <t xml:space="preserve">জাম (ফলদ) × 1, জলপাই (ফলদ) × 1, বেল (ফলদ) × 1, নিম (ফলদ) × 1, মেহগনি (ফলদ) × 299</t>
  </si>
  <si>
    <t xml:space="preserve">জিয়াউর</t>
  </si>
  <si>
    <t xml:space="preserve">০১৭২৩২৫৭২৬২</t>
  </si>
  <si>
    <t xml:space="preserve">জাম (ফলদ) × 1, জলপাই (ফলদ) × 1, বেল (ফলদ) × 1, নিম (ফলদ) × 1, মেহগনি (ফলদ) × 300</t>
  </si>
  <si>
    <t xml:space="preserve">আইয়ুব</t>
  </si>
  <si>
    <t xml:space="preserve">০১৭০৫৫৬১১৮৪</t>
  </si>
  <si>
    <t xml:space="preserve">ছনবান্দা</t>
  </si>
  <si>
    <t xml:space="preserve">জাম (ফলদ) × 1, জলপাই (ফলদ) × 1, বেল (ফলদ) × 1, নিম (ফলদ) × 1, মেহগনি (ফলদ) × 301</t>
  </si>
  <si>
    <t xml:space="preserve">০১৭৩৪৮৬৪৮০৯</t>
  </si>
  <si>
    <t xml:space="preserve">পরশুরামেরকুটি</t>
  </si>
  <si>
    <t xml:space="preserve">জাম (ফলদ) × 1, জলপাই (ফলদ) × 1, বেল (ফলদ) × 1, নিম (ফলদ) × 1, মেহগনি (ফলদ) × 302</t>
  </si>
  <si>
    <t xml:space="preserve">০১৭৩৮৭৫৬৩৬৩</t>
  </si>
  <si>
    <t xml:space="preserve">জাম (ফলদ) × 1, জলপাই (ফলদ) × 1, বেল (ফলদ) × 1, নিম (ফলদ) × 1, মেহগনি (ফলদ) × 303</t>
  </si>
  <si>
    <t xml:space="preserve">জাফরুল</t>
  </si>
  <si>
    <t xml:space="preserve">০১৭৮৮৯৭৮৮৫৫</t>
  </si>
  <si>
    <t xml:space="preserve">জাম (ফলদ) × 1, জলপাই (ফলদ) × 1, বেল (ফলদ) × 1, নিম (ফলদ) × 1, মেহগনি (ফলদ) × 304</t>
  </si>
  <si>
    <t xml:space="preserve">০১৭৪০৯১০২৯৫</t>
  </si>
  <si>
    <t xml:space="preserve">জাম (ফলদ) × 1, জলপাই (ফলদ) × 1, বেল (ফলদ) × 1, নিম (ফলদ) × 1, মেহগনি (ফলদ) × 305</t>
  </si>
  <si>
    <t xml:space="preserve">আলী জাফর</t>
  </si>
  <si>
    <t xml:space="preserve">০১৭৩৪২৮৩৭৬৭</t>
  </si>
  <si>
    <t xml:space="preserve">জাম (ফলদ) × 1, জলপাই (ফলদ) × 1, বেল (ফলদ) × 1, নিম (ফলদ) × 1, মেহগনি (ফলদ) × 306</t>
  </si>
  <si>
    <t xml:space="preserve">আঃ বাতেন</t>
  </si>
  <si>
    <t xml:space="preserve">০১৭৮৩২২৯৯০৬</t>
  </si>
  <si>
    <t xml:space="preserve">জাম (ফলদ) × 1, জলপাই (ফলদ) × 1, বেল (ফলদ) × 1, নিম (ফলদ) × 1, মেহগনি (ফলদ) × 307</t>
  </si>
  <si>
    <t xml:space="preserve">০১৭০৩৩৬৯৭৭৫</t>
  </si>
  <si>
    <t xml:space="preserve">জাম (ফলদ) × 1, জলপাই (ফলদ) × 1, বেল (ফলদ) × 1, নিম (ফলদ) × 1, মেহগনি (ফলদ) × 308</t>
  </si>
  <si>
    <t xml:space="preserve">আবু রাহাত</t>
  </si>
  <si>
    <t xml:space="preserve">০১৭৩৩৪২৮৩০০</t>
  </si>
  <si>
    <t xml:space="preserve">জাম (ফলদ) × 1, জলপাই (ফলদ) × 1, বেল (ফলদ) × 1, নিম (ফলদ) × 1, মেহগনি (ফলদ) × 309</t>
  </si>
  <si>
    <t xml:space="preserve">জাহেদুল</t>
  </si>
  <si>
    <t xml:space="preserve">০১৭৫৩৭৫৬১২০</t>
  </si>
  <si>
    <t xml:space="preserve">পরশুরামেকুটি</t>
  </si>
  <si>
    <t xml:space="preserve">জাম (ফলদ) × 1, জলপাই (ফলদ) × 1, বেল (ফলদ) × 1, নিম (ফলদ) × 1, মেহগনি (ফলদ) × 310</t>
  </si>
  <si>
    <t xml:space="preserve">০১৭৩৭৫৭৮৮৬৮</t>
  </si>
  <si>
    <t xml:space="preserve">জাম (ফলদ) × 1, জলপাই (ফলদ) × 1, বেল (ফলদ) × 1, নিম (ফলদ) × 1, মেহগনি (ফলদ) × 311</t>
  </si>
  <si>
    <t xml:space="preserve">০১৭৫১০২৭৭৪৩</t>
  </si>
  <si>
    <t xml:space="preserve">জাম (ফলদ) × 1, জলপাই (ফলদ) × 1, বেল (ফলদ) × 1, নিম (ফলদ) × 1, মেহগনি (ফলদ) × 312</t>
  </si>
  <si>
    <t xml:space="preserve">আলতাফ</t>
  </si>
  <si>
    <t xml:space="preserve">০১৭২২০৬৮৩৩০</t>
  </si>
  <si>
    <t xml:space="preserve">বানিয়টারী</t>
  </si>
  <si>
    <t xml:space="preserve">জাম (ফলদ) × 1, জলপাই (ফলদ) × 1, বেল (ফলদ) × 1, নিম (ফলদ) × 1, মেহগনি (ফলদ) × 313</t>
  </si>
  <si>
    <t xml:space="preserve">০১৭১৭৪৮০১৭০</t>
  </si>
  <si>
    <t xml:space="preserve">জাম (ফলদ) × 1, জলপাই (ফলদ) × 1, বেল (ফলদ) × 1, নিম (ফলদ) × 1, মেহগনি (ফলদ) × 314</t>
  </si>
  <si>
    <t xml:space="preserve">০১৭৯২৭০৪১৮৮</t>
  </si>
  <si>
    <t xml:space="preserve">জাম (ফলদ) × 1, জলপাই (ফলদ) × 1, বেল (ফলদ) × 1, নিম (ফলদ) × 1, মেহগনি (ফলদ) × 315</t>
  </si>
  <si>
    <t xml:space="preserve">আবু তৈয়ব</t>
  </si>
  <si>
    <t xml:space="preserve">০১৭৩১৮০৭৬২১</t>
  </si>
  <si>
    <t xml:space="preserve">সতীপুরী</t>
  </si>
  <si>
    <t xml:space="preserve">জাম (ফলদ) × 1, জলপাই (ফলদ) × 1, বেল (ফলদ) × 1, নিম (ফলদ) × 1, মেহগনি (ফলদ) × 316</t>
  </si>
  <si>
    <t xml:space="preserve">মিজানুর</t>
  </si>
  <si>
    <t xml:space="preserve">০১৭২৩১৫৬০৬৬</t>
  </si>
  <si>
    <t xml:space="preserve">জাম (ফলদ) × 1, জলপাই (ফলদ) × 1, বেল (ফলদ) × 1, নিম (ফলদ) × 1, মেহগনি (ফলদ) × 317</t>
  </si>
  <si>
    <t xml:space="preserve">০১৭৫৫১৫৪৮৭৭</t>
  </si>
  <si>
    <t xml:space="preserve">জাম (ফলদ) × 1, জলপাই (ফলদ) × 1, বেল (ফলদ) × 1, নিম (ফলদ) × 1, মেহগনি (ফলদ) × 318</t>
  </si>
  <si>
    <t xml:space="preserve">দুলাল</t>
  </si>
  <si>
    <t xml:space="preserve">০১৭৮৩৪০৬৮৩</t>
  </si>
  <si>
    <t xml:space="preserve">জাম (ফলদ) × 1, জলপাই (ফলদ) × 1, বেল (ফলদ) × 1, নিম (ফলদ) × 1, মেহগনি (ফলদ) × 319</t>
  </si>
  <si>
    <t xml:space="preserve">আঃ রহমান</t>
  </si>
  <si>
    <t xml:space="preserve">০১৭৩৪৮৬৪৯৮৪</t>
  </si>
  <si>
    <t xml:space="preserve">দঃ বলদিয়া</t>
  </si>
  <si>
    <t xml:space="preserve">জাম (ফলদ) × 1, জলপাই (ফলদ) × 1, বেল (ফলদ) × 1, নিম (ফলদ) × 1, মেহগনি (ফলদ) × 320</t>
  </si>
  <si>
    <t xml:space="preserve">০১৭১৭৮০৭৭৭৪</t>
  </si>
  <si>
    <t xml:space="preserve">জাম (ফলদ) × 1, জলপাই (ফলদ) × 1, বেল (ফলদ) × 1, নিম (ফলদ) × 1, মেহগনি (ফলদ) × 321</t>
  </si>
  <si>
    <t xml:space="preserve">০১৭২৩৬৭৮১৮২</t>
  </si>
  <si>
    <t xml:space="preserve">জাম (ফলদ) × 1, জলপাই (ফলদ) × 1, বেল (ফলদ) × 1, নিম (ফলদ) × 1, মেহগনি (ফলদ) × 322</t>
  </si>
  <si>
    <t xml:space="preserve">মেহেদি</t>
  </si>
  <si>
    <t xml:space="preserve">০১৩১৫১৫৭৯৯১</t>
  </si>
  <si>
    <t xml:space="preserve">জাম (ফলদ) × 1, জলপাই (ফলদ) × 1, বেল (ফলদ) × 1, নিম (ফলদ) × 1, মেহগনি (ফলদ) × 323</t>
  </si>
  <si>
    <t xml:space="preserve">০১৭৯২৯৩৭৭০৩</t>
  </si>
  <si>
    <t xml:space="preserve">জাম (ফলদ) × 1, জলপাই (ফলদ) × 1, বেল (ফলদ) × 1, নিম (ফলদ) × 1, মেহগনি (ফলদ) × 324</t>
  </si>
  <si>
    <t xml:space="preserve">শুকুর আলী</t>
  </si>
  <si>
    <t xml:space="preserve">০১৭৫৬৯৪৬৯৪৫</t>
  </si>
  <si>
    <t xml:space="preserve">জাম (ফলদ) × 1, জলপাই (ফলদ) × 1, বেল (ফলদ) × 1, নিম (ফলদ) × 1, মেহগনি (ফলদ) × 325</t>
  </si>
  <si>
    <t xml:space="preserve">শফিন</t>
  </si>
  <si>
    <t xml:space="preserve">০১৩০৬১৬০০৫৮</t>
  </si>
  <si>
    <t xml:space="preserve">জাম (ফলদ) × 1, জলপাই (ফলদ) × 1, বেল (ফলদ) × 1, নিম (ফলদ) × 1, মেহগনি (ফলদ) × 326</t>
  </si>
  <si>
    <t xml:space="preserve">০১৭১৮৮০৮৫৬৮</t>
  </si>
  <si>
    <t xml:space="preserve">জাম (ফলদ) × 1, জলপাই (ফলদ) × 1, বেল (ফলদ) × 1, নিম (ফলদ) × 1, মেহগনি (ফলদ) × 327</t>
  </si>
  <si>
    <t xml:space="preserve">০১৭৩৮৫৪০৯৮৫</t>
  </si>
  <si>
    <t xml:space="preserve">ইসলামপুর</t>
  </si>
  <si>
    <t xml:space="preserve">জাম (ফলদ) × 1, জলপাই (ফলদ) × 1, বেল (ফলদ) × 1, নিম (ফলদ) × 1, মেহগনি (ফলদ) × 328</t>
  </si>
  <si>
    <t xml:space="preserve">26.135227,89.708482</t>
  </si>
  <si>
    <t xml:space="preserve">এমদাদুল</t>
  </si>
  <si>
    <t xml:space="preserve">০১৭৪৩৪৫৩৫০০</t>
  </si>
  <si>
    <t xml:space="preserve">মোঃ নাজমুল আকন্দ,</t>
  </si>
  <si>
    <t xml:space="preserve">০১৭৭৩৫৬২০৮৬</t>
  </si>
  <si>
    <t xml:space="preserve">জাম (ফলদ) × 1, জলপাই (ফলদ) × 1, বেল (ফলদ) × 1, নিম (ফলদ) × 1, মেহগনি (ফলদ) × 329</t>
  </si>
  <si>
    <t xml:space="preserve">০১৭৬৮৪৯৮২৮</t>
  </si>
  <si>
    <t xml:space="preserve">জাম (ফলদ) × 1, জলপাই (ফলদ) × 1, বেল (ফলদ) × 1, নিম (ফলদ) × 1, মেহগনি (ফলদ) × 330</t>
  </si>
  <si>
    <t xml:space="preserve">রিক্তা</t>
  </si>
  <si>
    <t xml:space="preserve">০১৭৯১৮৯০২৬৫</t>
  </si>
  <si>
    <t xml:space="preserve">জাম (ফলদ) × 1, জলপাই (ফলদ) × 1, বেল (ফলদ) × 1, নিম (ফলদ) × 1, মেহগনি (ফলদ) × 331</t>
  </si>
  <si>
    <t xml:space="preserve">জোহুরা</t>
  </si>
  <si>
    <t xml:space="preserve">০১৭৭৪২৪৮২২৪</t>
  </si>
  <si>
    <t xml:space="preserve">জাম (ফলদ) × 1, জলপাই (ফলদ) × 1, বেল (ফলদ) × 1, নিম (ফলদ) × 1, মেহগনি (ফলদ) × 332</t>
  </si>
  <si>
    <t xml:space="preserve">০১৩১৮০৭০৯০৯</t>
  </si>
  <si>
    <t xml:space="preserve">জাম (ফলদ) × 1, জলপাই (ফলদ) × 1, বেল (ফলদ) × 1, নিম (ফলদ) × 1, মেহগনি (ফলদ) × 333</t>
  </si>
  <si>
    <t xml:space="preserve">আলম মিয়া</t>
  </si>
  <si>
    <t xml:space="preserve">০১৭৫০৬৪৭৪৬৮</t>
  </si>
  <si>
    <t xml:space="preserve">জাম (ফলদ) × 1, জলপাই (ফলদ) × 1, বেল (ফলদ) × 1, নিম (ফলদ) × 1, মেহগনি (ফলদ) × 334</t>
  </si>
  <si>
    <t xml:space="preserve">26.131029,89.72542</t>
  </si>
  <si>
    <t xml:space="preserve">দেলোয়ার</t>
  </si>
  <si>
    <t xml:space="preserve">০১৭৬১৯৫৩৪৮১</t>
  </si>
  <si>
    <t xml:space="preserve">জাম (ফলদ) × 1, জলপাই (ফলদ) × 1, বেল (ফলদ) × 1, নিম (ফলদ) × 1, মেহগনি (ফলদ) × 335</t>
  </si>
  <si>
    <t xml:space="preserve">হালিমা</t>
  </si>
  <si>
    <t xml:space="preserve">০১৭১৬১৫২১২১</t>
  </si>
  <si>
    <t xml:space="preserve">জাম (ফলদ) × 1, জলপাই (ফলদ) × 1, বেল (ফলদ) × 1, নিম (ফলদ) × 1, মেহগনি (ফলদ) × 336</t>
  </si>
  <si>
    <t xml:space="preserve">26.115989,89.6927</t>
  </si>
  <si>
    <t xml:space="preserve">০১৭৪০১৫১৮৭৩</t>
  </si>
  <si>
    <t xml:space="preserve">জাম (ফলদ) × 1, জলপাই (ফলদ) × 1, বেল (ফলদ) × 1, নিম (ফলদ) × 1, মেহগনি (ফলদ) × 337</t>
  </si>
  <si>
    <t xml:space="preserve">আসাদুল</t>
  </si>
  <si>
    <t xml:space="preserve">০১৭১৭১১২৮৪৬</t>
  </si>
  <si>
    <t xml:space="preserve">জাম (ফলদ) × 1, জলপাই (ফলদ) × 1, বেল (ফলদ) × 1, নিম (ফলদ) × 1, মেহগনি (ফলদ) × 338</t>
  </si>
  <si>
    <t xml:space="preserve">০১৭১৭৮৪৭১১০</t>
  </si>
  <si>
    <t xml:space="preserve">জাম (ফলদ) × 1, জলপাই (ফলদ) × 1, বেল (ফলদ) × 1, নিম (ফলদ) × 1, মেহগনি (ফলদ) × 339</t>
  </si>
  <si>
    <t xml:space="preserve">হাবিবুর</t>
  </si>
  <si>
    <t xml:space="preserve">০১৭৬৭০৮১১৮৬</t>
  </si>
  <si>
    <t xml:space="preserve">জাম (ফলদ) × 1, জলপাই (ফলদ) × 1, বেল (ফলদ) × 1, নিম (ফলদ) × 1, মেহগনি (ফলদ) × 340</t>
  </si>
  <si>
    <t xml:space="preserve">শেখ আমজাদ</t>
  </si>
  <si>
    <t xml:space="preserve">০১৭০৮০২১১৩২</t>
  </si>
  <si>
    <t xml:space="preserve">জাম (ফলদ) × 1, জলপাই (ফলদ) × 1, বেল (ফলদ) × 1, নিম (ফলদ) × 1, মেহগনি (ফলদ) × 341</t>
  </si>
  <si>
    <t xml:space="preserve">আফসার</t>
  </si>
  <si>
    <t xml:space="preserve">০১৭৮৪০৬৫২০৫</t>
  </si>
  <si>
    <t xml:space="preserve">জাম (ফলদ) × 1, জলপাই (ফলদ) × 1, বেল (ফলদ) × 1, নিম (ফলদ) × 1, মেহগনি (ফলদ) × 342</t>
  </si>
  <si>
    <t xml:space="preserve">26.14058,89.723773</t>
  </si>
  <si>
    <t xml:space="preserve">গিয়াস</t>
  </si>
  <si>
    <t xml:space="preserve">০১৭৯৭৯৯২৬৫৬</t>
  </si>
  <si>
    <t xml:space="preserve">জাম (ফলদ) × 1, জলপাই (ফলদ) × 1, বেল (ফলদ) × 1, নিম (ফলদ) × 1, মেহগনি (ফলদ) × 343</t>
  </si>
  <si>
    <t xml:space="preserve">০১৭৫০৬১০৮৯১</t>
  </si>
  <si>
    <t xml:space="preserve">জাম (ফলদ) × 1, জলপাই (ফলদ) × 1, বেল (ফলদ) × 1, নিম (ফলদ) × 1, মেহগনি (ফলদ) × 344</t>
  </si>
  <si>
    <t xml:space="preserve">রিয়াজুল</t>
  </si>
  <si>
    <t xml:space="preserve">০১৭৭৩০৯০৮৬৩</t>
  </si>
  <si>
    <t xml:space="preserve">জাম (ফলদ) × 1, জলপাই (ফলদ) × 1, বেল (ফলদ) × 1, নিম (ফলদ) × 1, মেহগনি (ফলদ) × 345</t>
  </si>
  <si>
    <t xml:space="preserve">০১৭৩৪০৬৫৬০</t>
  </si>
  <si>
    <t xml:space="preserve">জাম (ফলদ) × 1, জলপাই (ফলদ) × 1, বেল (ফলদ) × 1, নিম (ফলদ) × 1, মেহগনি (ফলদ) × 346</t>
  </si>
  <si>
    <t xml:space="preserve">26.130706,89.74602</t>
  </si>
  <si>
    <t xml:space="preserve">আঃ রশিদ সরকার</t>
  </si>
  <si>
    <t xml:space="preserve">০১৭২২৯৪০৭৯২</t>
  </si>
  <si>
    <t xml:space="preserve">আরাজিপাইকডাঙ্গা</t>
  </si>
  <si>
    <t xml:space="preserve">চর ভ‚রুঙ্গামার</t>
  </si>
  <si>
    <t xml:space="preserve">জাম (ফলদ) × 1, জলপাই (ফলদ) × 1, বেল (ফলদ) × 1, নিম (ফলদ) × 1, মেহগনি (ফলদ) × 347</t>
  </si>
  <si>
    <t xml:space="preserve">রুপভান</t>
  </si>
  <si>
    <t xml:space="preserve">০১৭৭৩৯৮৭২৫২</t>
  </si>
  <si>
    <t xml:space="preserve">বহলগুড়ি</t>
  </si>
  <si>
    <t xml:space="preserve">জাম (ফলদ) × 1, জলপাই (ফলদ) × 1, বেল (ফলদ) × 1, নিম (ফলদ) × 1, মেহগনি (ফলদ) × 348</t>
  </si>
  <si>
    <t xml:space="preserve">26.15527,89.737305</t>
  </si>
  <si>
    <t xml:space="preserve">মাসুদ</t>
  </si>
  <si>
    <t xml:space="preserve">০১৩২৫০৩০০৬৬</t>
  </si>
  <si>
    <t xml:space="preserve">জাম (ফলদ) × 1, জলপাই (ফলদ) × 1, বেল (ফলদ) × 1, নিম (ফলদ) × 1, মেহগনি (ফলদ) × 349</t>
  </si>
  <si>
    <t xml:space="preserve">26.155328,89.73719</t>
  </si>
  <si>
    <t xml:space="preserve">নার্জিনা</t>
  </si>
  <si>
    <t xml:space="preserve">০১৭৬৭৩৮৮৮৯৯</t>
  </si>
  <si>
    <t xml:space="preserve">লোহানী শাহনেওয়াজ,</t>
  </si>
  <si>
    <t xml:space="preserve">০১৭১৭০৯৩৭১১</t>
  </si>
  <si>
    <t xml:space="preserve">জাম (ফলদ) × 1, জলপাই (ফলদ) × 1, বেল (ফলদ) × 1, নিম (ফলদ) × 1, মেহগনি (ফলদ) × 350</t>
  </si>
  <si>
    <t xml:space="preserve">তাজাহার</t>
  </si>
  <si>
    <t xml:space="preserve">০১৯১৪৫৯৪৯৩০</t>
  </si>
  <si>
    <t xml:space="preserve">জাম (ফলদ) × 1, জলপাই (ফলদ) × 1, বেল (ফলদ) × 1, নিম (ফলদ) × 1, মেহগনি (ফলদ) × 351</t>
  </si>
  <si>
    <t xml:space="preserve">জান্নাতুন</t>
  </si>
  <si>
    <t xml:space="preserve">০১৭৩৮৪৯৮০১৫</t>
  </si>
  <si>
    <t xml:space="preserve">জাম (ফলদ) × 1, জলপাই (ফলদ) × 1, বেল (ফলদ) × 1, নিম (ফলদ) × 1, মেহগনি (ফলদ) × 352</t>
  </si>
  <si>
    <t xml:space="preserve">জাহানারা</t>
  </si>
  <si>
    <t xml:space="preserve">০১৭৯৭৫৫৭৮৬৭</t>
  </si>
  <si>
    <t xml:space="preserve">খাসের গ্রাম</t>
  </si>
  <si>
    <t xml:space="preserve">জাম (ফলদ) × 1, জলপাই (ফলদ) × 1, বেল (ফলদ) × 1, নিম (ফলদ) × 1, মেহগনি (ফলদ) × 353</t>
  </si>
  <si>
    <t xml:space="preserve">০১৭১৭৪৮৭৯৪১</t>
  </si>
  <si>
    <t xml:space="preserve">জাম (ফলদ) × 1, জলপাই (ফলদ) × 1, বেল (ফলদ) × 1, নিম (ফলদ) × 1, মেহগনি (ফলদ) × 354</t>
  </si>
  <si>
    <t xml:space="preserve">০১৭৬২৮০৭৭৯০</t>
  </si>
  <si>
    <t xml:space="preserve">জাম (ফলদ) × 1, জলপাই (ফলদ) × 1, বেল (ফলদ) × 1, নিম (ফলদ) × 1, মেহগনি (ফলদ) × 355</t>
  </si>
  <si>
    <t xml:space="preserve">ওমর আলী</t>
  </si>
  <si>
    <t xml:space="preserve">০১৭২৪৮৯৫৬৯১</t>
  </si>
  <si>
    <t xml:space="preserve">জাম (ফলদ) × 1, জলপাই (ফলদ) × 1, বেল (ফলদ) × 1, নিম (ফলদ) × 1, মেহগনি (ফলদ) × 356</t>
  </si>
  <si>
    <t xml:space="preserve">তোয়ব</t>
  </si>
  <si>
    <t xml:space="preserve">০১৭০৯০৯২৫৫১</t>
  </si>
  <si>
    <t xml:space="preserve">জাম (ফলদ) × 1, জলপাই (ফলদ) × 1, বেল (ফলদ) × 1, নিম (ফলদ) × 1, মেহগনি (ফলদ) × 357</t>
  </si>
  <si>
    <t xml:space="preserve">ছাইদুল</t>
  </si>
  <si>
    <t xml:space="preserve">০১৭৩৪০৩৫৫৬৮</t>
  </si>
  <si>
    <t xml:space="preserve">জাম (ফলদ) × 1, জলপাই (ফলদ) × 1, বেল (ফলদ) × 1, নিম (ফলদ) × 1, মেহগনি (ফলদ) × 358</t>
  </si>
  <si>
    <t xml:space="preserve">মিন্টু</t>
  </si>
  <si>
    <t xml:space="preserve">০১৭৪৭২৫৭৭২০</t>
  </si>
  <si>
    <t xml:space="preserve">জাম (ফলদ) × 1, জলপাই (ফলদ) × 1, বেল (ফলদ) × 1, নিম (ফলদ) × 1, মেহগনি (ফলদ) × 359</t>
  </si>
  <si>
    <t xml:space="preserve">সহিদুল</t>
  </si>
  <si>
    <t xml:space="preserve">০১৪৩১০০০৭১৯</t>
  </si>
  <si>
    <t xml:space="preserve">জাম (ফলদ) × 1, জলপাই (ফলদ) × 1, বেল (ফলদ) × 1, নিম (ফলদ) × 1, মেহগনি (ফলদ) × 360</t>
  </si>
  <si>
    <t xml:space="preserve">গোলাপ</t>
  </si>
  <si>
    <t xml:space="preserve">০১৭৭৪৪২২৬৩৯</t>
  </si>
  <si>
    <t xml:space="preserve">জাম (ফলদ) × 1, জলপাই (ফলদ) × 1, বেল (ফলদ) × 1, নিম (ফলদ) × 1, মেহগনি (ফলদ) × 361</t>
  </si>
  <si>
    <t xml:space="preserve">গোলাম হোসে</t>
  </si>
  <si>
    <t xml:space="preserve">০১৭৪৫৮৬৩৫১৪</t>
  </si>
  <si>
    <t xml:space="preserve">জাম (ফলদ) × 1, জলপাই (ফলদ) × 1, বেল (ফলদ) × 1, নিম (ফলদ) × 1, মেহগনি (ফলদ) × 362</t>
  </si>
  <si>
    <t xml:space="preserve">আফরোজা</t>
  </si>
  <si>
    <t xml:space="preserve">০১৭৩৮৪৯৫৫০৫</t>
  </si>
  <si>
    <t xml:space="preserve">জাম (ফলদ) × 1, জলপাই (ফলদ) × 1, বেল (ফলদ) × 1, নিম (ফলদ) × 1, মেহগনি (ফলদ) × 363</t>
  </si>
  <si>
    <t xml:space="preserve">০১৭২২৭৫১৮৯৫</t>
  </si>
  <si>
    <t xml:space="preserve">জাম (ফলদ) × 1, জলপাই (ফলদ) × 1, বেল (ফলদ) × 1, নিম (ফলদ) × 1, মেহগনি (ফলদ) × 364</t>
  </si>
  <si>
    <t xml:space="preserve">আঃ ছোবাহান</t>
  </si>
  <si>
    <t xml:space="preserve">০১৭৮৬৫১৯১০৪</t>
  </si>
  <si>
    <t xml:space="preserve">জাম (ফলদ) × 1, জলপাই (ফলদ) × 1, বেল (ফলদ) × 1, নিম (ফলদ) × 1, মেহগনি (ফলদ) × 365</t>
  </si>
  <si>
    <t xml:space="preserve">তুলি খাতুন</t>
  </si>
  <si>
    <t xml:space="preserve">০১৭৩১০১৪০৯৮</t>
  </si>
  <si>
    <t xml:space="preserve">জাম (ফলদ) × 1, জলপাই (ফলদ) × 1, বেল (ফলদ) × 1, নিম (ফলদ) × 1, মেহগনি (ফলদ) × 366</t>
  </si>
  <si>
    <t xml:space="preserve">বছির মিয়া</t>
  </si>
  <si>
    <t xml:space="preserve">০১৭৩৯৫০৫৫৩৬</t>
  </si>
  <si>
    <t xml:space="preserve">জাম (ফলদ) × 1, জলপাই (ফলদ) × 1, বেল (ফলদ) × 1, নিম (ফলদ) × 1, মেহগনি (ফলদ) × 367</t>
  </si>
  <si>
    <t xml:space="preserve">শরিফুল</t>
  </si>
  <si>
    <t xml:space="preserve">০১৭১৭২৪৮৩৭</t>
  </si>
  <si>
    <t xml:space="preserve">গনাইকুটি</t>
  </si>
  <si>
    <t xml:space="preserve">বঙ্গ সোনাহাট</t>
  </si>
  <si>
    <t xml:space="preserve">জাম (ফলদ) × 1, জলপাই (ফলদ) × 1, বেল (ফলদ) × 1, নিম (ফলদ) × 1, মেহগনি (ফলদ) × 368</t>
  </si>
  <si>
    <t xml:space="preserve">26.095671,89.728138</t>
  </si>
  <si>
    <t xml:space="preserve">০১৭৩৭৮৮৯৮১৫</t>
  </si>
  <si>
    <t xml:space="preserve">মোঃ হাবিবুর রহমান,</t>
  </si>
  <si>
    <t xml:space="preserve">০১৭৮৩১১৬৯০৪</t>
  </si>
  <si>
    <t xml:space="preserve">উঃ ভরতেরছড়া</t>
  </si>
  <si>
    <t xml:space="preserve">জাম (ফলদ) × 1, জলপাই (ফলদ) × 1, বেল (ফলদ) × 1, নিম (ফলদ) × 1, মেহগনি (ফলদ) × 369</t>
  </si>
  <si>
    <t xml:space="preserve">26.128888,89.755628</t>
  </si>
  <si>
    <t xml:space="preserve">ফারুক</t>
  </si>
  <si>
    <t xml:space="preserve">০১৭২৩০৯৭১৯৭</t>
  </si>
  <si>
    <t xml:space="preserve">বাজার পাড়া</t>
  </si>
  <si>
    <t xml:space="preserve">জাম (ফলদ) × 1, জলপাই (ফলদ) × 1, বেল (ফলদ) × 1, নিম (ফলদ) × 1, মেহগনি (ফলদ) × 370</t>
  </si>
  <si>
    <t xml:space="preserve">26.101519,89.759302</t>
  </si>
  <si>
    <t xml:space="preserve">মাইদুল</t>
  </si>
  <si>
    <t xml:space="preserve">০১৭৩২১৩০৩০</t>
  </si>
  <si>
    <t xml:space="preserve">ভরতেরছড়া</t>
  </si>
  <si>
    <t xml:space="preserve">জাম (ফলদ) × 1, জলপাই (ফলদ) × 1, বেল (ফলদ) × 1, নিম (ফলদ) × 1, মেহগনি (ফলদ) × 371</t>
  </si>
  <si>
    <t xml:space="preserve">26.09615,89.748321</t>
  </si>
  <si>
    <t xml:space="preserve">০১৮৫৩৩১৬১৫২</t>
  </si>
  <si>
    <t xml:space="preserve">বাজারপাড়া</t>
  </si>
  <si>
    <t xml:space="preserve">জাম (ফলদ) × 1, জলপাই (ফলদ) × 1, বেল (ফলদ) × 1, নিম (ফলদ) × 1, মেহগনি (ফলদ) × 372</t>
  </si>
  <si>
    <t xml:space="preserve">26.103018,89.760796</t>
  </si>
  <si>
    <t xml:space="preserve">০১৭৪১৭০১৬৮৮</t>
  </si>
  <si>
    <t xml:space="preserve">জাম (ফলদ) × 1, জলপাই (ফলদ) × 1, বেল (ফলদ) × 1, নিম (ফলদ) × 1, মেহগনি (ফলদ) × 373</t>
  </si>
  <si>
    <t xml:space="preserve">০১৭৬৮২৮৮৫২১</t>
  </si>
  <si>
    <t xml:space="preserve">বানুরকুটি</t>
  </si>
  <si>
    <t xml:space="preserve">জাম (ফলদ) × 1, জলপাই (ফলদ) × 1, বেল (ফলদ) × 1, নিম (ফলদ) × 1, মেহগনি (ফলদ) × 374</t>
  </si>
  <si>
    <t xml:space="preserve">আঃ খালেক</t>
  </si>
  <si>
    <t xml:space="preserve">০১৭৮৪৭৫৬৩৪৫</t>
  </si>
  <si>
    <t xml:space="preserve">জাম (ফলদ) × 1, জলপাই (ফলদ) × 1, বেল (ফলদ) × 1, নিম (ফলদ) × 1, মেহগনি (ফলদ) × 375</t>
  </si>
  <si>
    <t xml:space="preserve">০১৭৩২৫৪৬৩৭২</t>
  </si>
  <si>
    <t xml:space="preserve">জাম (ফলদ) × 1, জলপাই (ফলদ) × 1, বেল (ফলদ) × 1, নিম (ফলদ) × 1, মেহগনি (ফলদ) × 376</t>
  </si>
  <si>
    <t xml:space="preserve">কালাম</t>
  </si>
  <si>
    <t xml:space="preserve">০১৬০৫৮৭৩২২২</t>
  </si>
  <si>
    <t xml:space="preserve">জাম (ফলদ) × 1, জলপাই (ফলদ) × 1, বেল (ফলদ) × 1, নিম (ফলদ) × 1, মেহগনি (ফলদ) × 377</t>
  </si>
  <si>
    <t xml:space="preserve">আহাম্মদ</t>
  </si>
  <si>
    <t xml:space="preserve">০১৭৪৩৯০১৯২২</t>
  </si>
  <si>
    <t xml:space="preserve">জাম (ফলদ) × 1, জলপাই (ফলদ) × 1, বেল (ফলদ) × 1, নিম (ফলদ) × 1, মেহগনি (ফলদ) × 378</t>
  </si>
  <si>
    <t xml:space="preserve">সফিকুল</t>
  </si>
  <si>
    <t xml:space="preserve">০১৩০৬১৬০১৩০</t>
  </si>
  <si>
    <t xml:space="preserve">জাম (ফলদ) × 1, জলপাই (ফলদ) × 1, বেল (ফলদ) × 1, নিম (ফলদ) × 1, মেহগনি (ফলদ) × 379</t>
  </si>
  <si>
    <t xml:space="preserve">রনজিত</t>
  </si>
  <si>
    <t xml:space="preserve">০১৮১৫৩০৭১৬৫</t>
  </si>
  <si>
    <t xml:space="preserve">দঃ ভরতেরছড়া</t>
  </si>
  <si>
    <t xml:space="preserve">জাম (ফলদ) × 1, জলপাই (ফলদ) × 1, বেল (ফলদ) × 1, নিম (ফলদ) × 1, মেহগনি (ফলদ) × 380</t>
  </si>
  <si>
    <t xml:space="preserve">রাহিমুল</t>
  </si>
  <si>
    <t xml:space="preserve">০১৭৪০৫৪৬৯৮১</t>
  </si>
  <si>
    <t xml:space="preserve">জাম (ফলদ) × 1, জলপাই (ফলদ) × 1, বেল (ফলদ) × 1, নিম (ফলদ) × 1, মেহগনি (ফলদ) × 381</t>
  </si>
  <si>
    <t xml:space="preserve">০১৭১৩৭৮৩৮৫৯</t>
  </si>
  <si>
    <t xml:space="preserve">উঃ ভরতেছড়া</t>
  </si>
  <si>
    <t xml:space="preserve">জাম (ফলদ) × 1, জলপাই (ফলদ) × 1, বেল (ফলদ) × 1, নিম (ফলদ) × 1, মেহগনি (ফলদ) × 382</t>
  </si>
  <si>
    <t xml:space="preserve">26.096109,89.748031</t>
  </si>
  <si>
    <t xml:space="preserve">শাহালম</t>
  </si>
  <si>
    <t xml:space="preserve">০১৭৮৪৪৪৯১৩১</t>
  </si>
  <si>
    <t xml:space="preserve">জাম (ফলদ) × 1, জলপাই (ফলদ) × 1, বেল (ফলদ) × 1, নিম (ফলদ) × 1, মেহগনি (ফলদ) × 383</t>
  </si>
  <si>
    <t xml:space="preserve">০১৭৮৩৮৪০১৫৮</t>
  </si>
  <si>
    <t xml:space="preserve">জাম (ফলদ) × 1, জলপাই (ফলদ) × 1, বেল (ফলদ) × 1, নিম (ফলদ) × 1, মেহগনি (ফলদ) × 384</t>
  </si>
  <si>
    <t xml:space="preserve">26.131505,89.75322</t>
  </si>
  <si>
    <t xml:space="preserve">০১৭৩০৯৫১০৩৪</t>
  </si>
  <si>
    <t xml:space="preserve">জাম (ফলদ) × 1, জলপাই (ফলদ) × 1, বেল (ফলদ) × 1, নিম (ফলদ) × 1, মেহগনি (ফলদ) × 385</t>
  </si>
  <si>
    <t xml:space="preserve">০১৭২৭৯১৪৮২৩</t>
  </si>
  <si>
    <t xml:space="preserve">জাম (ফলদ) × 1, জলপাই (ফলদ) × 1, বেল (ফলদ) × 1, নিম (ফলদ) × 1, মেহগনি (ফলদ) × 386</t>
  </si>
  <si>
    <t xml:space="preserve">০১৭৯৯৯৭৮৩৬২</t>
  </si>
  <si>
    <t xml:space="preserve">জাম (ফলদ) × 1, জলপাই (ফলদ) × 1, বেল (ফলদ) × 1, নিম (ফলদ) × 1, মেহগনি (ফলদ) × 387</t>
  </si>
  <si>
    <t xml:space="preserve">26.10217,89.754647</t>
  </si>
  <si>
    <t xml:space="preserve">০১৭৪৩১৬৬৮৫৯</t>
  </si>
  <si>
    <t xml:space="preserve">চর বলদিয়া</t>
  </si>
  <si>
    <t xml:space="preserve">জাম (ফলদ) × 1, জলপাই (ফলদ) × 1, বেল (ফলদ) × 1, নিম (ফলদ) × 1, মেহগনি (ফলদ) × 388</t>
  </si>
  <si>
    <t xml:space="preserve">26.095591,89.771813</t>
  </si>
  <si>
    <t xml:space="preserve">মনোয়ার</t>
  </si>
  <si>
    <t xml:space="preserve">০১৭৫৬৪১৪৫২৮</t>
  </si>
  <si>
    <t xml:space="preserve">জাম (ফলদ) × 1, জলপাই (ফলদ) × 1, বেল (ফলদ) × 1, নিম (ফলদ) × 1, মেহগনি (ফলদ) × 389</t>
  </si>
  <si>
    <t xml:space="preserve">শামীম</t>
  </si>
  <si>
    <t xml:space="preserve">০১৭২৬৪৮৯২০১</t>
  </si>
  <si>
    <t xml:space="preserve">জাম (ফলদ) × 1, জলপাই (ফলদ) × 1, বেল (ফলদ) × 1, নিম (ফলদ) × 1, মেহগনি (ফলদ) × 390</t>
  </si>
  <si>
    <t xml:space="preserve">রাকিবুল</t>
  </si>
  <si>
    <t xml:space="preserve">০১৭৬০৫৩৭৩৬৩</t>
  </si>
  <si>
    <t xml:space="preserve">দঃ ভরতেছড়া</t>
  </si>
  <si>
    <t xml:space="preserve">জাম (ফলদ) × 1, জলপাই (ফলদ) × 1, বেল (ফলদ) × 1, নিম (ফলদ) × 1, মেহগনি (ফলদ) × 391</t>
  </si>
  <si>
    <t xml:space="preserve">রাশেদা</t>
  </si>
  <si>
    <t xml:space="preserve">০১৭৬২৮৪৬৯৪৯</t>
  </si>
  <si>
    <t xml:space="preserve">জাম (ফলদ) × 1, জলপাই (ফলদ) × 1, বেল (ফলদ) × 1, নিম (ফলদ) × 1, মেহগনি (ফলদ) × 392</t>
  </si>
  <si>
    <t xml:space="preserve">০১৭৪৪৪৫৮৯৬৪</t>
  </si>
  <si>
    <t xml:space="preserve">মাহিগঞ্জ</t>
  </si>
  <si>
    <t xml:space="preserve">জাম (ফলদ) × 1, জলপাই (ফলদ) × 1, বেল (ফলদ) × 1, নিম (ফলদ) × 1, মেহগনি (ফলদ) × 393</t>
  </si>
  <si>
    <t xml:space="preserve">আহাদ আলী</t>
  </si>
  <si>
    <t xml:space="preserve">০১৭৬১৮৯৪২৮১</t>
  </si>
  <si>
    <t xml:space="preserve">কলেজ মোড়</t>
  </si>
  <si>
    <t xml:space="preserve">জাম (ফলদ) × 1, জলপাই (ফলদ) × 1, বেল (ফলদ) × 1, নিম (ফলদ) × 1, মেহগনি (ফলদ) × 394</t>
  </si>
  <si>
    <t xml:space="preserve">26.10021,89.769157</t>
  </si>
  <si>
    <t xml:space="preserve">০১৭৭৪৭৩৮৩৭৮</t>
  </si>
  <si>
    <t xml:space="preserve">চৌধুরীপাড়া</t>
  </si>
  <si>
    <t xml:space="preserve">জাম (ফলদ) × 1, জলপাই (ফলদ) × 1, বেল (ফলদ) × 1, নিম (ফলদ) × 1, মেহগনি (ফলদ) × 395</t>
  </si>
  <si>
    <t xml:space="preserve">26.09411,89.750054</t>
  </si>
  <si>
    <t xml:space="preserve">আঃ ছালাম</t>
  </si>
  <si>
    <t xml:space="preserve">০১৭১৩৩২৫৬৮০</t>
  </si>
  <si>
    <t xml:space="preserve">জাম (ফলদ) × 1, জলপাই (ফলদ) × 1, বেল (ফলদ) × 1, নিম (ফলদ) × 1, মেহগনি (ফলদ) × 396</t>
  </si>
  <si>
    <t xml:space="preserve">০১৭৮৮৯২১২১৪</t>
  </si>
  <si>
    <t xml:space="preserve">চৌধুরী বাজার</t>
  </si>
  <si>
    <t xml:space="preserve">জাম (ফলদ) × 1, জলপাই (ফলদ) × 1, বেল (ফলদ) × 1, নিম (ফলদ) × 1, মেহগনি (ফলদ) × 397</t>
  </si>
  <si>
    <t xml:space="preserve">০১৭১৮৪৩১৭২৩</t>
  </si>
  <si>
    <t xml:space="preserve">জাম (ফলদ) × 1, জলপাই (ফলদ) × 1, বেল (ফলদ) × 1, নিম (ফলদ) × 1, মেহগনি (ফলদ) × 398</t>
  </si>
  <si>
    <t xml:space="preserve">জাম (ফলদ) × 1, জলপাই (ফলদ) × 1, বেল (ফলদ) × 1, নিম (ফলদ) × 1, মেহগনি (ফলদ) × 399</t>
  </si>
  <si>
    <t xml:space="preserve">জাম (ফলদ) × 1, জলপাই (ফলদ) × 1, বেল (ফলদ) × 1, নিম (ফলদ) × 1, মেহগনি (ফলদ) × 400</t>
  </si>
  <si>
    <t xml:space="preserve">জাম (ফলদ) × 1, জলপাই (ফলদ) × 1, বেল (ফলদ) × 1, নিম (ফলদ) × 1, মেহগনি (ফলদ) × 401</t>
  </si>
  <si>
    <t xml:space="preserve">জাম (ফলদ) × 1, জলপাই (ফলদ) × 1, বেল (ফলদ) × 1, নিম (ফলদ) × 1, মেহগনি (ফলদ) × 402</t>
  </si>
  <si>
    <t xml:space="preserve">জাম (ফলদ) × 1, জলপাই (ফলদ) × 1, বেল (ফলদ) × 1, নিম (ফলদ) × 1, মেহগনি (ফলদ) × 403</t>
  </si>
  <si>
    <t xml:space="preserve">জাম (ফলদ) × 1, জলপাই (ফলদ) × 1, বেল (ফলদ) × 1, নিম (ফলদ) × 1, মেহগনি (ফলদ) × 404</t>
  </si>
  <si>
    <t xml:space="preserve">জাম (ফলদ) × 1, জলপাই (ফলদ) × 1, বেল (ফলদ) × 1, নিম (ফলদ) × 1, মেহগনি (ফলদ) × 405</t>
  </si>
  <si>
    <t xml:space="preserve">০১৭১৯২৪৪৬১২</t>
  </si>
  <si>
    <t xml:space="preserve">জাম (ফলদ) × 1, জলপাই (ফলদ) × 1, বেল (ফলদ) × 1, নিম (ফলদ) × 1, মেহগনি (ফলদ) × 406</t>
  </si>
  <si>
    <t xml:space="preserve">০১৭৫১২০৭৭৭১</t>
  </si>
  <si>
    <t xml:space="preserve">জাম (ফলদ) × 1, জলপাই (ফলদ) × 1, বেল (ফলদ) × 1, নিম (ফলদ) × 1, মেহগনি (ফলদ) × 407</t>
  </si>
  <si>
    <t xml:space="preserve">নুপুর</t>
  </si>
  <si>
    <t xml:space="preserve">০১৭৯২৭৯৬৪৭৯</t>
  </si>
  <si>
    <t xml:space="preserve">জাম (ফলদ) × 1, জলপাই (ফলদ) × 1, বেল (ফলদ) × 1, নিম (ফলদ) × 1, মেহগনি (ফলদ) × 408</t>
  </si>
  <si>
    <t xml:space="preserve">26.100324,89.73924</t>
  </si>
  <si>
    <t xml:space="preserve">০১৭২২৩৬৭৭১৬</t>
  </si>
  <si>
    <t xml:space="preserve">জাম (ফলদ) × 1, জলপাই (ফলদ) × 1, বেল (ফলদ) × 1, নিম (ফলদ) × 1, মেহগনি (ফলদ) × 409</t>
  </si>
  <si>
    <t xml:space="preserve">০১৭৯৭৭৮৬৭১৩</t>
  </si>
  <si>
    <t xml:space="preserve">জাম (ফলদ) × 1, জলপাই (ফলদ) × 1, বেল (ফলদ) × 1, নিম (ফলদ) × 1, মেহগনি (ফলদ) × 410</t>
  </si>
  <si>
    <t xml:space="preserve">রানীগঞ্জ</t>
  </si>
  <si>
    <t xml:space="preserve">পেয়ারা (ফলদ) × 1</t>
  </si>
  <si>
    <t xml:space="preserve">25.63964,89.657057</t>
  </si>
  <si>
    <t xml:space="preserve">আবুল কালাম রাঞ্জু</t>
  </si>
  <si>
    <t xml:space="preserve">01710142233</t>
  </si>
  <si>
    <t xml:space="preserve">Mokhlesur Rahman</t>
  </si>
  <si>
    <t xml:space="preserve">কনক চন্দ্র রায়</t>
  </si>
  <si>
    <t xml:space="preserve">01722814446</t>
  </si>
  <si>
    <t xml:space="preserve">খাওরিয়ার চর</t>
  </si>
  <si>
    <t xml:space="preserve">নয়ারহাট</t>
  </si>
  <si>
    <t xml:space="preserve">অর্জুন (ঔষধি) × 1</t>
  </si>
  <si>
    <t xml:space="preserve">25.603779,89.769824</t>
  </si>
  <si>
    <t xml:space="preserve">মোছাঃ শেফালী বেগম</t>
  </si>
  <si>
    <t xml:space="preserve">01750987059</t>
  </si>
  <si>
    <t xml:space="preserve">01723072951</t>
  </si>
  <si>
    <t xml:space="preserve">নাওডাঙ্গা</t>
  </si>
  <si>
    <t xml:space="preserve">১৮/০৭/২৬</t>
  </si>
  <si>
    <t xml:space="preserve">25.981655,89.51469</t>
  </si>
  <si>
    <t xml:space="preserve">মোঃ তোফাজ্জল হক বাবু</t>
  </si>
  <si>
    <t xml:space="preserve">01719753816</t>
  </si>
  <si>
    <t xml:space="preserve">01701241494</t>
  </si>
  <si>
    <t xml:space="preserve">মোঃ আব্দুল্লাহ আল মামুন</t>
  </si>
  <si>
    <t xml:space="preserve">০১৭১০৪৭৪৪০৬</t>
  </si>
  <si>
    <t xml:space="preserve">ধুলারকুটি</t>
  </si>
  <si>
    <t xml:space="preserve">26.000736,89.511663</t>
  </si>
  <si>
    <t xml:space="preserve">মোঃ আঃ মনি</t>
  </si>
  <si>
    <t xml:space="preserve">01735210062</t>
  </si>
  <si>
    <t xml:space="preserve">এস এম ইব্রাহিম হোসেন</t>
  </si>
  <si>
    <t xml:space="preserve">01713968197</t>
  </si>
  <si>
    <t xml:space="preserve">গজেরকুটি</t>
  </si>
  <si>
    <t xml:space="preserve">25.995187,89.535463</t>
  </si>
  <si>
    <t xml:space="preserve">মোঃ ছোয়াদ আলী</t>
  </si>
  <si>
    <t xml:space="preserve">01790626194</t>
  </si>
  <si>
    <t xml:space="preserve">মোঃ ফিরোজ শাহ</t>
  </si>
  <si>
    <t xml:space="preserve">01719048295</t>
  </si>
  <si>
    <t xml:space="preserve">০১৭১০৪৭৪৪০৭</t>
  </si>
  <si>
    <t xml:space="preserve">বালাতারী</t>
  </si>
  <si>
    <t xml:space="preserve">26.000824,89.51253</t>
  </si>
  <si>
    <t xml:space="preserve">মোঃ মোরশেদুল হক</t>
  </si>
  <si>
    <t xml:space="preserve">01788139333</t>
  </si>
  <si>
    <t xml:space="preserve">০১৭১০৪৭৪৪০৮</t>
  </si>
  <si>
    <t xml:space="preserve">25.999524,89.511739</t>
  </si>
  <si>
    <t xml:space="preserve">মোঃ জেলাল মিয়া</t>
  </si>
  <si>
    <t xml:space="preserve">০১৭১০৪৭৪৪০৯</t>
  </si>
  <si>
    <t xml:space="preserve">কুরুষা ফেরুষা</t>
  </si>
  <si>
    <t xml:space="preserve">25.969107,89.533774</t>
  </si>
  <si>
    <t xml:space="preserve">মোঃ রহিম বকস</t>
  </si>
  <si>
    <t xml:space="preserve">01786282267</t>
  </si>
  <si>
    <t xml:space="preserve">০১৭১০৪৭৪৪১০</t>
  </si>
  <si>
    <t xml:space="preserve">25.983586,89.540539</t>
  </si>
  <si>
    <t xml:space="preserve">মোঃ হবি উল্লা</t>
  </si>
  <si>
    <t xml:space="preserve">01722724657</t>
  </si>
  <si>
    <t xml:space="preserve">০১৭১০৪৭৪৪১১</t>
  </si>
  <si>
    <t xml:space="preserve">ফুলমতি</t>
  </si>
  <si>
    <t xml:space="preserve">25.985623,89.506933</t>
  </si>
  <si>
    <t xml:space="preserve">মোঃ হাসেন আলী</t>
  </si>
  <si>
    <t xml:space="preserve">01720047348</t>
  </si>
  <si>
    <t xml:space="preserve">০১৭১০৪৭৪৪১২</t>
  </si>
  <si>
    <t xml:space="preserve">পশ্চিম ফুলমতি</t>
  </si>
  <si>
    <t xml:space="preserve">25.985657,89.50653</t>
  </si>
  <si>
    <t xml:space="preserve">০১৭১০৪৭৪৪১৩</t>
  </si>
  <si>
    <t xml:space="preserve">25.985531,89.507071</t>
  </si>
  <si>
    <t xml:space="preserve">01728753275</t>
  </si>
  <si>
    <t xml:space="preserve">০১৭১০৪৭৪৪১৪</t>
  </si>
  <si>
    <t xml:space="preserve">25.996595,89.512249</t>
  </si>
  <si>
    <t xml:space="preserve">মোছাঃ আফরোজা বেগম</t>
  </si>
  <si>
    <t xml:space="preserve">০1742004764</t>
  </si>
  <si>
    <t xml:space="preserve">০১৭১০৪৭৪৪১৫</t>
  </si>
  <si>
    <t xml:space="preserve">25.996772,89.512202</t>
  </si>
  <si>
    <t xml:space="preserve">মোঃ আমিনুল হক</t>
  </si>
  <si>
    <t xml:space="preserve">01786525536</t>
  </si>
  <si>
    <t xml:space="preserve">০১৭১০৪৭৪৪১৬</t>
  </si>
  <si>
    <t xml:space="preserve">25.995706,89.512925</t>
  </si>
  <si>
    <t xml:space="preserve">মোঃ আনিছুর রহমান</t>
  </si>
  <si>
    <t xml:space="preserve">01723261733</t>
  </si>
  <si>
    <t xml:space="preserve">০1710474405</t>
  </si>
  <si>
    <t xml:space="preserve">26.004379,89.519806</t>
  </si>
  <si>
    <t xml:space="preserve">01719462677</t>
  </si>
  <si>
    <t xml:space="preserve">১৯/০৭/২৬</t>
  </si>
  <si>
    <t xml:space="preserve">25.996325,89.513222</t>
  </si>
  <si>
    <t xml:space="preserve">মোঃ তাজুল ইসলাম</t>
  </si>
  <si>
    <t xml:space="preserve">01749635690</t>
  </si>
  <si>
    <t xml:space="preserve">চর গোড়কমন্ডপ</t>
  </si>
  <si>
    <t xml:space="preserve">25.979267,89.488299</t>
  </si>
  <si>
    <t xml:space="preserve">মোঃ আয়াজ উদ্দিন</t>
  </si>
  <si>
    <t xml:space="preserve">01745294281</t>
  </si>
  <si>
    <t xml:space="preserve">কৃষ্ণানন্দ বকশী</t>
  </si>
  <si>
    <t xml:space="preserve">26.000484,89.516419</t>
  </si>
  <si>
    <t xml:space="preserve">মোঃ রুকনুদৌলা</t>
  </si>
  <si>
    <t xml:space="preserve">01723257028</t>
  </si>
  <si>
    <t xml:space="preserve">উচাটারী</t>
  </si>
  <si>
    <t xml:space="preserve">26.000003,89.509409</t>
  </si>
  <si>
    <t xml:space="preserve">01737624490</t>
  </si>
  <si>
    <t xml:space="preserve">26.00054,89.506444</t>
  </si>
  <si>
    <t xml:space="preserve">01837155072</t>
  </si>
  <si>
    <t xml:space="preserve">26.000025,89.508484</t>
  </si>
  <si>
    <t xml:space="preserve">মোঃ মিনহাজুল ইসলাম</t>
  </si>
  <si>
    <t xml:space="preserve">01719462257</t>
  </si>
  <si>
    <t xml:space="preserve">25.99771,89.528159</t>
  </si>
  <si>
    <t xml:space="preserve">মোঃ আঃ রহিম</t>
  </si>
  <si>
    <t xml:space="preserve">01795664211</t>
  </si>
  <si>
    <t xml:space="preserve">25.998714,89.528098</t>
  </si>
  <si>
    <t xml:space="preserve">মোছাঃ মাসুদা বেগম</t>
  </si>
  <si>
    <t xml:space="preserve">01737131060</t>
  </si>
  <si>
    <t xml:space="preserve">25.998669,89.52686</t>
  </si>
  <si>
    <t xml:space="preserve">মোছাঃ মঞ্জু বেগম</t>
  </si>
  <si>
    <t xml:space="preserve">01722557993</t>
  </si>
  <si>
    <t xml:space="preserve">25.998825,89.526192</t>
  </si>
  <si>
    <t xml:space="preserve">মোছাঃ মুক্তা বেগম</t>
  </si>
  <si>
    <t xml:space="preserve">01731363197</t>
  </si>
  <si>
    <t xml:space="preserve">25.997226,89.526134</t>
  </si>
  <si>
    <t xml:space="preserve">মোছাঃ রেনুকা বেগম</t>
  </si>
  <si>
    <t xml:space="preserve">01723664982</t>
  </si>
  <si>
    <t xml:space="preserve">26.986087,89.519607</t>
  </si>
  <si>
    <t xml:space="preserve">মোছাঃ শামসুন্নাহার বেগম</t>
  </si>
  <si>
    <t xml:space="preserve">01892924026</t>
  </si>
  <si>
    <t xml:space="preserve">25.999004,89.52901</t>
  </si>
  <si>
    <t xml:space="preserve">মোছাঃ সাবিনা আক্তার</t>
  </si>
  <si>
    <t xml:space="preserve">01724068721</t>
  </si>
  <si>
    <t xml:space="preserve">গজের কুটি</t>
  </si>
  <si>
    <t xml:space="preserve">26.00406,89.541665</t>
  </si>
  <si>
    <t xml:space="preserve">মোঃ শহিদুল হক</t>
  </si>
  <si>
    <t xml:space="preserve">01898620318</t>
  </si>
  <si>
    <t xml:space="preserve">25.98831,89.528856</t>
  </si>
  <si>
    <t xml:space="preserve">মোঃ মামুন ইসলাম</t>
  </si>
  <si>
    <t xml:space="preserve">01986772708</t>
  </si>
  <si>
    <t xml:space="preserve">6.000331,89.512791</t>
  </si>
  <si>
    <t xml:space="preserve">মোঃ ওবায়দুল হক</t>
  </si>
  <si>
    <t xml:space="preserve">01711019791</t>
  </si>
  <si>
    <t xml:space="preserve">25.984565,89.514909</t>
  </si>
  <si>
    <t xml:space="preserve">তৃপ্তি রায়</t>
  </si>
  <si>
    <t xml:space="preserve">01723998457</t>
  </si>
  <si>
    <t xml:space="preserve">25.994005,89.523951</t>
  </si>
  <si>
    <t xml:space="preserve">মোছাঃ আছমা বেগম</t>
  </si>
  <si>
    <t xml:space="preserve">01953452120</t>
  </si>
  <si>
    <t xml:space="preserve">কিশামত শিমুলবাড়ী</t>
  </si>
  <si>
    <t xml:space="preserve">25.978478.89.516209,</t>
  </si>
  <si>
    <t xml:space="preserve">মোঃ হাছেন আলী</t>
  </si>
  <si>
    <t xml:space="preserve">01736190363</t>
  </si>
  <si>
    <t xml:space="preserve">25.978628,89.509965</t>
  </si>
  <si>
    <t xml:space="preserve">নীল কান্ত রায়</t>
  </si>
  <si>
    <t xml:space="preserve">17917017169</t>
  </si>
  <si>
    <t xml:space="preserve">25.978939,89.514485</t>
  </si>
  <si>
    <t xml:space="preserve">সুরেশ চন্দ্র রায়</t>
  </si>
  <si>
    <t xml:space="preserve">01787952449</t>
  </si>
  <si>
    <t xml:space="preserve">পূর্ব ফুলমতি</t>
  </si>
  <si>
    <t xml:space="preserve">১৫/০৭/২৬</t>
  </si>
  <si>
    <t xml:space="preserve">25.993952,89.522291</t>
  </si>
  <si>
    <t xml:space="preserve">জয় কৃষ্ণ দেবনাথ</t>
  </si>
  <si>
    <t xml:space="preserve">01740352072</t>
  </si>
  <si>
    <t xml:space="preserve">25.994419,89.526126</t>
  </si>
  <si>
    <t xml:space="preserve">01737518782</t>
  </si>
  <si>
    <t xml:space="preserve">25.9888,89.521898</t>
  </si>
  <si>
    <t xml:space="preserve">01701145631</t>
  </si>
  <si>
    <t xml:space="preserve">25.986085,89.521523</t>
  </si>
  <si>
    <t xml:space="preserve">মোঃ আব্দুল কুদ্দুস</t>
  </si>
  <si>
    <t xml:space="preserve">01784943960</t>
  </si>
  <si>
    <t xml:space="preserve">25.986078,89.521651</t>
  </si>
  <si>
    <t xml:space="preserve">মোঃ লোকমান হাকিম</t>
  </si>
  <si>
    <t xml:space="preserve">25.994235,89.521767</t>
  </si>
  <si>
    <t xml:space="preserve">নিরঞ্জন চন্দ্র দেবনাথ</t>
  </si>
  <si>
    <t xml:space="preserve">01796083665</t>
  </si>
  <si>
    <t xml:space="preserve">25.992146,89.521235</t>
  </si>
  <si>
    <t xml:space="preserve">01767332899</t>
  </si>
  <si>
    <t xml:space="preserve">25.995287,89.524719</t>
  </si>
  <si>
    <t xml:space="preserve">মোঃ মাহাবুব আলম</t>
  </si>
  <si>
    <t xml:space="preserve">01717175865</t>
  </si>
  <si>
    <t xml:space="preserve">25.994604,89.52193</t>
  </si>
  <si>
    <t xml:space="preserve">সজিত কুমার সেন শিপন</t>
  </si>
  <si>
    <t xml:space="preserve">ভাটিয়াটারী</t>
  </si>
  <si>
    <t xml:space="preserve">25.994815,89.522</t>
  </si>
  <si>
    <t xml:space="preserve">স্বপন কুমার সেন</t>
  </si>
  <si>
    <t xml:space="preserve">01605339493</t>
  </si>
  <si>
    <t xml:space="preserve">25.993926,89.521675</t>
  </si>
  <si>
    <t xml:space="preserve">শ্রীমতি অঞ্জনী রানী পাল</t>
  </si>
  <si>
    <t xml:space="preserve">01725788000</t>
  </si>
  <si>
    <t xml:space="preserve">25.997489,89.523119</t>
  </si>
  <si>
    <t xml:space="preserve">মোছাঃ শিউলী বেগম</t>
  </si>
  <si>
    <t xml:space="preserve">01328585366</t>
  </si>
  <si>
    <t xml:space="preserve">১৪/০৭/২৬</t>
  </si>
  <si>
    <t xml:space="preserve">25.997356,89.522513</t>
  </si>
  <si>
    <t xml:space="preserve">মোঃ বাবুল হোসেন</t>
  </si>
  <si>
    <t xml:space="preserve">01780822618</t>
  </si>
  <si>
    <t xml:space="preserve">১৬/০৭/২৬</t>
  </si>
  <si>
    <t xml:space="preserve">25.99738,89.522305</t>
  </si>
  <si>
    <t xml:space="preserve">মোছাঃ মাসুদা আক্তার মুন্নী</t>
  </si>
  <si>
    <t xml:space="preserve">01349878479</t>
  </si>
  <si>
    <t xml:space="preserve">25.997732,89.522251</t>
  </si>
  <si>
    <t xml:space="preserve">মোঃ শাহারুখ হাসান পাপ্পু</t>
  </si>
  <si>
    <t xml:space="preserve">01798935115</t>
  </si>
  <si>
    <t xml:space="preserve">বানিয়াটারী</t>
  </si>
  <si>
    <t xml:space="preserve">25.975287,89.53383</t>
  </si>
  <si>
    <t xml:space="preserve">মোঃ সিরাজুল হক</t>
  </si>
  <si>
    <t xml:space="preserve">01785334302</t>
  </si>
  <si>
    <t xml:space="preserve">শ্যামলী রানী বিশ্বাস</t>
  </si>
  <si>
    <t xml:space="preserve">০1714762876</t>
  </si>
  <si>
    <t xml:space="preserve">সোনাইকাজী</t>
  </si>
  <si>
    <t xml:space="preserve">25.940682,89.532471</t>
  </si>
  <si>
    <t xml:space="preserve">গোলাম রোকোনু্জ্জামান</t>
  </si>
  <si>
    <t xml:space="preserve">01317150641</t>
  </si>
  <si>
    <t xml:space="preserve">মোঃ সুলতান সেলিম</t>
  </si>
  <si>
    <t xml:space="preserve">০১৭২১৭৬৩৯১৬</t>
  </si>
  <si>
    <t xml:space="preserve">25.3938714,89.533239</t>
  </si>
  <si>
    <t xml:space="preserve">মোঃ বয়তুল্লা আলী</t>
  </si>
  <si>
    <t xml:space="preserve">01595163760</t>
  </si>
  <si>
    <t xml:space="preserve">25.938559,89.53268</t>
  </si>
  <si>
    <t xml:space="preserve">মোঃ আঃ আলিল</t>
  </si>
  <si>
    <t xml:space="preserve">রোশন শিমুলবাড়ী</t>
  </si>
  <si>
    <t xml:space="preserve">25.951258,89.531717</t>
  </si>
  <si>
    <t xml:space="preserve">মোঃ সিয়াম হোসেন শহিদুল</t>
  </si>
  <si>
    <t xml:space="preserve">01581088955</t>
  </si>
  <si>
    <t xml:space="preserve">মোঃ ফকরুল ইসলাম</t>
  </si>
  <si>
    <t xml:space="preserve">০১৭১২৫৭৭৪৯২</t>
  </si>
  <si>
    <t xml:space="preserve">25.950059,89.531654</t>
  </si>
  <si>
    <t xml:space="preserve">মোঃ মুকুল মিয়া</t>
  </si>
  <si>
    <t xml:space="preserve">01770813436</t>
  </si>
  <si>
    <t xml:space="preserve">তালুক শিমুলবাড়ী</t>
  </si>
  <si>
    <t xml:space="preserve">25.973441,89.534253</t>
  </si>
  <si>
    <t xml:space="preserve">মোঃ আকবর আলী</t>
  </si>
  <si>
    <t xml:space="preserve">01721590081</t>
  </si>
  <si>
    <t xml:space="preserve">ভুরিয়ারকুটি</t>
  </si>
  <si>
    <t xml:space="preserve">25.957802,89.538374</t>
  </si>
  <si>
    <t xml:space="preserve">মোঃ বাবুল হোসেন মজনু</t>
  </si>
  <si>
    <t xml:space="preserve">01762769031</t>
  </si>
  <si>
    <t xml:space="preserve">25.930863,89.522333</t>
  </si>
  <si>
    <t xml:space="preserve">মোঃ আফজাল হোসেন</t>
  </si>
  <si>
    <t xml:space="preserve">01949728582</t>
  </si>
  <si>
    <t xml:space="preserve">25.939241,89.532387</t>
  </si>
  <si>
    <t xml:space="preserve">মোঃ মামুনুর রশিদ</t>
  </si>
  <si>
    <t xml:space="preserve">01723314538</t>
  </si>
  <si>
    <t xml:space="preserve">যতিন্দ্রনারায়ন</t>
  </si>
  <si>
    <t xml:space="preserve">25.93306,89.518832</t>
  </si>
  <si>
    <t xml:space="preserve">খাদিজা বেগম</t>
  </si>
  <si>
    <t xml:space="preserve">01969206286</t>
  </si>
  <si>
    <t xml:space="preserve">25.922405,89.523593</t>
  </si>
  <si>
    <t xml:space="preserve">মোছাঃ শাহিনা বেগম</t>
  </si>
  <si>
    <t xml:space="preserve">01773919156</t>
  </si>
  <si>
    <t xml:space="preserve">25.923108,89.526241</t>
  </si>
  <si>
    <t xml:space="preserve">মিনিকা খাতুন</t>
  </si>
  <si>
    <t xml:space="preserve">01744600827</t>
  </si>
  <si>
    <t xml:space="preserve">25.928028,89.499762</t>
  </si>
  <si>
    <t xml:space="preserve">মোছাঃ গোলাপী বেগম</t>
  </si>
  <si>
    <t xml:space="preserve">01924820851</t>
  </si>
  <si>
    <t xml:space="preserve">25.935125,89.533206</t>
  </si>
  <si>
    <t xml:space="preserve">রেশমা বেগম</t>
  </si>
  <si>
    <t xml:space="preserve">01796708557</t>
  </si>
  <si>
    <t xml:space="preserve">25.934351,89.52019</t>
  </si>
  <si>
    <t xml:space="preserve">শেফালী বেগম</t>
  </si>
  <si>
    <t xml:space="preserve">01717774819</t>
  </si>
  <si>
    <t xml:space="preserve">25.937455,89.534739</t>
  </si>
  <si>
    <t xml:space="preserve">উত্তম কুমার বর্মন</t>
  </si>
  <si>
    <t xml:space="preserve">01749425411</t>
  </si>
  <si>
    <t xml:space="preserve">25.938982,89.534942</t>
  </si>
  <si>
    <t xml:space="preserve">01741699928</t>
  </si>
  <si>
    <t xml:space="preserve">25.92614,89.523985</t>
  </si>
  <si>
    <t xml:space="preserve">মোছাঃ হেলেনা বেগম</t>
  </si>
  <si>
    <t xml:space="preserve">01845755480</t>
  </si>
  <si>
    <t xml:space="preserve">25.929057,89.538935</t>
  </si>
  <si>
    <t xml:space="preserve">মনোয়ার বেগম</t>
  </si>
  <si>
    <t xml:space="preserve">25.929059,89.539053</t>
  </si>
  <si>
    <t xml:space="preserve">মোঃ তারিকুল ইসলাম</t>
  </si>
  <si>
    <t xml:space="preserve">25.929096,89.536749</t>
  </si>
  <si>
    <t xml:space="preserve">মোঃ রেজাউল করিম সরকার</t>
  </si>
  <si>
    <t xml:space="preserve">17446158172</t>
  </si>
  <si>
    <t xml:space="preserve">25.929264,89.536733</t>
  </si>
  <si>
    <t xml:space="preserve">25.929348,89.36889</t>
  </si>
  <si>
    <t xml:space="preserve">মোঃ আঃ বারী সরকার</t>
  </si>
  <si>
    <t xml:space="preserve">01908195248</t>
  </si>
  <si>
    <t xml:space="preserve">25.929247,89.536635</t>
  </si>
  <si>
    <t xml:space="preserve">মোঃ রাজ্জাক সরকার</t>
  </si>
  <si>
    <t xml:space="preserve">01774521412</t>
  </si>
  <si>
    <t xml:space="preserve">25.923117,89.526392</t>
  </si>
  <si>
    <t xml:space="preserve">মোঃ সাইফুর রহমান</t>
  </si>
  <si>
    <t xml:space="preserve">01746107332</t>
  </si>
  <si>
    <t xml:space="preserve">25.931152,89.520396</t>
  </si>
  <si>
    <t xml:space="preserve">01821784276</t>
  </si>
  <si>
    <t xml:space="preserve">25.931142,89. 520385</t>
  </si>
  <si>
    <t xml:space="preserve">মোঃ সাদ্দাম হোসেন</t>
  </si>
  <si>
    <t xml:space="preserve">01766035606</t>
  </si>
  <si>
    <t xml:space="preserve">25.933078,89.521762</t>
  </si>
  <si>
    <t xml:space="preserve">01792826769</t>
  </si>
  <si>
    <t xml:space="preserve">25.928611,89.501617</t>
  </si>
  <si>
    <t xml:space="preserve">01342005823</t>
  </si>
  <si>
    <t xml:space="preserve">25.953253,89.537324</t>
  </si>
  <si>
    <t xml:space="preserve">মোছাঃ মাহামুদা খাতুন</t>
  </si>
  <si>
    <t xml:space="preserve">01740153389</t>
  </si>
  <si>
    <t xml:space="preserve">25.9533574,89.532027</t>
  </si>
  <si>
    <t xml:space="preserve">মোঃ ময়েন উদ্দিন</t>
  </si>
  <si>
    <t xml:space="preserve">01740122552</t>
  </si>
  <si>
    <t xml:space="preserve">25.975092,89.531423</t>
  </si>
  <si>
    <t xml:space="preserve">মোঃ আল আমিন</t>
  </si>
  <si>
    <t xml:space="preserve">01767384601</t>
  </si>
  <si>
    <t xml:space="preserve">25.977726,89.530398</t>
  </si>
  <si>
    <t xml:space="preserve">করুনা কান্ত বর্মা</t>
  </si>
  <si>
    <t xml:space="preserve">01735884080</t>
  </si>
  <si>
    <t xml:space="preserve">25.975468,89.531603</t>
  </si>
  <si>
    <t xml:space="preserve">মোঃ বদিয়জামাল মিয়া</t>
  </si>
  <si>
    <t xml:space="preserve">01810397323</t>
  </si>
  <si>
    <t xml:space="preserve">দোলাবাড়ী</t>
  </si>
  <si>
    <t xml:space="preserve">73423,89.524203</t>
  </si>
  <si>
    <t xml:space="preserve">01334023639</t>
  </si>
  <si>
    <t xml:space="preserve">25.97456,89.526076</t>
  </si>
  <si>
    <t xml:space="preserve">01750964805</t>
  </si>
  <si>
    <t xml:space="preserve">25.978474,89.530998</t>
  </si>
  <si>
    <t xml:space="preserve">মোঃ শামীম মিয়া</t>
  </si>
  <si>
    <t xml:space="preserve">01306180045</t>
  </si>
  <si>
    <t xml:space="preserve">25.972343,89.530428</t>
  </si>
  <si>
    <t xml:space="preserve">01797712202</t>
  </si>
  <si>
    <t xml:space="preserve">25.97774,89.530445</t>
  </si>
  <si>
    <t xml:space="preserve">রীতা রায়</t>
  </si>
  <si>
    <t xml:space="preserve">01799163069</t>
  </si>
  <si>
    <t xml:space="preserve">জাকলাটারী</t>
  </si>
  <si>
    <t xml:space="preserve">25.96205,89.52848</t>
  </si>
  <si>
    <t xml:space="preserve">মোছাঃ শিউলী খাতুন</t>
  </si>
  <si>
    <t xml:space="preserve">01734842253</t>
  </si>
  <si>
    <t xml:space="preserve">25.961556,89.528494</t>
  </si>
  <si>
    <t xml:space="preserve">মোছাঃ নুর নাহার বেগম</t>
  </si>
  <si>
    <t xml:space="preserve">01595171412</t>
  </si>
  <si>
    <t xml:space="preserve">25.961584,89.527796</t>
  </si>
  <si>
    <t xml:space="preserve">মোছাঃ নুরবানু বেগম</t>
  </si>
  <si>
    <t xml:space="preserve">01767181442</t>
  </si>
  <si>
    <t xml:space="preserve">25.960547,89.528419</t>
  </si>
  <si>
    <t xml:space="preserve">মোছাঃ রঞ্জু বেগম</t>
  </si>
  <si>
    <t xml:space="preserve">01763199053</t>
  </si>
  <si>
    <t xml:space="preserve">25.961626,89.527905</t>
  </si>
  <si>
    <t xml:space="preserve">মোছাঃ ফরিদা খাতুন</t>
  </si>
  <si>
    <t xml:space="preserve">01321307478</t>
  </si>
  <si>
    <t xml:space="preserve">25.951853,89.531938</t>
  </si>
  <si>
    <t xml:space="preserve">মোছাঃ মনোয়ারা বেগম</t>
  </si>
  <si>
    <t xml:space="preserve">01724053280</t>
  </si>
  <si>
    <t xml:space="preserve">25.952123,89.531266</t>
  </si>
  <si>
    <t xml:space="preserve">দীন বন্ধু রায়</t>
  </si>
  <si>
    <t xml:space="preserve">01734681019</t>
  </si>
  <si>
    <t xml:space="preserve">১৭/০৭/২৬</t>
  </si>
  <si>
    <t xml:space="preserve">25.950032,89.532047</t>
  </si>
  <si>
    <t xml:space="preserve">তপন কুমার রায়</t>
  </si>
  <si>
    <t xml:space="preserve">01713326861</t>
  </si>
  <si>
    <t xml:space="preserve">25.951883,89.531568</t>
  </si>
  <si>
    <t xml:space="preserve">মোছাঃ এছপি বেগম</t>
  </si>
  <si>
    <t xml:space="preserve">01787969087</t>
  </si>
  <si>
    <t xml:space="preserve">25.952523,89.531198</t>
  </si>
  <si>
    <t xml:space="preserve">নৃপেন্দ্রনাথ রায়</t>
  </si>
  <si>
    <t xml:space="preserve">01739730107</t>
  </si>
  <si>
    <t xml:space="preserve">চন্দ্রখানা</t>
  </si>
  <si>
    <t xml:space="preserve">25.93994,89.561153</t>
  </si>
  <si>
    <t xml:space="preserve">মোঃ নাজমুল হক</t>
  </si>
  <si>
    <t xml:space="preserve">01739377334</t>
  </si>
  <si>
    <t xml:space="preserve">মোঃ আবু বকর সিদ্দিক</t>
  </si>
  <si>
    <t xml:space="preserve">০১৭১৭৭৪৯৭৪৬</t>
  </si>
  <si>
    <t xml:space="preserve">খামারটারী</t>
  </si>
  <si>
    <t xml:space="preserve">25.934521,89.562132</t>
  </si>
  <si>
    <t xml:space="preserve">01744399668</t>
  </si>
  <si>
    <t xml:space="preserve">বজরের খামার</t>
  </si>
  <si>
    <t xml:space="preserve">25.941041,89.568642</t>
  </si>
  <si>
    <t xml:space="preserve">আব্দুল্লাহ খন্দকার</t>
  </si>
  <si>
    <t xml:space="preserve">01794806824</t>
  </si>
  <si>
    <t xml:space="preserve">মুসল্লিপাড়া</t>
  </si>
  <si>
    <t xml:space="preserve">25.94306,89.559165</t>
  </si>
  <si>
    <t xml:space="preserve">01737170745</t>
  </si>
  <si>
    <t xml:space="preserve">আমতলা</t>
  </si>
  <si>
    <t xml:space="preserve">25.943041,89.569325</t>
  </si>
  <si>
    <t xml:space="preserve">আঃ রশিদ মিয়া</t>
  </si>
  <si>
    <t xml:space="preserve">01761072837</t>
  </si>
  <si>
    <t xml:space="preserve">নাগদহ</t>
  </si>
  <si>
    <t xml:space="preserve">25.935258,89.598401</t>
  </si>
  <si>
    <t xml:space="preserve">মোছাঃ লিমা বেগম</t>
  </si>
  <si>
    <t xml:space="preserve">01734197848</t>
  </si>
  <si>
    <t xml:space="preserve">25.935616,89.599784</t>
  </si>
  <si>
    <t xml:space="preserve">01788279002</t>
  </si>
  <si>
    <t xml:space="preserve">25.935077,89.596917</t>
  </si>
  <si>
    <t xml:space="preserve">01733462455</t>
  </si>
  <si>
    <t xml:space="preserve">25.936385,89.59941</t>
  </si>
  <si>
    <t xml:space="preserve">নাজির হোসেন</t>
  </si>
  <si>
    <t xml:space="preserve">01750549630</t>
  </si>
  <si>
    <t xml:space="preserve">25.934896,89.597346</t>
  </si>
  <si>
    <t xml:space="preserve">মোছাঃ জরিনা বেগম</t>
  </si>
  <si>
    <t xml:space="preserve">01737803051</t>
  </si>
  <si>
    <t xml:space="preserve">25.935842,89.600516</t>
  </si>
  <si>
    <t xml:space="preserve">খোতেজা বেগম</t>
  </si>
  <si>
    <t xml:space="preserve">01750066531</t>
  </si>
  <si>
    <t xml:space="preserve">রাশমেলা</t>
  </si>
  <si>
    <t xml:space="preserve">25.943354,89.594512</t>
  </si>
  <si>
    <t xml:space="preserve">01752101216</t>
  </si>
  <si>
    <t xml:space="preserve">25.942675,89.59396</t>
  </si>
  <si>
    <t xml:space="preserve">মোছাঃ আরজিনা বেগম</t>
  </si>
  <si>
    <t xml:space="preserve">01778127204</t>
  </si>
  <si>
    <t xml:space="preserve">25.942626,89.594397</t>
  </si>
  <si>
    <t xml:space="preserve">মোঃ সিরাজুল খন্দকার</t>
  </si>
  <si>
    <t xml:space="preserve">25.94025,89.594588</t>
  </si>
  <si>
    <t xml:space="preserve">01761013963</t>
  </si>
  <si>
    <t xml:space="preserve">তালুকদারটারী</t>
  </si>
  <si>
    <t xml:space="preserve">25.942014,89.594589</t>
  </si>
  <si>
    <t xml:space="preserve">মোঃ এরশাদ আলী</t>
  </si>
  <si>
    <t xml:space="preserve">01743331764</t>
  </si>
  <si>
    <t xml:space="preserve">25.942983,89.594796</t>
  </si>
  <si>
    <t xml:space="preserve">মোছাঃ রুবিনা খাতুন</t>
  </si>
  <si>
    <t xml:space="preserve">01764831254</t>
  </si>
  <si>
    <t xml:space="preserve">25.943164,89.594355</t>
  </si>
  <si>
    <t xml:space="preserve">আরজিনা খাতুন</t>
  </si>
  <si>
    <t xml:space="preserve">01625384410</t>
  </si>
  <si>
    <t xml:space="preserve">25.943523,89.594269</t>
  </si>
  <si>
    <t xml:space="preserve">মোঃ সাজু খন্দকার</t>
  </si>
  <si>
    <t xml:space="preserve">01753159606</t>
  </si>
  <si>
    <t xml:space="preserve">সরকারটারী</t>
  </si>
  <si>
    <t xml:space="preserve">25.941041,89.567951</t>
  </si>
  <si>
    <t xml:space="preserve">01719245097</t>
  </si>
  <si>
    <t xml:space="preserve">বিদ্যাবাগিশ</t>
  </si>
  <si>
    <t xml:space="preserve">25.970399,89.566362</t>
  </si>
  <si>
    <t xml:space="preserve">01714011468</t>
  </si>
  <si>
    <t xml:space="preserve">মোঃ রিয়াজুল ইসলাম</t>
  </si>
  <si>
    <t xml:space="preserve">০১৭২৪৪৭৭০০১</t>
  </si>
  <si>
    <t xml:space="preserve">25.964411,89.567025</t>
  </si>
  <si>
    <t xml:space="preserve">বাদল হোসেন</t>
  </si>
  <si>
    <t xml:space="preserve">01722648451</t>
  </si>
  <si>
    <t xml:space="preserve">25.968844,89.57058</t>
  </si>
  <si>
    <t xml:space="preserve">রমজানুল হক</t>
  </si>
  <si>
    <t xml:space="preserve">01751137743</t>
  </si>
  <si>
    <t xml:space="preserve">25.952927,89.558557</t>
  </si>
  <si>
    <t xml:space="preserve">আইয়ুব আলী</t>
  </si>
  <si>
    <t xml:space="preserve">01780878188</t>
  </si>
  <si>
    <t xml:space="preserve">25.969921,89.56558</t>
  </si>
  <si>
    <t xml:space="preserve">শাহিন আলম</t>
  </si>
  <si>
    <t xml:space="preserve">01750693802</t>
  </si>
  <si>
    <t xml:space="preserve">25.965381,89.566328</t>
  </si>
  <si>
    <t xml:space="preserve">শারমিন আক্তার</t>
  </si>
  <si>
    <t xml:space="preserve">01741460496</t>
  </si>
  <si>
    <t xml:space="preserve">25.963974,89.56394</t>
  </si>
  <si>
    <t xml:space="preserve">শায়শা বেগম</t>
  </si>
  <si>
    <t xml:space="preserve">01770981857</t>
  </si>
  <si>
    <t xml:space="preserve">25.965353,89.566285</t>
  </si>
  <si>
    <t xml:space="preserve">01783022898</t>
  </si>
  <si>
    <t xml:space="preserve">25.965314,89.566461</t>
  </si>
  <si>
    <t xml:space="preserve">মুমি বেগম</t>
  </si>
  <si>
    <t xml:space="preserve">01759028748</t>
  </si>
  <si>
    <t xml:space="preserve">25.964152,89.564017</t>
  </si>
  <si>
    <t xml:space="preserve">নুর নাহার বেগম</t>
  </si>
  <si>
    <t xml:space="preserve">01862146039</t>
  </si>
  <si>
    <t xml:space="preserve">25.933175,89.605929</t>
  </si>
  <si>
    <t xml:space="preserve">শাহাদত হোসেন</t>
  </si>
  <si>
    <t xml:space="preserve">01740172751</t>
  </si>
  <si>
    <t xml:space="preserve">25.954543,89.58998</t>
  </si>
  <si>
    <t xml:space="preserve">শাহলম</t>
  </si>
  <si>
    <t xml:space="preserve">01746716918</t>
  </si>
  <si>
    <t xml:space="preserve">25.951404,89.577572</t>
  </si>
  <si>
    <t xml:space="preserve">মিজানুর রহমান</t>
  </si>
  <si>
    <t xml:space="preserve">01761251831</t>
  </si>
  <si>
    <t xml:space="preserve">25.95273,89.573654</t>
  </si>
  <si>
    <t xml:space="preserve">জাহিদ হাসান</t>
  </si>
  <si>
    <t xml:space="preserve">01761280952</t>
  </si>
  <si>
    <t xml:space="preserve">25.959671,89.585565</t>
  </si>
  <si>
    <t xml:space="preserve">সোহেল রানা</t>
  </si>
  <si>
    <t xml:space="preserve">01737232817</t>
  </si>
  <si>
    <t xml:space="preserve">25.958917,89.584046</t>
  </si>
  <si>
    <t xml:space="preserve">নাজমা আক্তার</t>
  </si>
  <si>
    <t xml:space="preserve">01764987163</t>
  </si>
  <si>
    <t xml:space="preserve">25.958199,89.58781</t>
  </si>
  <si>
    <t xml:space="preserve">ময়না মনি</t>
  </si>
  <si>
    <t xml:space="preserve">01868791976</t>
  </si>
  <si>
    <t xml:space="preserve">25.95452,89.589939</t>
  </si>
  <si>
    <t xml:space="preserve">শরিফা বেগম</t>
  </si>
  <si>
    <t xml:space="preserve">01738613324</t>
  </si>
  <si>
    <t xml:space="preserve">25.959662,89.585532</t>
  </si>
  <si>
    <t xml:space="preserve">রতনা বেগম</t>
  </si>
  <si>
    <t xml:space="preserve">01765930596</t>
  </si>
  <si>
    <t xml:space="preserve">25.957823,89.585564</t>
  </si>
  <si>
    <t xml:space="preserve">মনোয়ারা বেগম</t>
  </si>
  <si>
    <t xml:space="preserve">01762855504</t>
  </si>
  <si>
    <t xml:space="preserve">কবির মামুদ</t>
  </si>
  <si>
    <t xml:space="preserve">25.93511,89.53753</t>
  </si>
  <si>
    <t xml:space="preserve">01795517028</t>
  </si>
  <si>
    <t xml:space="preserve">মোঃ আব্দুল কাদের মিয়া</t>
  </si>
  <si>
    <t xml:space="preserve">০১৭২৩৪২৮৫২০</t>
  </si>
  <si>
    <t xml:space="preserve">25.939306,89.536464</t>
  </si>
  <si>
    <t xml:space="preserve">নাছরিন আক্তার</t>
  </si>
  <si>
    <t xml:space="preserve">01774427776</t>
  </si>
  <si>
    <t xml:space="preserve">25.939129,89.536307</t>
  </si>
  <si>
    <t xml:space="preserve">আঃ সাত্তার</t>
  </si>
  <si>
    <t xml:space="preserve">01308763054</t>
  </si>
  <si>
    <t xml:space="preserve">কিশামত প্রাণকৃষ্ণ</t>
  </si>
  <si>
    <t xml:space="preserve">25.924022,89.54149</t>
  </si>
  <si>
    <t xml:space="preserve">শাহজামাল</t>
  </si>
  <si>
    <t xml:space="preserve">01722592015</t>
  </si>
  <si>
    <t xml:space="preserve">25.898534,89.586799</t>
  </si>
  <si>
    <t xml:space="preserve">শাহনাজ পারভীন</t>
  </si>
  <si>
    <t xml:space="preserve">01785449751</t>
  </si>
  <si>
    <t xml:space="preserve">25.898535,89.568784</t>
  </si>
  <si>
    <t xml:space="preserve">রাশেদ সরকার</t>
  </si>
  <si>
    <t xml:space="preserve">01704226771</t>
  </si>
  <si>
    <t xml:space="preserve">25.955364,89.552308</t>
  </si>
  <si>
    <t xml:space="preserve">মনছুর আলী</t>
  </si>
  <si>
    <t xml:space="preserve">01814560562</t>
  </si>
  <si>
    <t xml:space="preserve">25.933884,89.564661</t>
  </si>
  <si>
    <t xml:space="preserve">কাজলী বেগম</t>
  </si>
  <si>
    <t xml:space="preserve">01740426574</t>
  </si>
  <si>
    <t xml:space="preserve">25.829752,89.444</t>
  </si>
  <si>
    <t xml:space="preserve">লাভলু মিয়া</t>
  </si>
  <si>
    <t xml:space="preserve">01701984232</t>
  </si>
  <si>
    <t xml:space="preserve">25.924382,89.541062</t>
  </si>
  <si>
    <t xml:space="preserve">জেলেখা বেগম</t>
  </si>
  <si>
    <t xml:space="preserve">01776813949</t>
  </si>
  <si>
    <t xml:space="preserve">পানিমাছকুটি</t>
  </si>
  <si>
    <t xml:space="preserve">25.951977,89.548798</t>
  </si>
  <si>
    <t xml:space="preserve">খোদায় বকস</t>
  </si>
  <si>
    <t xml:space="preserve">01717591105</t>
  </si>
  <si>
    <t xml:space="preserve">25.944469,89.538355</t>
  </si>
  <si>
    <t xml:space="preserve">ইয়াছিন আলী</t>
  </si>
  <si>
    <t xml:space="preserve">01771604275</t>
  </si>
  <si>
    <t xml:space="preserve">25.944784,89.539885</t>
  </si>
  <si>
    <t xml:space="preserve">নাজমুন্নাহার</t>
  </si>
  <si>
    <t xml:space="preserve">01740387886</t>
  </si>
  <si>
    <t xml:space="preserve">আয়নাল হক</t>
  </si>
  <si>
    <t xml:space="preserve">01755344571</t>
  </si>
  <si>
    <t xml:space="preserve">25.954808,89.553365</t>
  </si>
  <si>
    <t xml:space="preserve">লাবনী খাতুন</t>
  </si>
  <si>
    <t xml:space="preserve">01746715976</t>
  </si>
  <si>
    <t xml:space="preserve">25.916416,89.556349</t>
  </si>
  <si>
    <t xml:space="preserve">মিলন মিয়া</t>
  </si>
  <si>
    <t xml:space="preserve">01788227885</t>
  </si>
  <si>
    <t xml:space="preserve">25.954259,89.55316</t>
  </si>
  <si>
    <t xml:space="preserve">হাসি খাতুন</t>
  </si>
  <si>
    <t xml:space="preserve">01728606931</t>
  </si>
  <si>
    <t xml:space="preserve">25.955002,89.550676</t>
  </si>
  <si>
    <t xml:space="preserve">সাইফুর রহমান</t>
  </si>
  <si>
    <t xml:space="preserve">01725192396</t>
  </si>
  <si>
    <t xml:space="preserve">25.955531,89.550383</t>
  </si>
  <si>
    <t xml:space="preserve">সামিনা বেগম</t>
  </si>
  <si>
    <t xml:space="preserve">01767597705</t>
  </si>
  <si>
    <t xml:space="preserve">25.954065,89.549938</t>
  </si>
  <si>
    <t xml:space="preserve">আতিকুর রহমান</t>
  </si>
  <si>
    <t xml:space="preserve">01749425848</t>
  </si>
  <si>
    <t xml:space="preserve">ঘোগারকুটি</t>
  </si>
  <si>
    <t xml:space="preserve">বড়ভিটা</t>
  </si>
  <si>
    <t xml:space="preserve">25.91591,89.574561</t>
  </si>
  <si>
    <t xml:space="preserve">সবুজ মিয়া</t>
  </si>
  <si>
    <t xml:space="preserve">মোঃ আশরাফুল আলম</t>
  </si>
  <si>
    <t xml:space="preserve">০১৭২৫৫৪৭১১২</t>
  </si>
  <si>
    <t xml:space="preserve">25.916715,89.569462</t>
  </si>
  <si>
    <t xml:space="preserve">হারুন অর রশিদ</t>
  </si>
  <si>
    <t xml:space="preserve">25.907532,89.572085</t>
  </si>
  <si>
    <t xml:space="preserve">মকছেদুল হক</t>
  </si>
  <si>
    <t xml:space="preserve">25.914172,89.570327</t>
  </si>
  <si>
    <t xml:space="preserve">সাধনা রানী</t>
  </si>
  <si>
    <t xml:space="preserve">25.907676,89.572093</t>
  </si>
  <si>
    <t xml:space="preserve">25.918662,89.569796</t>
  </si>
  <si>
    <t xml:space="preserve">রবিউল ইসলাম</t>
  </si>
  <si>
    <t xml:space="preserve">নওদাবশ</t>
  </si>
  <si>
    <t xml:space="preserve">25.917379,89.51731</t>
  </si>
  <si>
    <t xml:space="preserve">লিটন চন্দ্র</t>
  </si>
  <si>
    <t xml:space="preserve">মোঃ নাসিম ফুয়াদ</t>
  </si>
  <si>
    <t xml:space="preserve">০১৭৬১১৮১০৩০</t>
  </si>
  <si>
    <t xml:space="preserve">25.918513,89.594006</t>
  </si>
  <si>
    <t xml:space="preserve">25.916527,89.590755</t>
  </si>
  <si>
    <t xml:space="preserve">পলাশ কুমার</t>
  </si>
  <si>
    <t xml:space="preserve">25.921551,89.587194</t>
  </si>
  <si>
    <t xml:space="preserve">অঞ্জনা</t>
  </si>
  <si>
    <t xml:space="preserve">25.916759,89.592764</t>
  </si>
  <si>
    <t xml:space="preserve">মেরিনা বেগম</t>
  </si>
  <si>
    <t xml:space="preserve">25.903954,89.581964</t>
  </si>
  <si>
    <t xml:space="preserve">ওহাব আলী</t>
  </si>
  <si>
    <t xml:space="preserve">25.9044,89.583009</t>
  </si>
  <si>
    <t xml:space="preserve">25.904263,89.581821</t>
  </si>
  <si>
    <t xml:space="preserve">আঃ বাতেন খন্দকার</t>
  </si>
  <si>
    <t xml:space="preserve">ভিতরকুটি</t>
  </si>
  <si>
    <t xml:space="preserve">25.906676,89.577202</t>
  </si>
  <si>
    <t xml:space="preserve">টুংকু মিয়া</t>
  </si>
  <si>
    <t xml:space="preserve">25.913193,89.58434</t>
  </si>
  <si>
    <t xml:space="preserve">সামসুল হক</t>
  </si>
  <si>
    <t xml:space="preserve">উত্তর বড়ভিটা</t>
  </si>
  <si>
    <t xml:space="preserve">25.91886,89.569892</t>
  </si>
  <si>
    <t xml:space="preserve">আঞ্জু বেগম</t>
  </si>
  <si>
    <t xml:space="preserve">25.919077,89.569271</t>
  </si>
  <si>
    <t xml:space="preserve">শাহিনা আক্তার</t>
  </si>
  <si>
    <t xml:space="preserve">25.92215,89.571349</t>
  </si>
  <si>
    <t xml:space="preserve">বায়েজিদ আলম</t>
  </si>
  <si>
    <t xml:space="preserve">25.89981,89.600632</t>
  </si>
  <si>
    <t xml:space="preserve">গোলাম রব্বানী</t>
  </si>
  <si>
    <t xml:space="preserve">25.90772,89.585866</t>
  </si>
  <si>
    <t xml:space="preserve">খয়বর আলী</t>
  </si>
  <si>
    <t xml:space="preserve">হাজিটারী</t>
  </si>
  <si>
    <t xml:space="preserve">25.898391,89.597107</t>
  </si>
  <si>
    <t xml:space="preserve">ছামাদ আলী</t>
  </si>
  <si>
    <t xml:space="preserve">ফকরের চর</t>
  </si>
  <si>
    <t xml:space="preserve">25.899217,89.597482</t>
  </si>
  <si>
    <t xml:space="preserve">25.897453,89.591202</t>
  </si>
  <si>
    <t xml:space="preserve">ফজলুল হক</t>
  </si>
  <si>
    <t xml:space="preserve">বড়লই</t>
  </si>
  <si>
    <t xml:space="preserve">25.895098,89.595431</t>
  </si>
  <si>
    <t xml:space="preserve">25.908877,89.566378</t>
  </si>
  <si>
    <t xml:space="preserve">আনিছুর রহমান</t>
  </si>
  <si>
    <t xml:space="preserve">25.907812,89.562621</t>
  </si>
  <si>
    <t xml:space="preserve">রিয়াজুল হক</t>
  </si>
  <si>
    <t xml:space="preserve">25.901022,89.567821</t>
  </si>
  <si>
    <t xml:space="preserve">কাজীটারী</t>
  </si>
  <si>
    <t xml:space="preserve">25.913771,89.598866</t>
  </si>
  <si>
    <t xml:space="preserve">বাবুল হোসেন</t>
  </si>
  <si>
    <t xml:space="preserve">25.911787,89.597019</t>
  </si>
  <si>
    <t xml:space="preserve">মাহাবুল মিয়া</t>
  </si>
  <si>
    <t xml:space="preserve">ফাতেমা বেগম</t>
  </si>
  <si>
    <t xml:space="preserve">25.913771,89.598848</t>
  </si>
  <si>
    <t xml:space="preserve">মাসুদ রানা</t>
  </si>
  <si>
    <t xml:space="preserve">সরদারপাড়া</t>
  </si>
  <si>
    <t xml:space="preserve">253912134,89.596821</t>
  </si>
  <si>
    <t xml:space="preserve">25.923275,89.594138</t>
  </si>
  <si>
    <t xml:space="preserve">25.922419,89.56433</t>
  </si>
  <si>
    <t xml:space="preserve">আঃ গফুর</t>
  </si>
  <si>
    <t xml:space="preserve">পূর্ব ধনিরাম</t>
  </si>
  <si>
    <t xml:space="preserve">25.919195,89.557555</t>
  </si>
  <si>
    <t xml:space="preserve">উদয় কৃষ্ণ রায়</t>
  </si>
  <si>
    <t xml:space="preserve">০১৭১৭৯৯৬৮২৮</t>
  </si>
  <si>
    <t xml:space="preserve">25.916765,89.559387</t>
  </si>
  <si>
    <t xml:space="preserve">মজিবুল ইসলাম</t>
  </si>
  <si>
    <t xml:space="preserve">25.919327,89.555199</t>
  </si>
  <si>
    <t xml:space="preserve">আয়শা বেগম</t>
  </si>
  <si>
    <t xml:space="preserve">25.919018,89.556328</t>
  </si>
  <si>
    <t xml:space="preserve">হমিদা খাতুন</t>
  </si>
  <si>
    <t xml:space="preserve">25.917398,89.553849</t>
  </si>
  <si>
    <t xml:space="preserve">25.902319,89.572548</t>
  </si>
  <si>
    <t xml:space="preserve">বিষ্ণু চন্দ্র</t>
  </si>
  <si>
    <t xml:space="preserve">25.902724,89.57086</t>
  </si>
  <si>
    <t xml:space="preserve">হামিদুল ইসলাম</t>
  </si>
  <si>
    <t xml:space="preserve">25.900442,89.571247</t>
  </si>
  <si>
    <t xml:space="preserve">25.899612,89.564042</t>
  </si>
  <si>
    <t xml:space="preserve">25.902451,89.57188</t>
  </si>
  <si>
    <t xml:space="preserve">রুপালী বেগম</t>
  </si>
  <si>
    <t xml:space="preserve">25.9025663,89.570941</t>
  </si>
  <si>
    <t xml:space="preserve">জেসমিন বেগম</t>
  </si>
  <si>
    <t xml:space="preserve">25.904554,89.566009</t>
  </si>
  <si>
    <t xml:space="preserve">25.904264,89.566922</t>
  </si>
  <si>
    <t xml:space="preserve">সুমিনা বেগম</t>
  </si>
  <si>
    <t xml:space="preserve">25.905212,89.566388</t>
  </si>
  <si>
    <t xml:space="preserve">খোতাজে বেগম</t>
  </si>
  <si>
    <t xml:space="preserve">25.904284,89.569953</t>
  </si>
  <si>
    <t xml:space="preserve">নুর জাহান বেগম</t>
  </si>
  <si>
    <t xml:space="preserve">25.904219,89.568671</t>
  </si>
  <si>
    <t xml:space="preserve">পীযুষ রায়</t>
  </si>
  <si>
    <t xml:space="preserve">25.908406,89.564927</t>
  </si>
  <si>
    <t xml:space="preserve">25.908065,89.564646</t>
  </si>
  <si>
    <t xml:space="preserve">জাদু মিয়া</t>
  </si>
  <si>
    <t xml:space="preserve">25.906967,89.566004</t>
  </si>
  <si>
    <t xml:space="preserve">25.907323,89.56481</t>
  </si>
  <si>
    <t xml:space="preserve">সহিদার রহমান</t>
  </si>
  <si>
    <t xml:space="preserve">বালাবাড়ী</t>
  </si>
  <si>
    <t xml:space="preserve">25.937825,89.542962</t>
  </si>
  <si>
    <t xml:space="preserve">25.932672,89.607236</t>
  </si>
  <si>
    <t xml:space="preserve">মুকুল মিয়া</t>
  </si>
  <si>
    <t xml:space="preserve">25.921014,89.59427</t>
  </si>
  <si>
    <t xml:space="preserve">ইসমাইল হোসেন</t>
  </si>
  <si>
    <t xml:space="preserve">25.937826,89.603628</t>
  </si>
  <si>
    <t xml:space="preserve">আফজাল হোসেন</t>
  </si>
  <si>
    <t xml:space="preserve">25.909367,89.597882</t>
  </si>
  <si>
    <t xml:space="preserve">আলতাব হোসেন</t>
  </si>
  <si>
    <t xml:space="preserve">বোয়াইলভীর</t>
  </si>
  <si>
    <t xml:space="preserve">ভাঙ্গামোড়</t>
  </si>
  <si>
    <t xml:space="preserve">আম, কাঠাল, জলপাই, নিম, মেহগনি</t>
  </si>
  <si>
    <t xml:space="preserve">25.92829,89.636121</t>
  </si>
  <si>
    <t xml:space="preserve">কল্পনা রানী</t>
  </si>
  <si>
    <t xml:space="preserve">01786245136</t>
  </si>
  <si>
    <t xml:space="preserve">০১৭২৯৯৮৪৪৭৩</t>
  </si>
  <si>
    <t xml:space="preserve">সুশান্ত কুমার রায়</t>
  </si>
  <si>
    <t xml:space="preserve">০১৭৯৬০০৫৯৯৫</t>
  </si>
  <si>
    <t xml:space="preserve">25.929589,89.635845</t>
  </si>
  <si>
    <t xml:space="preserve">মুক্তি রানী রায়</t>
  </si>
  <si>
    <t xml:space="preserve">01314107266</t>
  </si>
  <si>
    <t xml:space="preserve">সিংহ পাড়া</t>
  </si>
  <si>
    <t xml:space="preserve">25.929619,89.635694</t>
  </si>
  <si>
    <t xml:space="preserve">ভুবনেশ্বরী রানী</t>
  </si>
  <si>
    <t xml:space="preserve">01706855222</t>
  </si>
  <si>
    <t xml:space="preserve">রাবাইতারী</t>
  </si>
  <si>
    <t xml:space="preserve">25.931575,89.624707</t>
  </si>
  <si>
    <t xml:space="preserve">সোনাকী বালা</t>
  </si>
  <si>
    <t xml:space="preserve">01755285755</t>
  </si>
  <si>
    <t xml:space="preserve">রতন কুমার রায়</t>
  </si>
  <si>
    <t xml:space="preserve">০১৭০৫৯২৭৬৭৪</t>
  </si>
  <si>
    <t xml:space="preserve">25.93164,89.62546</t>
  </si>
  <si>
    <t xml:space="preserve">কাজলী রানী</t>
  </si>
  <si>
    <t xml:space="preserve">01774434865</t>
  </si>
  <si>
    <t xml:space="preserve">25.931131,89.624895</t>
  </si>
  <si>
    <t xml:space="preserve">দমন্তী রানী</t>
  </si>
  <si>
    <t xml:space="preserve">01737933450</t>
  </si>
  <si>
    <t xml:space="preserve">25.911983,89.622418</t>
  </si>
  <si>
    <t xml:space="preserve">জাইদুল হক</t>
  </si>
  <si>
    <t xml:space="preserve">01729534462</t>
  </si>
  <si>
    <t xml:space="preserve">25.913751,89.622918</t>
  </si>
  <si>
    <t xml:space="preserve">বিশ্বজিত সেন</t>
  </si>
  <si>
    <t xml:space="preserve">01719257161</t>
  </si>
  <si>
    <t xml:space="preserve">25.916111,89.623685</t>
  </si>
  <si>
    <t xml:space="preserve">01341311931</t>
  </si>
  <si>
    <t xml:space="preserve">25.916167,89.623096</t>
  </si>
  <si>
    <t xml:space="preserve">শামসুদ্দিন বাবলা</t>
  </si>
  <si>
    <t xml:space="preserve">01722882393</t>
  </si>
  <si>
    <t xml:space="preserve">25.909007,89.622701</t>
  </si>
  <si>
    <t xml:space="preserve">01747751655</t>
  </si>
  <si>
    <t xml:space="preserve">নজর মামুদ</t>
  </si>
  <si>
    <t xml:space="preserve">25.9066,89.622701</t>
  </si>
  <si>
    <t xml:space="preserve">আজিজুল হক</t>
  </si>
  <si>
    <t xml:space="preserve">01746716981</t>
  </si>
  <si>
    <t xml:space="preserve">25.913873,89.614888</t>
  </si>
  <si>
    <t xml:space="preserve">আক্কাছ আলী</t>
  </si>
  <si>
    <t xml:space="preserve">01786955251</t>
  </si>
  <si>
    <t xml:space="preserve">25391600,89.6146</t>
  </si>
  <si>
    <t xml:space="preserve">01755437781</t>
  </si>
  <si>
    <t xml:space="preserve">25.919427,89.61595</t>
  </si>
  <si>
    <t xml:space="preserve">01751768946</t>
  </si>
  <si>
    <t xml:space="preserve">25.92064,89.616174</t>
  </si>
  <si>
    <t xml:space="preserve">শিরিনা বেগম</t>
  </si>
  <si>
    <t xml:space="preserve">01735202799</t>
  </si>
  <si>
    <t xml:space="preserve">25.920835,89.616245</t>
  </si>
  <si>
    <t xml:space="preserve">জিন্না বেগম</t>
  </si>
  <si>
    <t xml:space="preserve">01322779141</t>
  </si>
  <si>
    <t xml:space="preserve">নগরাজপুর</t>
  </si>
  <si>
    <t xml:space="preserve">25.914019,89.637726</t>
  </si>
  <si>
    <t xml:space="preserve">সাহেরা বেগম</t>
  </si>
  <si>
    <t xml:space="preserve">01737031609</t>
  </si>
  <si>
    <t xml:space="preserve">25.913747,89.63728</t>
  </si>
  <si>
    <t xml:space="preserve">মর্জিনা বেগম</t>
  </si>
  <si>
    <t xml:space="preserve">01774361543</t>
  </si>
  <si>
    <t xml:space="preserve">25.916368,89.639039</t>
  </si>
  <si>
    <t xml:space="preserve">জয়নব বেগম</t>
  </si>
  <si>
    <t xml:space="preserve">01743356803</t>
  </si>
  <si>
    <t xml:space="preserve">25.20208,89.646015</t>
  </si>
  <si>
    <t xml:space="preserve">01765591369</t>
  </si>
  <si>
    <t xml:space="preserve">মরাবাছরা</t>
  </si>
  <si>
    <t xml:space="preserve">25.920275,89.646097</t>
  </si>
  <si>
    <t xml:space="preserve">01301491504</t>
  </si>
  <si>
    <t xml:space="preserve">25.920245,89.645905</t>
  </si>
  <si>
    <t xml:space="preserve">01328904996</t>
  </si>
  <si>
    <t xml:space="preserve">25.9196,89.638339</t>
  </si>
  <si>
    <t xml:space="preserve">কহিনুর বেগম</t>
  </si>
  <si>
    <t xml:space="preserve">01776937397</t>
  </si>
  <si>
    <t xml:space="preserve">25.918515,89.639359</t>
  </si>
  <si>
    <t xml:space="preserve">01305134190</t>
  </si>
  <si>
    <t xml:space="preserve">25.917979,89.640226</t>
  </si>
  <si>
    <t xml:space="preserve">01722495285</t>
  </si>
  <si>
    <t xml:space="preserve">25.9067,89.619874</t>
  </si>
  <si>
    <t xml:space="preserve">01739451402</t>
  </si>
  <si>
    <t xml:space="preserve">25.907568,89.620762</t>
  </si>
  <si>
    <t xml:space="preserve">ছামিনা বেগম</t>
  </si>
  <si>
    <t xml:space="preserve">01792837952</t>
  </si>
  <si>
    <t xml:space="preserve">খামার ভাঙ্গামোড়</t>
  </si>
  <si>
    <t xml:space="preserve">25.90701,89.61682</t>
  </si>
  <si>
    <t xml:space="preserve">হাসিনা বেগম</t>
  </si>
  <si>
    <t xml:space="preserve">01764954931</t>
  </si>
  <si>
    <t xml:space="preserve">25.938205,89.61682</t>
  </si>
  <si>
    <t xml:space="preserve">তানজিনা বেগম</t>
  </si>
  <si>
    <t xml:space="preserve">01761266415</t>
  </si>
  <si>
    <t xml:space="preserve">25.93759,89.616099</t>
  </si>
  <si>
    <t xml:space="preserve">দুলালী বেগম</t>
  </si>
  <si>
    <t xml:space="preserve">01331990048</t>
  </si>
  <si>
    <t xml:space="preserve">25.937956,89.616337</t>
  </si>
  <si>
    <t xml:space="preserve">লিপি খাতুন</t>
  </si>
  <si>
    <t xml:space="preserve">01308932816</t>
  </si>
  <si>
    <t xml:space="preserve">25.942893,89.630917</t>
  </si>
  <si>
    <t xml:space="preserve">জয়নাল আবেদীন</t>
  </si>
  <si>
    <t xml:space="preserve">25.943244,89.6310983</t>
  </si>
  <si>
    <t xml:space="preserve">সেকেন্দার আলী</t>
  </si>
  <si>
    <t xml:space="preserve">01734273297</t>
  </si>
  <si>
    <t xml:space="preserve">25.942722,89.631039</t>
  </si>
  <si>
    <t xml:space="preserve">01766370649</t>
  </si>
  <si>
    <t xml:space="preserve">25.951605,89.624576</t>
  </si>
  <si>
    <t xml:space="preserve">01773010871</t>
  </si>
  <si>
    <t xml:space="preserve">25.95187,89.62413</t>
  </si>
  <si>
    <t xml:space="preserve">01302192631</t>
  </si>
  <si>
    <t xml:space="preserve">25.952034,89.623634</t>
  </si>
  <si>
    <t xml:space="preserve">01750983842</t>
  </si>
  <si>
    <t xml:space="preserve">উত্তর রাঙ্গামাটি</t>
  </si>
  <si>
    <t xml:space="preserve">25.895777,89.622268</t>
  </si>
  <si>
    <t xml:space="preserve">নুর বানু বেগম</t>
  </si>
  <si>
    <t xml:space="preserve">01834671288</t>
  </si>
  <si>
    <t xml:space="preserve">রাঙ্গামাটি</t>
  </si>
  <si>
    <t xml:space="preserve">25.894188,89.62088</t>
  </si>
  <si>
    <t xml:space="preserve">মমেনা বেগম</t>
  </si>
  <si>
    <t xml:space="preserve">01976471992</t>
  </si>
  <si>
    <t xml:space="preserve">25.895066,89.622428</t>
  </si>
  <si>
    <t xml:space="preserve">বেবী বেগম</t>
  </si>
  <si>
    <t xml:space="preserve">01797786565</t>
  </si>
  <si>
    <t xml:space="preserve">25.925676,89.621628</t>
  </si>
  <si>
    <t xml:space="preserve">ওবাইদুল হক</t>
  </si>
  <si>
    <t xml:space="preserve">01705927095</t>
  </si>
  <si>
    <t xml:space="preserve">খোচাবাড়ী</t>
  </si>
  <si>
    <t xml:space="preserve">25.892889,89.6343</t>
  </si>
  <si>
    <t xml:space="preserve">17806542183</t>
  </si>
  <si>
    <t xml:space="preserve">25.937994,89.635077</t>
  </si>
  <si>
    <t xml:space="preserve">01707737666</t>
  </si>
  <si>
    <t xml:space="preserve">25.97996,89.635399</t>
  </si>
  <si>
    <t xml:space="preserve">01764762921</t>
  </si>
  <si>
    <t xml:space="preserve">25.89769,89.635631</t>
  </si>
  <si>
    <t xml:space="preserve">বেলাল হোসেন</t>
  </si>
  <si>
    <t xml:space="preserve">25.90979,89.636077</t>
  </si>
  <si>
    <t xml:space="preserve">01774550220</t>
  </si>
  <si>
    <t xml:space="preserve">25.9066,89.633608</t>
  </si>
  <si>
    <t xml:space="preserve">01326068805</t>
  </si>
  <si>
    <t xml:space="preserve">মরামাছরা</t>
  </si>
  <si>
    <t xml:space="preserve">25.920208,89.646015</t>
  </si>
  <si>
    <t xml:space="preserve">লাভলু সরকার</t>
  </si>
  <si>
    <t xml:space="preserve">01713685780</t>
  </si>
  <si>
    <t xml:space="preserve">25.901129,89.637831</t>
  </si>
  <si>
    <t xml:space="preserve">নুর ইসলাম</t>
  </si>
  <si>
    <t xml:space="preserve">01750548966</t>
  </si>
  <si>
    <t xml:space="preserve">অনন্তপুর</t>
  </si>
  <si>
    <t xml:space="preserve">কাশিপুর</t>
  </si>
  <si>
    <t xml:space="preserve">25.998526,89.591338</t>
  </si>
  <si>
    <t xml:space="preserve">আশিকুর রহমান</t>
  </si>
  <si>
    <t xml:space="preserve">01796601114</t>
  </si>
  <si>
    <t xml:space="preserve">মোঃ নুরুল্লাহ</t>
  </si>
  <si>
    <t xml:space="preserve">০১৭১২৭০৩০১১</t>
  </si>
  <si>
    <t xml:space="preserve">54.998659,89.59076</t>
  </si>
  <si>
    <t xml:space="preserve">01867747852</t>
  </si>
  <si>
    <t xml:space="preserve">26.000245,89.587608</t>
  </si>
  <si>
    <t xml:space="preserve">চন্দন সরকার</t>
  </si>
  <si>
    <t xml:space="preserve">01792711172</t>
  </si>
  <si>
    <t xml:space="preserve">25.999116,89.59081</t>
  </si>
  <si>
    <t xml:space="preserve">01750349730</t>
  </si>
  <si>
    <t xml:space="preserve">26.000411,89.587498</t>
  </si>
  <si>
    <t xml:space="preserve">গৌরাঙ্গ চন্দ্র</t>
  </si>
  <si>
    <t xml:space="preserve">01735473520</t>
  </si>
  <si>
    <t xml:space="preserve">25.999018,89.590808</t>
  </si>
  <si>
    <t xml:space="preserve">01325312622</t>
  </si>
  <si>
    <t xml:space="preserve">25.998756,89.591757</t>
  </si>
  <si>
    <t xml:space="preserve">01706849616</t>
  </si>
  <si>
    <t xml:space="preserve">01708950738</t>
  </si>
  <si>
    <t xml:space="preserve">25.999431,89.590875</t>
  </si>
  <si>
    <t xml:space="preserve">01322778755</t>
  </si>
  <si>
    <t xml:space="preserve">25.999736,89.590934</t>
  </si>
  <si>
    <t xml:space="preserve">আব্দুল্লাহ</t>
  </si>
  <si>
    <t xml:space="preserve">01783773842</t>
  </si>
  <si>
    <t xml:space="preserve">26.028365,89.595772</t>
  </si>
  <si>
    <t xml:space="preserve">মাইদুল ইসলাম</t>
  </si>
  <si>
    <t xml:space="preserve">01767303240</t>
  </si>
  <si>
    <t xml:space="preserve">আজোয়াটারী</t>
  </si>
  <si>
    <t xml:space="preserve">25.970314,89.596947</t>
  </si>
  <si>
    <t xml:space="preserve">জেসমিন নাহার</t>
  </si>
  <si>
    <t xml:space="preserve">01303822185</t>
  </si>
  <si>
    <t xml:space="preserve">মোঃ সহিদুল ইসলাম</t>
  </si>
  <si>
    <t xml:space="preserve">০১৭২২৬১৪৪৪৯</t>
  </si>
  <si>
    <t xml:space="preserve">26.00905,89.608414</t>
  </si>
  <si>
    <t xml:space="preserve">01740612090</t>
  </si>
  <si>
    <t xml:space="preserve">শ্যামপুর</t>
  </si>
  <si>
    <t xml:space="preserve">25.977554,89.612916</t>
  </si>
  <si>
    <t xml:space="preserve">01734061761</t>
  </si>
  <si>
    <t xml:space="preserve">25.960482,89.601669</t>
  </si>
  <si>
    <t xml:space="preserve">01701514253</t>
  </si>
  <si>
    <t xml:space="preserve">26.030509,89.601877</t>
  </si>
  <si>
    <t xml:space="preserve">01707990490</t>
  </si>
  <si>
    <t xml:space="preserve">25.975087,89.695265</t>
  </si>
  <si>
    <t xml:space="preserve">মিনা বেগম</t>
  </si>
  <si>
    <t xml:space="preserve">01719709042</t>
  </si>
  <si>
    <t xml:space="preserve">26.009057,89.608408</t>
  </si>
  <si>
    <t xml:space="preserve">01735439511</t>
  </si>
  <si>
    <t xml:space="preserve">ধর্মপুর</t>
  </si>
  <si>
    <t xml:space="preserve">26.004429,89.599831</t>
  </si>
  <si>
    <t xml:space="preserve">আরজু বেগম</t>
  </si>
  <si>
    <t xml:space="preserve">01742004230</t>
  </si>
  <si>
    <t xml:space="preserve">25.9781947,89.6170419</t>
  </si>
  <si>
    <t xml:space="preserve">শাবনুর খাতুন</t>
  </si>
  <si>
    <t xml:space="preserve">01798979898</t>
  </si>
  <si>
    <t xml:space="preserve">25.95805,89.607905</t>
  </si>
  <si>
    <t xml:space="preserve">01773424206</t>
  </si>
  <si>
    <t xml:space="preserve">25.959035,89.610127</t>
  </si>
  <si>
    <t xml:space="preserve">খাইরুল হক</t>
  </si>
  <si>
    <t xml:space="preserve">01717779373</t>
  </si>
  <si>
    <t xml:space="preserve">25.9591178,89.60675</t>
  </si>
  <si>
    <t xml:space="preserve">01740970836</t>
  </si>
  <si>
    <t xml:space="preserve">25.950307,89.607895</t>
  </si>
  <si>
    <t xml:space="preserve">ছামবিয়া বেগম</t>
  </si>
  <si>
    <t xml:space="preserve">01733888642</t>
  </si>
  <si>
    <t xml:space="preserve">25.959027,89.606806</t>
  </si>
  <si>
    <t xml:space="preserve">আশরাফুল হক</t>
  </si>
  <si>
    <t xml:space="preserve">01701385268</t>
  </si>
  <si>
    <t xml:space="preserve">25.958887,89.60655</t>
  </si>
  <si>
    <t xml:space="preserve">01341299268</t>
  </si>
  <si>
    <t xml:space="preserve">25.958525,89.609778</t>
  </si>
  <si>
    <t xml:space="preserve">01715069965</t>
  </si>
  <si>
    <t xml:space="preserve">25.959002,89.609056</t>
  </si>
  <si>
    <t xml:space="preserve">বিলকিছ বেগম</t>
  </si>
  <si>
    <t xml:space="preserve">01737404709</t>
  </si>
  <si>
    <t xml:space="preserve">25.959126,89.607034</t>
  </si>
  <si>
    <t xml:space="preserve">জোবায়দুল হক</t>
  </si>
  <si>
    <t xml:space="preserve">01738345886</t>
  </si>
  <si>
    <t xml:space="preserve">25.964256,89.596589</t>
  </si>
  <si>
    <t xml:space="preserve">01793804276</t>
  </si>
  <si>
    <t xml:space="preserve">25.965096,89.595438</t>
  </si>
  <si>
    <t xml:space="preserve">একরামুল হক</t>
  </si>
  <si>
    <t xml:space="preserve">01750501509</t>
  </si>
  <si>
    <t xml:space="preserve">25.986748,89.59333</t>
  </si>
  <si>
    <t xml:space="preserve">আনু মিয়া</t>
  </si>
  <si>
    <t xml:space="preserve">01733861685</t>
  </si>
  <si>
    <t xml:space="preserve">মোঃ ইউসুফ আলী সাউদ</t>
  </si>
  <si>
    <t xml:space="preserve">০১৭১৪৮৬০৬০২</t>
  </si>
  <si>
    <t xml:space="preserve">25.985742,89.596291</t>
  </si>
  <si>
    <t xml:space="preserve">01707433900</t>
  </si>
  <si>
    <t xml:space="preserve">25.988272,89.59373</t>
  </si>
  <si>
    <t xml:space="preserve">সন্তোষ মোদক</t>
  </si>
  <si>
    <t xml:space="preserve">01750730798</t>
  </si>
  <si>
    <t xml:space="preserve">25.988673,89.590886</t>
  </si>
  <si>
    <t xml:space="preserve">আরমান আলী</t>
  </si>
  <si>
    <t xml:space="preserve">01303371208</t>
  </si>
  <si>
    <t xml:space="preserve">25.990828,89.587645</t>
  </si>
  <si>
    <t xml:space="preserve">01722465656</t>
  </si>
  <si>
    <t xml:space="preserve">25.988644,89.589894</t>
  </si>
  <si>
    <t xml:space="preserve">মোশারফ হোসেন</t>
  </si>
  <si>
    <t xml:space="preserve">01883751769</t>
  </si>
  <si>
    <t xml:space="preserve">25.988952,89.589824</t>
  </si>
  <si>
    <t xml:space="preserve">সাবিনা বেগম</t>
  </si>
  <si>
    <t xml:space="preserve">01737748997</t>
  </si>
  <si>
    <t xml:space="preserve">25.990824,89.58744</t>
  </si>
  <si>
    <t xml:space="preserve">সেতারা আক্তার</t>
  </si>
  <si>
    <t xml:space="preserve">01576549915</t>
  </si>
  <si>
    <t xml:space="preserve">25.989126,89.589659</t>
  </si>
  <si>
    <t xml:space="preserve">মিলন আহমেদ</t>
  </si>
  <si>
    <t xml:space="preserve">01740085493</t>
  </si>
  <si>
    <t xml:space="preserve">25.995259,89.588755</t>
  </si>
  <si>
    <t xml:space="preserve">মোফাজ্জল হোসেন</t>
  </si>
  <si>
    <t xml:space="preserve">01517181011</t>
  </si>
  <si>
    <t xml:space="preserve">25.978151,89.616401</t>
  </si>
  <si>
    <t xml:space="preserve">00146099290</t>
  </si>
  <si>
    <t xml:space="preserve">25.986196,89.608209</t>
  </si>
  <si>
    <t xml:space="preserve">খলিলুর রহমান</t>
  </si>
  <si>
    <t xml:space="preserve">01750285700</t>
  </si>
  <si>
    <t xml:space="preserve">25.989251,89.589686</t>
  </si>
  <si>
    <t xml:space="preserve">আউয়াল মিয়া</t>
  </si>
  <si>
    <t xml:space="preserve">01718297460</t>
  </si>
  <si>
    <t xml:space="preserve">26.005309,89.61396</t>
  </si>
  <si>
    <t xml:space="preserve">ছবিরা বেগম</t>
  </si>
  <si>
    <t xml:space="preserve">01750730795</t>
  </si>
  <si>
    <t xml:space="preserve">26.005808,89.607782</t>
  </si>
  <si>
    <t xml:space="preserve">00173283297</t>
  </si>
  <si>
    <t xml:space="preserve">25.976014,89.61294</t>
  </si>
  <si>
    <t xml:space="preserve">সেলিনা বেগম</t>
  </si>
  <si>
    <t xml:space="preserve">01729451618</t>
  </si>
  <si>
    <t xml:space="preserve">25.99352,89.593432</t>
  </si>
  <si>
    <t xml:space="preserve">01868201025</t>
  </si>
  <si>
    <t xml:space="preserve">জোবেদা বেগম</t>
  </si>
  <si>
    <t xml:space="preserve">01774143555</t>
  </si>
  <si>
    <t xml:space="preserve">25.988461,89.585351</t>
  </si>
  <si>
    <t xml:space="preserve">আবু বক্কর সিদ্দিক</t>
  </si>
  <si>
    <t xml:space="preserve">01743469810</t>
  </si>
  <si>
    <t xml:space="preserve">কোদাল ধোয়ার পাড়</t>
  </si>
  <si>
    <t xml:space="preserve">3 Aug 2026</t>
  </si>
  <si>
    <t xml:space="preserve">শ্রী লিটন চন্দ্র</t>
  </si>
  <si>
    <t xml:space="preserve">01773668967</t>
  </si>
  <si>
    <t xml:space="preserve">চকিদার পাড়া</t>
  </si>
  <si>
    <t xml:space="preserve">রমনা</t>
  </si>
  <si>
    <t xml:space="preserve">জাত নিম (ঔষধি) × 1</t>
  </si>
  <si>
    <t xml:space="preserve">25.559586,89.637663</t>
  </si>
  <si>
    <t xml:space="preserve">শাহেদুল ইসলাম</t>
  </si>
  <si>
    <t xml:space="preserve">01772306644</t>
  </si>
  <si>
    <t xml:space="preserve">মোঃ স্বপন মিয়া</t>
  </si>
  <si>
    <t xml:space="preserve">01751302104</t>
  </si>
  <si>
    <t xml:space="preserve">Md. Moniruzzaman</t>
  </si>
  <si>
    <t xml:space="preserve">25.63964,89.677043</t>
  </si>
  <si>
    <t xml:space="preserve">আরিফ</t>
  </si>
  <si>
    <t xml:space="preserve">01744479250</t>
  </si>
  <si>
    <t xml:space="preserve">19 Jul 2026</t>
  </si>
  <si>
    <t xml:space="preserve">25.6033,89.769748</t>
  </si>
  <si>
    <t xml:space="preserve">মোছাঃ রেজিয়া আক্তার</t>
  </si>
  <si>
    <t xml:space="preserve">01744611331</t>
  </si>
  <si>
    <t xml:space="preserve">খামার.বজরা</t>
  </si>
  <si>
    <t xml:space="preserve">অন্যান্য (ফলদ) × 2</t>
  </si>
  <si>
    <t xml:space="preserve">01942642710</t>
  </si>
  <si>
    <t xml:space="preserve">মায়েদের ইসলাম</t>
  </si>
  <si>
    <t xml:space="preserve">01717294714</t>
  </si>
  <si>
    <t xml:space="preserve">অন্যান্য (অন্যান্য) × 2</t>
  </si>
  <si>
    <t xml:space="preserve">এনামুল হক</t>
  </si>
  <si>
    <t xml:space="preserve">01954190777</t>
  </si>
  <si>
    <t xml:space="preserve">উত্তর আপুয়ার খাতা</t>
  </si>
  <si>
    <t xml:space="preserve">25.71491,89.581778</t>
  </si>
  <si>
    <t xml:space="preserve">01736818015</t>
  </si>
  <si>
    <t xml:space="preserve">আপুয়ার খাতা</t>
  </si>
  <si>
    <t xml:space="preserve">30 Jul 2026</t>
  </si>
  <si>
    <t xml:space="preserve">25.718955,89.585497</t>
  </si>
  <si>
    <t xml:space="preserve">যতীন্দ্রনাথ রক্ষিত</t>
  </si>
  <si>
    <t xml:space="preserve">01724033815</t>
  </si>
  <si>
    <t xml:space="preserve">খোঁচাবাড়ী</t>
  </si>
  <si>
    <t xml:space="preserve">25.710588,89.585012</t>
  </si>
  <si>
    <t xml:space="preserve">শীষ আলী</t>
  </si>
  <si>
    <t xml:space="preserve">01710264542</t>
  </si>
  <si>
    <t xml:space="preserve">নাজমুল ইসলাম</t>
  </si>
  <si>
    <t xml:space="preserve">01946442978</t>
  </si>
  <si>
    <t xml:space="preserve">25.666529,89.616867</t>
  </si>
  <si>
    <t xml:space="preserve">25.69973,89.606709</t>
  </si>
  <si>
    <t xml:space="preserve">আকাশ</t>
  </si>
  <si>
    <t xml:space="preserve">01333172853</t>
  </si>
  <si>
    <t xml:space="preserve">সুবোধ চন্দ্র</t>
  </si>
  <si>
    <t xml:space="preserve">01724512490</t>
  </si>
  <si>
    <t xml:space="preserve">25.720579,89.586443</t>
  </si>
  <si>
    <t xml:space="preserve">01744600155</t>
  </si>
  <si>
    <t xml:space="preserve">25.71894,89.586318</t>
  </si>
  <si>
    <t xml:space="preserve">নুরুন্নবী সরকার</t>
  </si>
  <si>
    <t xml:space="preserve">01725211130</t>
  </si>
  <si>
    <t xml:space="preserve">25.718953,89.586308</t>
  </si>
  <si>
    <t xml:space="preserve">ফারুক মিয়া</t>
  </si>
  <si>
    <t xml:space="preserve">01794000749</t>
  </si>
  <si>
    <t xml:space="preserve">25.71927,89.580795</t>
  </si>
  <si>
    <t xml:space="preserve">01780115858</t>
  </si>
  <si>
    <t xml:space="preserve">25.712033,89.587466</t>
  </si>
  <si>
    <t xml:space="preserve">মকবুল হোসেন</t>
  </si>
  <si>
    <t xml:space="preserve">01750418513</t>
  </si>
  <si>
    <t xml:space="preserve">25.717213,89.587051</t>
  </si>
  <si>
    <t xml:space="preserve">01793958385</t>
  </si>
  <si>
    <t xml:space="preserve">25.711803,89.577305</t>
  </si>
  <si>
    <t xml:space="preserve">মাহমুদুল হাসান</t>
  </si>
  <si>
    <t xml:space="preserve">01723086346</t>
  </si>
  <si>
    <t xml:space="preserve">25.714915,89.581782</t>
  </si>
  <si>
    <t xml:space="preserve">01744384048</t>
  </si>
  <si>
    <t xml:space="preserve">কিসামত বানু</t>
  </si>
  <si>
    <t xml:space="preserve">আম,জাম কাঁঠাল (ফলদ) × 3</t>
  </si>
  <si>
    <t xml:space="preserve">25.59438,89.65494</t>
  </si>
  <si>
    <t xml:space="preserve">মোঃ ঈমান আলী</t>
  </si>
  <si>
    <t xml:space="preserve">01778858739</t>
  </si>
  <si>
    <t xml:space="preserve">মোঃ আলমগীর বাদশা</t>
  </si>
  <si>
    <t xml:space="preserve">01716409456</t>
  </si>
  <si>
    <t xml:space="preserve">দফাদার পাড়া</t>
  </si>
  <si>
    <t xml:space="preserve">25.595819,89.651587</t>
  </si>
  <si>
    <t xml:space="preserve">01993545470</t>
  </si>
  <si>
    <t xml:space="preserve">25.599635,89.64722</t>
  </si>
  <si>
    <t xml:space="preserve">17 Jul 2026</t>
  </si>
  <si>
    <t xml:space="preserve">25.188995,90.407138</t>
  </si>
  <si>
    <t xml:space="preserve">মাহফুজার বিনতে সরকার</t>
  </si>
  <si>
    <t xml:space="preserve">01717243129</t>
  </si>
  <si>
    <t xml:space="preserve">সরদার পাড়া</t>
  </si>
  <si>
    <t xml:space="preserve">25.62174,89.683596</t>
  </si>
  <si>
    <t xml:space="preserve">মোঃ মঞ্জিল হক</t>
  </si>
  <si>
    <t xml:space="preserve">01959477456</t>
  </si>
  <si>
    <t xml:space="preserve">মোঃ সানাউল ইসলাম</t>
  </si>
  <si>
    <t xml:space="preserve">01723998344</t>
  </si>
  <si>
    <t xml:space="preserve">নালারপাড়</t>
  </si>
  <si>
    <t xml:space="preserve">4 Aug 2026</t>
  </si>
  <si>
    <t xml:space="preserve">25.187408,90.409919</t>
  </si>
  <si>
    <t xml:space="preserve">হায়েনা বেগম</t>
  </si>
  <si>
    <t xml:space="preserve">01722209079</t>
  </si>
  <si>
    <t xml:space="preserve">25.602608,89.651932</t>
  </si>
  <si>
    <t xml:space="preserve">হরতকি,জাতনিম (ঔষধি) × 2</t>
  </si>
  <si>
    <t xml:space="preserve">25.621622,89.683496</t>
  </si>
  <si>
    <t xml:space="preserve">শ্রী অমল চন্দ্র বর্মন</t>
  </si>
  <si>
    <t xml:space="preserve">01788096700</t>
  </si>
  <si>
    <t xml:space="preserve">শাখাহাতী</t>
  </si>
  <si>
    <t xml:space="preserve">জাম,আম,কাঠাল,নিম,মেহগনি (ফলদ) × 3</t>
  </si>
  <si>
    <t xml:space="preserve">25.513424,89.717875</t>
  </si>
  <si>
    <t xml:space="preserve">মোছাঃরাশিদা বেগম</t>
  </si>
  <si>
    <t xml:space="preserve">01736163031</t>
  </si>
  <si>
    <t xml:space="preserve">হোসনে আরা মোছাঃ মোহসিনা নেগম</t>
  </si>
  <si>
    <t xml:space="preserve">01722341441</t>
  </si>
  <si>
    <t xml:space="preserve">25.607452,89.651921</t>
  </si>
  <si>
    <t xml:space="preserve">01744452758</t>
  </si>
  <si>
    <t xml:space="preserve">জাম,মেহগনি,আম,নিম,কাঠাল (ফলদ) × 5</t>
  </si>
  <si>
    <t xml:space="preserve">25.508205,89.715951</t>
  </si>
  <si>
    <t xml:space="preserve">হুসাইন মুহাম্মদ মেহেদী</t>
  </si>
  <si>
    <t xml:space="preserve">01976661095</t>
  </si>
  <si>
    <t xml:space="preserve">হোসনে আরা মোছাঃ মোহসিনা বেগম</t>
  </si>
  <si>
    <t xml:space="preserve">কনক চন্দ রায়</t>
  </si>
  <si>
    <t xml:space="preserve">অর্জুন,জাতনিম (ঔষধি) × 2</t>
  </si>
  <si>
    <t xml:space="preserve">01980793032</t>
  </si>
  <si>
    <t xml:space="preserve">ময়নার খামার</t>
  </si>
  <si>
    <t xml:space="preserve">01751373953</t>
  </si>
  <si>
    <t xml:space="preserve">আকাশমনি (বনজ) × 1</t>
  </si>
  <si>
    <t xml:space="preserve">আরিফুর রহমান</t>
  </si>
  <si>
    <t xml:space="preserve">01926488178</t>
  </si>
  <si>
    <t xml:space="preserve">জাম,আম,কাঠাল, নিম,,মেহগমি (ফলদ) × 5</t>
  </si>
  <si>
    <t xml:space="preserve">25.542362,89.721703</t>
  </si>
  <si>
    <t xml:space="preserve">01866571745</t>
  </si>
  <si>
    <t xml:space="preserve">কাঁঠাল,নিম,মেহগনি (ফলদ) × 3</t>
  </si>
  <si>
    <t xml:space="preserve">15 Aug 2026</t>
  </si>
  <si>
    <t xml:space="preserve">25.519763,89.705121</t>
  </si>
  <si>
    <t xml:space="preserve">মোছাঃলিপি বেগম</t>
  </si>
  <si>
    <t xml:space="preserve">01977882390</t>
  </si>
  <si>
    <t xml:space="preserve">দারুদ আমান</t>
  </si>
  <si>
    <t xml:space="preserve">01759700704</t>
  </si>
  <si>
    <t xml:space="preserve">দক্ষিণ খামার</t>
  </si>
  <si>
    <t xml:space="preserve">জাত নিম,অর্জুন (ঔষধি) × 2</t>
  </si>
  <si>
    <t xml:space="preserve">25.621426,89.683446</t>
  </si>
  <si>
    <t xml:space="preserve">01752012189</t>
  </si>
  <si>
    <t xml:space="preserve">মুদাফত থানা</t>
  </si>
  <si>
    <t xml:space="preserve">কাঁঠাল (ফলদ) × 1</t>
  </si>
  <si>
    <t xml:space="preserve">25.564844,89.658504</t>
  </si>
  <si>
    <t xml:space="preserve">শাহা আলম রানা</t>
  </si>
  <si>
    <t xml:space="preserve">01723971494</t>
  </si>
  <si>
    <t xml:space="preserve">মোঃ আব্দুর রাজ্জাক</t>
  </si>
  <si>
    <t xml:space="preserve">01915997513</t>
  </si>
  <si>
    <t xml:space="preserve">কণক চন্দ্র রায়</t>
  </si>
  <si>
    <t xml:space="preserve">25.621571,89.683703</t>
  </si>
  <si>
    <t xml:space="preserve">01985677376</t>
  </si>
  <si>
    <t xml:space="preserve">মসজিদেরপাড়</t>
  </si>
  <si>
    <t xml:space="preserve">25.59481,89.665222</t>
  </si>
  <si>
    <t xml:space="preserve">মোছাঃ হাসিনা বেগম</t>
  </si>
  <si>
    <t xml:space="preserve">01933759513</t>
  </si>
  <si>
    <t xml:space="preserve">রতন কুমার সরকার</t>
  </si>
  <si>
    <t xml:space="preserve">01740440504</t>
  </si>
  <si>
    <t xml:space="preserve">25.594795,89.665242</t>
  </si>
  <si>
    <t xml:space="preserve">মোছাঃ রুমানা বেগম</t>
  </si>
  <si>
    <t xml:space="preserve">01947321358</t>
  </si>
  <si>
    <t xml:space="preserve">25.594706,89.665363</t>
  </si>
  <si>
    <t xml:space="preserve">মোছাঃ শুকরান বেগম</t>
  </si>
  <si>
    <t xml:space="preserve">01783617051</t>
  </si>
  <si>
    <t xml:space="preserve">25.63964,89.697028</t>
  </si>
  <si>
    <t xml:space="preserve">01346432879</t>
  </si>
  <si>
    <t xml:space="preserve">25.594726,89.665196</t>
  </si>
  <si>
    <t xml:space="preserve">মোছাঃ চেনভানু</t>
  </si>
  <si>
    <t xml:space="preserve">01796842350</t>
  </si>
  <si>
    <t xml:space="preserve">কড়াইবরিশাল</t>
  </si>
  <si>
    <t xml:space="preserve">পেয়ারা (অন্যান্য) × 1</t>
  </si>
  <si>
    <t xml:space="preserve">25.521825,89.708192</t>
  </si>
  <si>
    <t xml:space="preserve">মোঃ হফিজুর মিয়া</t>
  </si>
  <si>
    <t xml:space="preserve">01323544113</t>
  </si>
  <si>
    <t xml:space="preserve">Moshiur Rahman</t>
  </si>
  <si>
    <t xml:space="preserve">01751454032</t>
  </si>
  <si>
    <t xml:space="preserve">মোঃ আইনুল হক</t>
  </si>
  <si>
    <t xml:space="preserve">01322509691</t>
  </si>
  <si>
    <t xml:space="preserve">,আম,জাম,কাঠাল,নিম,মেহগনি (ফলদ) × 3</t>
  </si>
  <si>
    <t xml:space="preserve">25.542492,89.721542</t>
  </si>
  <si>
    <t xml:space="preserve">মোঃ সুজা মিয়া</t>
  </si>
  <si>
    <t xml:space="preserve">01836946752</t>
  </si>
  <si>
    <t xml:space="preserve">25.521577,89.707997</t>
  </si>
  <si>
    <t xml:space="preserve">01787365139</t>
  </si>
  <si>
    <t xml:space="preserve">আম জাম কাঠসল, নিম,মেহগনি (ফলদ) × 3</t>
  </si>
  <si>
    <t xml:space="preserve">25.627681,89.743676</t>
  </si>
  <si>
    <t xml:space="preserve">মোঃ হারুন উর রশিদ</t>
  </si>
  <si>
    <t xml:space="preserve">01822883277</t>
  </si>
  <si>
    <t xml:space="preserve">হোসমে আরা মোছাঃ মোহসিনা বেগম</t>
  </si>
  <si>
    <t xml:space="preserve">25.521652,89.708063</t>
  </si>
  <si>
    <t xml:space="preserve">উত্তর খামার</t>
  </si>
  <si>
    <t xml:space="preserve">25.603604,89.689957</t>
  </si>
  <si>
    <t xml:space="preserve">মোঃ সাওন মিয়া</t>
  </si>
  <si>
    <t xml:space="preserve">01335747406</t>
  </si>
  <si>
    <t xml:space="preserve">25.5215,89.70802</t>
  </si>
  <si>
    <t xml:space="preserve">মোঃ লাল মিয়া</t>
  </si>
  <si>
    <t xml:space="preserve">01602300371</t>
  </si>
  <si>
    <t xml:space="preserve">শিকারপাড়া</t>
  </si>
  <si>
    <t xml:space="preserve">25.598389,89.655358</t>
  </si>
  <si>
    <t xml:space="preserve">মোঃ আবু ওবায়দুল হক</t>
  </si>
  <si>
    <t xml:space="preserve">01767508068</t>
  </si>
  <si>
    <t xml:space="preserve">25.545171,89.721801</t>
  </si>
  <si>
    <t xml:space="preserve">মোঃ ফারুক  মিয়া</t>
  </si>
  <si>
    <t xml:space="preserve">01836122712</t>
  </si>
  <si>
    <t xml:space="preserve">01722814441</t>
  </si>
  <si>
    <t xml:space="preserve">বেলের ভিটা</t>
  </si>
  <si>
    <t xml:space="preserve">25.56184,89.659146</t>
  </si>
  <si>
    <t xml:space="preserve">রাহেনা বেওয়া</t>
  </si>
  <si>
    <t xml:space="preserve">01954725522</t>
  </si>
  <si>
    <t xml:space="preserve">মেহগনি (ঔষধি) × 1</t>
  </si>
  <si>
    <t xml:space="preserve">01837448353</t>
  </si>
  <si>
    <t xml:space="preserve">25.521592,89.712127</t>
  </si>
  <si>
    <t xml:space="preserve">মোঃ মনির জামান</t>
  </si>
  <si>
    <t xml:space="preserve">01762321994</t>
  </si>
  <si>
    <t xml:space="preserve">আনারুল ইসলাম</t>
  </si>
  <si>
    <t xml:space="preserve">01795264172</t>
  </si>
  <si>
    <t xml:space="preserve">মোখলেছুর রহমান</t>
  </si>
  <si>
    <t xml:space="preserve">মোছাঃ মাসুদ আরা বেগম</t>
  </si>
  <si>
    <t xml:space="preserve">01708058524</t>
  </si>
  <si>
    <t xml:space="preserve">জোদ্দার পাড়া</t>
  </si>
  <si>
    <t xml:space="preserve">19 Aug 2026</t>
  </si>
  <si>
    <t xml:space="preserve">25.518999,89.711013</t>
  </si>
  <si>
    <t xml:space="preserve">মোছাঃ ছালমা বেগম</t>
  </si>
  <si>
    <t xml:space="preserve">01924015329</t>
  </si>
  <si>
    <t xml:space="preserve">25.569971,89.658261</t>
  </si>
  <si>
    <t xml:space="preserve">মোঃ জোবাইর হোসেন</t>
  </si>
  <si>
    <t xml:space="preserve">01729915967</t>
  </si>
  <si>
    <t xml:space="preserve">বকুলতলা, সরকারি গ্রাম</t>
  </si>
  <si>
    <t xml:space="preserve">জাম (বনজ) × 1</t>
  </si>
  <si>
    <t xml:space="preserve">25.640303,89.671088</t>
  </si>
  <si>
    <t xml:space="preserve">জানকীরাম</t>
  </si>
  <si>
    <t xml:space="preserve">01627295480</t>
  </si>
  <si>
    <t xml:space="preserve">25.517877,89.710862</t>
  </si>
  <si>
    <t xml:space="preserve">আঞ্জুয়ারা বেগম</t>
  </si>
  <si>
    <t xml:space="preserve">01774388517</t>
  </si>
  <si>
    <t xml:space="preserve">25.575349,89.660845</t>
  </si>
  <si>
    <t xml:space="preserve">01856335536</t>
  </si>
  <si>
    <t xml:space="preserve">সরকারী গ্রাম</t>
  </si>
  <si>
    <t xml:space="preserve">25.62688,89.685394</t>
  </si>
  <si>
    <t xml:space="preserve">জরিনা</t>
  </si>
  <si>
    <t xml:space="preserve">01737729566</t>
  </si>
  <si>
    <t xml:space="preserve">বৈলমনদিয়ার খাতা</t>
  </si>
  <si>
    <t xml:space="preserve">25.534693,89.712167</t>
  </si>
  <si>
    <t xml:space="preserve">01894027296</t>
  </si>
  <si>
    <t xml:space="preserve">25.6338,89.70132</t>
  </si>
  <si>
    <t xml:space="preserve">01940696888</t>
  </si>
  <si>
    <t xml:space="preserve">20 Aug 2026</t>
  </si>
  <si>
    <t xml:space="preserve">25.535043,89.711947</t>
  </si>
  <si>
    <t xml:space="preserve">01323902653</t>
  </si>
  <si>
    <t xml:space="preserve">মোছা হেনা বেগম</t>
  </si>
  <si>
    <t xml:space="preserve">01735423388</t>
  </si>
  <si>
    <t xml:space="preserve">পশ্চিম ভাটিয়াপাড়া</t>
  </si>
  <si>
    <t xml:space="preserve">25.788114,89.689635</t>
  </si>
  <si>
    <t xml:space="preserve">মুসা মিয়া</t>
  </si>
  <si>
    <t xml:space="preserve">01617625557</t>
  </si>
  <si>
    <t xml:space="preserve">25.532363,89.71176</t>
  </si>
  <si>
    <t xml:space="preserve">মোছাঃ রাশেদা বেগম</t>
  </si>
  <si>
    <t xml:space="preserve">01333246417</t>
  </si>
  <si>
    <t xml:space="preserve">25.603726,89.7499</t>
  </si>
  <si>
    <t xml:space="preserve">মোছাঃ রহিমা বেগম</t>
  </si>
  <si>
    <t xml:space="preserve">01333172598</t>
  </si>
  <si>
    <t xml:space="preserve">মোছা মাহমুদা ইয়াসমিন</t>
  </si>
  <si>
    <t xml:space="preserve">01963572098</t>
  </si>
  <si>
    <t xml:space="preserve">25.533013,89.710475</t>
  </si>
  <si>
    <t xml:space="preserve">সোবহান</t>
  </si>
  <si>
    <t xml:space="preserve">01760378255</t>
  </si>
  <si>
    <t xml:space="preserve">25.532675,89.710439</t>
  </si>
  <si>
    <t xml:space="preserve">ছাহেরা বেগম</t>
  </si>
  <si>
    <t xml:space="preserve">01614548193</t>
  </si>
  <si>
    <t xml:space="preserve">মোঃ শাহাজালাল</t>
  </si>
  <si>
    <t xml:space="preserve">01880272933</t>
  </si>
  <si>
    <t xml:space="preserve">25.533561,89.710016</t>
  </si>
  <si>
    <t xml:space="preserve">আনজুয়ারা বেগম</t>
  </si>
  <si>
    <t xml:space="preserve">01760312289</t>
  </si>
  <si>
    <t xml:space="preserve">25.603779,89.749922</t>
  </si>
  <si>
    <t xml:space="preserve">মোছাঃ হামিদা বেগম</t>
  </si>
  <si>
    <t xml:space="preserve">01722215154</t>
  </si>
  <si>
    <t xml:space="preserve">জাতনিম (ঔষধি) × 1</t>
  </si>
  <si>
    <t xml:space="preserve">মোঃ আঃ ছবুর আরিফ</t>
  </si>
  <si>
    <t xml:space="preserve">01740949186</t>
  </si>
  <si>
    <t xml:space="preserve">মোঃ মোস্তাফিজার রহমান</t>
  </si>
  <si>
    <t xml:space="preserve">01850422327</t>
  </si>
  <si>
    <t xml:space="preserve">25.632687,89.669951</t>
  </si>
  <si>
    <t xml:space="preserve">হাফিজুর রহমান</t>
  </si>
  <si>
    <t xml:space="preserve">01737391175</t>
  </si>
  <si>
    <t xml:space="preserve">25.621983,89.683556</t>
  </si>
  <si>
    <t xml:space="preserve">01721948332</t>
  </si>
  <si>
    <t xml:space="preserve">ব্রুজের পাড়</t>
  </si>
  <si>
    <t xml:space="preserve">নিম (বনজ) × 1</t>
  </si>
  <si>
    <t xml:space="preserve">25.574866,89.748587</t>
  </si>
  <si>
    <t xml:space="preserve">01734386346</t>
  </si>
  <si>
    <t xml:space="preserve">25.577244,89.747944</t>
  </si>
  <si>
    <t xml:space="preserve">মহসিন আলী</t>
  </si>
  <si>
    <t xml:space="preserve">01953086574</t>
  </si>
  <si>
    <t xml:space="preserve">ডাটিয়ারচর</t>
  </si>
  <si>
    <t xml:space="preserve">অষ্টমীর চর</t>
  </si>
  <si>
    <t xml:space="preserve">25.534721,89.747972</t>
  </si>
  <si>
    <t xml:space="preserve">মোঃ নাছির উদ্দিন</t>
  </si>
  <si>
    <t xml:space="preserve">01783831487</t>
  </si>
  <si>
    <t xml:space="preserve">এস এম শাহেদ আকরাম</t>
  </si>
  <si>
    <t xml:space="preserve">01737170939</t>
  </si>
  <si>
    <t xml:space="preserve">কাশির ডাঙ্গা</t>
  </si>
  <si>
    <t xml:space="preserve">জগতবেড়</t>
  </si>
  <si>
    <t xml:space="preserve">পাটগ্রাম</t>
  </si>
  <si>
    <t xml:space="preserve">লালমনিরহাট</t>
  </si>
  <si>
    <t xml:space="preserve">জাম (ফলদ) × 2</t>
  </si>
  <si>
    <t xml:space="preserve">26.349469,89.019546</t>
  </si>
  <si>
    <t xml:space="preserve">মোঃ মোজাম্মেল হোসেন</t>
  </si>
  <si>
    <t xml:space="preserve">01750034695</t>
  </si>
  <si>
    <t xml:space="preserve">Abir Hasan</t>
  </si>
  <si>
    <t xml:space="preserve">01764877777</t>
  </si>
  <si>
    <t xml:space="preserve">কুড়িগ্রাম জেলার বাইরের উপজেলা; রোপণের তারিখ খালি; মনিটরিং অফিসার খালি</t>
  </si>
  <si>
    <t xml:space="preserve">রাজার ভিটা</t>
  </si>
  <si>
    <t xml:space="preserve">25.58464,89.676853</t>
  </si>
  <si>
    <t xml:space="preserve">মোঃ মজিদুল ইসলাম</t>
  </si>
  <si>
    <t xml:space="preserve">01620706104</t>
  </si>
  <si>
    <t xml:space="preserve">Mahfuzur Rahman</t>
  </si>
  <si>
    <t xml:space="preserve">01914354575</t>
  </si>
  <si>
    <t xml:space="preserve">25.584657,89.67682</t>
  </si>
  <si>
    <t xml:space="preserve">01971962884</t>
  </si>
  <si>
    <t xml:space="preserve">25.584666,89.676801</t>
  </si>
  <si>
    <t xml:space="preserve">আকরামুল ইসলাম</t>
  </si>
  <si>
    <t xml:space="preserve">01792813673</t>
  </si>
  <si>
    <t xml:space="preserve">সাতঘড়ি পাড়া</t>
  </si>
  <si>
    <t xml:space="preserve">লেবু (ফলদ) × 1</t>
  </si>
  <si>
    <t xml:space="preserve">25.663539,89.617111</t>
  </si>
  <si>
    <t xml:space="preserve">কাইয়ুম</t>
  </si>
  <si>
    <t xml:space="preserve">01797991427</t>
  </si>
  <si>
    <t xml:space="preserve">25.591674,89.712476</t>
  </si>
  <si>
    <t xml:space="preserve">01960876187</t>
  </si>
  <si>
    <t xml:space="preserve">আম,জাম,কাঠাল,নিম,মেহগনি (ফলদ) × 3</t>
  </si>
  <si>
    <t xml:space="preserve">25.540351,89.715439</t>
  </si>
  <si>
    <t xml:space="preserve">মোঃ আব্দুস ছালাম</t>
  </si>
  <si>
    <t xml:space="preserve">01818891702</t>
  </si>
  <si>
    <t xml:space="preserve">হোসমে আরা মোছাঃ মোহিসনা বেগম</t>
  </si>
  <si>
    <t xml:space="preserve">25.584732,89.677193</t>
  </si>
  <si>
    <t xml:space="preserve">মোঃ  নুরুল ইসলাম</t>
  </si>
  <si>
    <t xml:space="preserve">আম,জাম কাঠাল,নিম,মেহগনি (ফলদ) × 3</t>
  </si>
  <si>
    <t xml:space="preserve">25.535562,89.714547</t>
  </si>
  <si>
    <t xml:space="preserve">মোঃ ছক্কু</t>
  </si>
  <si>
    <t xml:space="preserve">01628908379</t>
  </si>
  <si>
    <t xml:space="preserve">মোঃমনিরুজ্জামান</t>
  </si>
  <si>
    <t xml:space="preserve">গয়নার পটল</t>
  </si>
  <si>
    <t xml:space="preserve">25.603604,89.749897</t>
  </si>
  <si>
    <t xml:space="preserve">মোঃ সাইবালী আলী</t>
  </si>
  <si>
    <t xml:space="preserve">01704215676</t>
  </si>
  <si>
    <t xml:space="preserve">25.541537,89.704399</t>
  </si>
  <si>
    <t xml:space="preserve">মোঃ ফিরোজ আলম</t>
  </si>
  <si>
    <t xml:space="preserve">01988946170</t>
  </si>
  <si>
    <t xml:space="preserve">01722341471</t>
  </si>
  <si>
    <t xml:space="preserve">মেঃমনিরুজ্জামান</t>
  </si>
  <si>
    <t xml:space="preserve">আম,জাম,,কাঠাল নিম,মেহগনি (ফলদ) × 3</t>
  </si>
  <si>
    <t xml:space="preserve">25.540389,89.716072</t>
  </si>
  <si>
    <t xml:space="preserve">মোঃদেলোয়ার হোসেন</t>
  </si>
  <si>
    <t xml:space="preserve">01739476106</t>
  </si>
  <si>
    <t xml:space="preserve">25.603803,89.769899</t>
  </si>
  <si>
    <t xml:space="preserve">মোঃ তছের আলী</t>
  </si>
  <si>
    <t xml:space="preserve">01300501847</t>
  </si>
  <si>
    <t xml:space="preserve">25.574136,89.662473</t>
  </si>
  <si>
    <t xml:space="preserve">01954582166</t>
  </si>
  <si>
    <t xml:space="preserve">আব্দুর রাজ্জাক</t>
  </si>
  <si>
    <t xml:space="preserve">ছালিপাড়া</t>
  </si>
  <si>
    <t xml:space="preserve">অষ্টমীরচর</t>
  </si>
  <si>
    <t xml:space="preserve">25.530665,89.74649</t>
  </si>
  <si>
    <t xml:space="preserve">01742722062</t>
  </si>
  <si>
    <t xml:space="preserve">25.539486,89.715064</t>
  </si>
  <si>
    <t xml:space="preserve">মোঃহাবিবুর রহমান</t>
  </si>
  <si>
    <t xml:space="preserve">01846881804</t>
  </si>
  <si>
    <t xml:space="preserve">হোসনে আরা মোছাঃ মোহসিনা রেগম</t>
  </si>
  <si>
    <t xml:space="preserve">25.255301,89.313878</t>
  </si>
  <si>
    <t xml:space="preserve">01401770017</t>
  </si>
  <si>
    <t xml:space="preserve">6 Aug 2026</t>
  </si>
  <si>
    <t xml:space="preserve">25.535994,89.74665</t>
  </si>
  <si>
    <t xml:space="preserve">মোঃ সাহেব আলী</t>
  </si>
  <si>
    <t xml:space="preserve">01734799337</t>
  </si>
  <si>
    <t xml:space="preserve">25.585777,89.756348</t>
  </si>
  <si>
    <t xml:space="preserve">মোছাঃ ফিরোজা আক্তার</t>
  </si>
  <si>
    <t xml:space="preserve">01705893614</t>
  </si>
  <si>
    <t xml:space="preserve">25.539087,89.715589</t>
  </si>
  <si>
    <t xml:space="preserve">মোঃসুজম মিয়া</t>
  </si>
  <si>
    <t xml:space="preserve">01965733667</t>
  </si>
  <si>
    <t xml:space="preserve">25.572883,89.664214</t>
  </si>
  <si>
    <t xml:space="preserve">01728859970</t>
  </si>
  <si>
    <t xml:space="preserve">আম জাম,কাঠাল,নিম মেহগনি (ফলদ) × 3</t>
  </si>
  <si>
    <t xml:space="preserve">25.538028,89.715123</t>
  </si>
  <si>
    <t xml:space="preserve">মোছাঃ সেলিনা বেগম</t>
  </si>
  <si>
    <t xml:space="preserve">01643495804</t>
  </si>
  <si>
    <t xml:space="preserve">যোগনীদহ</t>
  </si>
  <si>
    <t xml:space="preserve">25.515909,89.739686</t>
  </si>
  <si>
    <t xml:space="preserve">রাশেদুল ইসলাম</t>
  </si>
  <si>
    <t xml:space="preserve">01786313123</t>
  </si>
  <si>
    <t xml:space="preserve">25.572463,89.667351</t>
  </si>
  <si>
    <t xml:space="preserve">মোঃ আজাদ মিয়া</t>
  </si>
  <si>
    <t xml:space="preserve">01987324521</t>
  </si>
  <si>
    <t xml:space="preserve">ছাট কাগজিপাড়া</t>
  </si>
  <si>
    <t xml:space="preserve">25.66615,89.617037</t>
  </si>
  <si>
    <t xml:space="preserve">রুমকি আক্তার</t>
  </si>
  <si>
    <t xml:space="preserve">01300178764</t>
  </si>
  <si>
    <t xml:space="preserve">শাখসহাতী</t>
  </si>
  <si>
    <t xml:space="preserve">চিলমাটর</t>
  </si>
  <si>
    <t xml:space="preserve">আম জাম,কাঠাল,নিম,মেহগনি (ফলদ) × 3</t>
  </si>
  <si>
    <t xml:space="preserve">25.537878,89.714439</t>
  </si>
  <si>
    <t xml:space="preserve">01988336979</t>
  </si>
  <si>
    <t xml:space="preserve">মোঃ মনিরুজ্জসমান</t>
  </si>
  <si>
    <t xml:space="preserve">বড়ঁবাক</t>
  </si>
  <si>
    <t xml:space="preserve">25.58599,89.756541</t>
  </si>
  <si>
    <t xml:space="preserve">01902326696</t>
  </si>
  <si>
    <t xml:space="preserve">25.569305,89.665446</t>
  </si>
  <si>
    <t xml:space="preserve">মোছাঃ মিনারা বেগম</t>
  </si>
  <si>
    <t xml:space="preserve">01774040881</t>
  </si>
  <si>
    <t xml:space="preserve">ফকিরেরকুটি</t>
  </si>
  <si>
    <t xml:space="preserve">25.59132,89.655537</t>
  </si>
  <si>
    <t xml:space="preserve">শিরিনা খাতুন</t>
  </si>
  <si>
    <t xml:space="preserve">01790451439</t>
  </si>
  <si>
    <t xml:space="preserve">25.592815,89.655795</t>
  </si>
  <si>
    <t xml:space="preserve">বিউটি বেগম</t>
  </si>
  <si>
    <t xml:space="preserve">01788946501</t>
  </si>
  <si>
    <t xml:space="preserve">25.592837,89.655776</t>
  </si>
  <si>
    <t xml:space="preserve">01952091039</t>
  </si>
  <si>
    <t xml:space="preserve">25.592785,89.65546</t>
  </si>
  <si>
    <t xml:space="preserve">আনারুল হক</t>
  </si>
  <si>
    <t xml:space="preserve">01961264927</t>
  </si>
  <si>
    <t xml:space="preserve">25.591297,89.655588</t>
  </si>
  <si>
    <t xml:space="preserve">আজিজা বেগম</t>
  </si>
  <si>
    <t xml:space="preserve">01407553230</t>
  </si>
  <si>
    <t xml:space="preserve">25.566789,89.662301</t>
  </si>
  <si>
    <t xml:space="preserve">01718837168</t>
  </si>
  <si>
    <t xml:space="preserve">25.563063,89.666755</t>
  </si>
  <si>
    <t xml:space="preserve">মোঃ মন্জু মিয়া</t>
  </si>
  <si>
    <t xml:space="preserve">01721220378</t>
  </si>
  <si>
    <t xml:space="preserve">দঃ কড়াইবরিশাল</t>
  </si>
  <si>
    <t xml:space="preserve">25.512011,89.707135</t>
  </si>
  <si>
    <t xml:space="preserve">মোঃ কিনু মিয়া</t>
  </si>
  <si>
    <t xml:space="preserve">01710049592</t>
  </si>
  <si>
    <t xml:space="preserve">25.511853,89.707136</t>
  </si>
  <si>
    <t xml:space="preserve">25.512704,89.706792</t>
  </si>
  <si>
    <t xml:space="preserve">মোঃ মনজু মিয়া</t>
  </si>
  <si>
    <t xml:space="preserve">01727407836</t>
  </si>
  <si>
    <t xml:space="preserve">25.562973,89.69305</t>
  </si>
  <si>
    <t xml:space="preserve">মোছাঃ ফুলজান বেগম</t>
  </si>
  <si>
    <t xml:space="preserve">01777685348</t>
  </si>
  <si>
    <t xml:space="preserve">সোনারীপাড়া</t>
  </si>
  <si>
    <t xml:space="preserve">25.602388,89.66809</t>
  </si>
  <si>
    <t xml:space="preserve">রেজিয়া সুলতানা</t>
  </si>
  <si>
    <t xml:space="preserve">01735883990</t>
  </si>
  <si>
    <t xml:space="preserve">25.512328,89.706789</t>
  </si>
  <si>
    <t xml:space="preserve">সাহাদত হোসেন</t>
  </si>
  <si>
    <t xml:space="preserve">01740621553</t>
  </si>
  <si>
    <t xml:space="preserve">25.603874,89.662734</t>
  </si>
  <si>
    <t xml:space="preserve">সহিদুল ইসলাম</t>
  </si>
  <si>
    <t xml:space="preserve">01925490253</t>
  </si>
  <si>
    <t xml:space="preserve">25.514403,89.705247</t>
  </si>
  <si>
    <t xml:space="preserve">01853313868</t>
  </si>
  <si>
    <t xml:space="preserve">25.586212,89.756477</t>
  </si>
  <si>
    <t xml:space="preserve">01929764191</t>
  </si>
  <si>
    <t xml:space="preserve">25.514371,89.705129</t>
  </si>
  <si>
    <t xml:space="preserve">সাহাদুল ইসলাম</t>
  </si>
  <si>
    <t xml:space="preserve">01875298581</t>
  </si>
  <si>
    <t xml:space="preserve">এবারতেরগ্রাম</t>
  </si>
  <si>
    <t xml:space="preserve">25.598855,89.671912</t>
  </si>
  <si>
    <t xml:space="preserve">মোঃ রাশিদুল ইসলাম</t>
  </si>
  <si>
    <t xml:space="preserve">01914608776</t>
  </si>
  <si>
    <t xml:space="preserve">25.599393,89.67233</t>
  </si>
  <si>
    <t xml:space="preserve">লাল মিয়া</t>
  </si>
  <si>
    <t xml:space="preserve">01734302876</t>
  </si>
  <si>
    <t xml:space="preserve">চার বড় ভিটা</t>
  </si>
  <si>
    <t xml:space="preserve">25.604495,89.708045</t>
  </si>
  <si>
    <t xml:space="preserve">মোঃ সারোয়ার হোসেন</t>
  </si>
  <si>
    <t xml:space="preserve">01728368356</t>
  </si>
  <si>
    <t xml:space="preserve">25.609596,89.71015</t>
  </si>
  <si>
    <t xml:space="preserve">মোঃ বাদশা মিয়া</t>
  </si>
  <si>
    <t xml:space="preserve">01706849739</t>
  </si>
  <si>
    <t xml:space="preserve">25.62139,89.679528</t>
  </si>
  <si>
    <t xml:space="preserve">মোছা সেলিনা আক্তার খুশি</t>
  </si>
  <si>
    <t xml:space="preserve">01306968744</t>
  </si>
  <si>
    <t xml:space="preserve">মোছাঃ আকলিমা বেগম</t>
  </si>
  <si>
    <t xml:space="preserve">01955009573</t>
  </si>
  <si>
    <t xml:space="preserve">মোছাঃরত্না বেগম</t>
  </si>
  <si>
    <t xml:space="preserve">01934155403</t>
  </si>
  <si>
    <t xml:space="preserve">মেহগনি (বনজ) × 11</t>
  </si>
  <si>
    <t xml:space="preserve">25.585586,89.676448</t>
  </si>
  <si>
    <t xml:space="preserve">মোছা রাহেনা খাতুন</t>
  </si>
  <si>
    <t xml:space="preserve">01334761079</t>
  </si>
  <si>
    <t xml:space="preserve">বহরেরভিটা</t>
  </si>
  <si>
    <t xml:space="preserve">25.594652,89.671211</t>
  </si>
  <si>
    <t xml:space="preserve">মোজাফফর হোসেন</t>
  </si>
  <si>
    <t xml:space="preserve">01767153957</t>
  </si>
  <si>
    <t xml:space="preserve">25.594735,89.671194</t>
  </si>
  <si>
    <t xml:space="preserve">মোকছেদ আলী</t>
  </si>
  <si>
    <t xml:space="preserve">01971410691</t>
  </si>
  <si>
    <t xml:space="preserve">25.637832,89.6891</t>
  </si>
  <si>
    <t xml:space="preserve">01748976978</t>
  </si>
  <si>
    <t xml:space="preserve">01719753691</t>
  </si>
  <si>
    <t xml:space="preserve">কনক চন্দ্র  রায়</t>
  </si>
  <si>
    <t xml:space="preserve">22 Aug 2026</t>
  </si>
  <si>
    <t xml:space="preserve">25.638562,89.689778</t>
  </si>
  <si>
    <t xml:space="preserve">মোঃ রাজা মিয়া</t>
  </si>
  <si>
    <t xml:space="preserve">01938644327</t>
  </si>
  <si>
    <t xml:space="preserve">কুটির গ্রাম</t>
  </si>
  <si>
    <t xml:space="preserve">25.648166,89.689164</t>
  </si>
  <si>
    <t xml:space="preserve">01723585144</t>
  </si>
  <si>
    <t xml:space="preserve">বাগানবাড়ি</t>
  </si>
  <si>
    <t xml:space="preserve">25.64583,89.69264</t>
  </si>
  <si>
    <t xml:space="preserve">01782918338</t>
  </si>
  <si>
    <t xml:space="preserve">ফকিরপাড়া</t>
  </si>
  <si>
    <t xml:space="preserve">কাঠাল (ফলদ) × 1</t>
  </si>
  <si>
    <t xml:space="preserve">25.537577,90.615331</t>
  </si>
  <si>
    <t xml:space="preserve">মোঃ মকবুল হোসেন</t>
  </si>
  <si>
    <t xml:space="preserve">01750532513</t>
  </si>
  <si>
    <t xml:space="preserve">জকরীটারী</t>
  </si>
  <si>
    <t xml:space="preserve">25.642208,89.692039</t>
  </si>
  <si>
    <t xml:space="preserve">01788111750</t>
  </si>
  <si>
    <t xml:space="preserve">25.6423,89.693391</t>
  </si>
  <si>
    <t xml:space="preserve">01745112905</t>
  </si>
  <si>
    <t xml:space="preserve">25.601682,89.669461</t>
  </si>
  <si>
    <t xml:space="preserve">আব্দুর রহিম লিটন</t>
  </si>
  <si>
    <t xml:space="preserve">01786381869</t>
  </si>
  <si>
    <t xml:space="preserve">25.603896,89.671</t>
  </si>
  <si>
    <t xml:space="preserve">মোঃ শহিদুল হাসান</t>
  </si>
  <si>
    <t xml:space="preserve">01788059568</t>
  </si>
  <si>
    <t xml:space="preserve">রমনা সরকার বাড়ি</t>
  </si>
  <si>
    <t xml:space="preserve">25.57655,89.676717</t>
  </si>
  <si>
    <t xml:space="preserve">আবু জেয়াদ আজাদ</t>
  </si>
  <si>
    <t xml:space="preserve">1718864684</t>
  </si>
  <si>
    <t xml:space="preserve">1915997513</t>
  </si>
  <si>
    <t xml:space="preserve">উত্তর রমনা</t>
  </si>
  <si>
    <t xml:space="preserve">25.581471,89.670997</t>
  </si>
  <si>
    <t xml:space="preserve">জোবাইদুল ইসলাম</t>
  </si>
  <si>
    <t xml:space="preserve">1725917278</t>
  </si>
  <si>
    <t xml:space="preserve">25.581464,89.67104</t>
  </si>
  <si>
    <t xml:space="preserve">মোহাম্মদ আলী</t>
  </si>
  <si>
    <t xml:space="preserve">1727500881</t>
  </si>
  <si>
    <t xml:space="preserve">25.581481,89.67104</t>
  </si>
  <si>
    <t xml:space="preserve">আবদার হোসেন</t>
  </si>
  <si>
    <t xml:space="preserve">1923543046</t>
  </si>
  <si>
    <t xml:space="preserve">বড়বাঁক</t>
  </si>
  <si>
    <t xml:space="preserve">25.6038519,89.7499859</t>
  </si>
  <si>
    <t xml:space="preserve">মোছাঃ হাজেরা বেগম</t>
  </si>
  <si>
    <t xml:space="preserve">1306737267</t>
  </si>
  <si>
    <t xml:space="preserve">1723072951</t>
  </si>
  <si>
    <t xml:space="preserve">সিরিয়াল নম্বর অনুপস্থিত; রোপণের তারিখ খালি; মনিটরিং অফিসার খালি</t>
  </si>
  <si>
    <t xml:space="preserve">পূর্ব বজরা</t>
  </si>
  <si>
    <t xml:space="preserve">25.6576577,89.6306177</t>
  </si>
  <si>
    <t xml:space="preserve">1983860159</t>
  </si>
  <si>
    <t xml:space="preserve">Md. Anwar Hosein</t>
  </si>
  <si>
    <t xml:space="preserve">1738687750</t>
  </si>
  <si>
    <t xml:space="preserve">সিরিয়াল নম্বর অনুপস্থিত; মনিটরিং অফিসার খালি</t>
  </si>
  <si>
    <t xml:space="preserve">সর্বমোট (1329টি এন্ট্রি)</t>
  </si>
  <si>
    <t xml:space="preserve">নোট ১: এই শীটটি গুগল শিটের "17_column_report" ট্যাব থেকে সংগৃহীত ১,৩২৯টি এন্ট্রির সম্পূর্ণ হালনাগাদ সংস্করণ।</t>
  </si>
  <si>
    <t xml:space="preserve">নোট ২: ডাটা মান যাচাই (কলাম S) — প্রতিটি সমস্যাযুক্ত এন্ট্রি চিহ্নিত করা হয়েছে। সমস্যার ধরন: সিরিয়াল নম্বর অনুপস্থিত, উপজেলা খালি, জেলার বাইরের উপজেলা, জিও-কোঅর্ডিনেট ত্রুটি, রোপণের তারিখ খালি ও মনিটরিং অফিসার খালি।</t>
  </si>
  <si>
    <t xml:space="preserve">নোট ৩: কিছু এন্ট্রিতে রোপণের তারিখ বা জিও-কোঅর্ডিনেট ফরম্যাট মূল ফাইলে ফাঁকা/ত্রুটিপূর্ণ ছিল — সেগুলো সংশ্লিষ্ট ইউনিয়ন/উপজেলা থেকে ভেরিফাই করা প্রয়োজন।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</si>
</sst>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টি&quot;"/>
    <numFmt numFmtId="166" formatCode="#,##0"/>
    <numFmt numFmtId="167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C8E6C9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sz val="10"/>
      <color rgb="FF757575"/>
      <name val="Arial"/>
      <family val="0"/>
      <charset val="1"/>
    </font>
    <font>
      <sz val="9"/>
      <color rgb="FF75757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8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9A825"/>
        <bgColor rgb="FFFFCC00"/>
      </patternFill>
    </fill>
    <fill>
      <patternFill patternType="solid">
        <fgColor rgb="FF1565C0"/>
        <bgColor rgb="FF008080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5E2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C0504D"/>
      <rgbColor rgb="FFFFF3E0"/>
      <rgbColor rgb="FFE8F5E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9A825"/>
      <rgbColor rgb="FFFF6600"/>
      <rgbColor rgb="FF8064A2"/>
      <rgbColor rgb="FFB3B3B3"/>
      <rgbColor rgb="FF003366"/>
      <rgbColor rgb="FF2E7D32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উপজেলাভিত্তিক সম্মিলিত রোপণকৃত গাছ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সারসংক্ষেপ!H10</c:f>
              <c:strCache>
                <c:ptCount val="1"/>
                <c:pt idx="0">
                  <c:v>সম্মিলিত
গাছ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সারসংক্ষেপ!$B$11:$B$20</c:f>
              <c:strCache>
                <c:ptCount val="10"/>
                <c:pt idx="0">
                  <c:v>ভূরুঙ্গামারী</c:v>
                </c:pt>
                <c:pt idx="1">
                  <c:v>চর রাজিবপুর</c:v>
                </c:pt>
                <c:pt idx="2">
                  <c:v>ফুলবাড়ী</c:v>
                </c:pt>
                <c:pt idx="3">
                  <c:v>উলিপুর</c:v>
                </c:pt>
                <c:pt idx="4">
                  <c:v>চিলমারী</c:v>
                </c:pt>
                <c:pt idx="5">
                  <c:v>কুড়িগ্রাম সদর</c:v>
                </c:pt>
                <c:pt idx="6">
                  <c:v>রৌমারী</c:v>
                </c:pt>
                <c:pt idx="7">
                  <c:v>নাগেশ্বরী</c:v>
                </c:pt>
                <c:pt idx="8">
                  <c:v>রাজারহাট</c:v>
                </c:pt>
                <c:pt idx="9">
                  <c:v>অন্যান্য (জেলার বাইরে/অজ্ঞাত)</c:v>
                </c:pt>
              </c:strCache>
            </c:strRef>
          </c:cat>
          <c:val>
            <c:numRef>
              <c:f>সারসংক্ষেপ!$H$11:$H$20</c:f>
              <c:numCache>
                <c:formatCode>#,##0</c:formatCode>
                <c:ptCount val="10"/>
                <c:pt idx="0">
                  <c:v>4488</c:v>
                </c:pt>
                <c:pt idx="1">
                  <c:v>2628</c:v>
                </c:pt>
                <c:pt idx="2">
                  <c:v>2298</c:v>
                </c:pt>
                <c:pt idx="3">
                  <c:v>2123</c:v>
                </c:pt>
                <c:pt idx="4">
                  <c:v>1024</c:v>
                </c:pt>
                <c:pt idx="5">
                  <c:v>682</c:v>
                </c:pt>
                <c:pt idx="6">
                  <c:v>988</c:v>
                </c:pt>
                <c:pt idx="7">
                  <c:v>598</c:v>
                </c:pt>
                <c:pt idx="8">
                  <c:v>553</c:v>
                </c:pt>
                <c:pt idx="9">
                  <c:v>30</c:v>
                </c:pt>
              </c:numCache>
            </c:numRef>
          </c:val>
        </c:ser>
        <c:gapWidth val="150"/>
        <c:overlap val="0"/>
        <c:axId val="56730716"/>
        <c:axId val="34197568"/>
      </c:barChart>
      <c:catAx>
        <c:axId val="56730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উপজেলা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97568"/>
        <c:crosses val="autoZero"/>
        <c:auto val="1"/>
        <c:lblAlgn val="ctr"/>
        <c:lblOffset val="100"/>
        <c:noMultiLvlLbl val="0"/>
      </c:catAx>
      <c:valAx>
        <c:axId val="341975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গাছের সংখ্যা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30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১৭-কলাম প্রতিবেদনে ক্যাটাগরি অনুপাত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সারসংক্ষেপ!$B$51:$B$55</c:f>
              <c:strCache>
                <c:ptCount val="5"/>
                <c:pt idx="0">
                  <c:v>মিশ্র প্যাকেজ</c:v>
                </c:pt>
                <c:pt idx="1">
                  <c:v>ফলদ</c:v>
                </c:pt>
                <c:pt idx="2">
                  <c:v>ঔষধি</c:v>
                </c:pt>
                <c:pt idx="3">
                  <c:v>বনজ</c:v>
                </c:pt>
                <c:pt idx="4">
                  <c:v>অন্যান্য</c:v>
                </c:pt>
              </c:strCache>
            </c:strRef>
          </c:cat>
          <c:val>
            <c:numRef>
              <c:f>সারসংক্ষেপ!$E$51:$E$55</c:f>
              <c:numCache>
                <c:formatCode>#,##0</c:formatCode>
                <c:ptCount val="5"/>
                <c:pt idx="0">
                  <c:v>3058</c:v>
                </c:pt>
                <c:pt idx="1">
                  <c:v>7320</c:v>
                </c:pt>
                <c:pt idx="2">
                  <c:v>408</c:v>
                </c:pt>
                <c:pt idx="3">
                  <c:v>286</c:v>
                </c:pt>
                <c:pt idx="4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6</xdr:col>
      <xdr:colOff>903240</xdr:colOff>
      <xdr:row>29</xdr:row>
      <xdr:rowOff>105840</xdr:rowOff>
    </xdr:to>
    <xdr:graphicFrame>
      <xdr:nvGraphicFramePr>
        <xdr:cNvPr id="0" name="Chart 1"/>
        <xdr:cNvGraphicFramePr/>
      </xdr:nvGraphicFramePr>
      <xdr:xfrm>
        <a:off x="211320" y="4962600"/>
        <a:ext cx="6119280" cy="14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48</xdr:row>
      <xdr:rowOff>0</xdr:rowOff>
    </xdr:from>
    <xdr:to>
      <xdr:col>10</xdr:col>
      <xdr:colOff>347400</xdr:colOff>
      <xdr:row>61</xdr:row>
      <xdr:rowOff>164520</xdr:rowOff>
    </xdr:to>
    <xdr:graphicFrame>
      <xdr:nvGraphicFramePr>
        <xdr:cNvPr id="1" name="Chart 2"/>
        <xdr:cNvGraphicFramePr/>
      </xdr:nvGraphicFramePr>
      <xdr:xfrm>
        <a:off x="4511160" y="106394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8" min="3" style="1" width="13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3" customFormat="false" ht="15.75" hidden="false" customHeight="true" outlineLevel="0" collapsed="false">
      <c r="B3" s="4" t="s">
        <v>2</v>
      </c>
      <c r="C3" s="4"/>
      <c r="D3" s="4"/>
      <c r="E3" s="4"/>
      <c r="F3" s="4"/>
      <c r="G3" s="4"/>
      <c r="H3" s="4"/>
    </row>
    <row r="5" customFormat="false" ht="18" hidden="false" customHeight="true" outlineLevel="0" collapsed="false">
      <c r="B5" s="5" t="s">
        <v>3</v>
      </c>
      <c r="C5" s="5"/>
      <c r="D5" s="5"/>
      <c r="E5" s="6" t="s">
        <v>4</v>
      </c>
      <c r="F5" s="6"/>
      <c r="G5" s="7" t="s">
        <v>5</v>
      </c>
      <c r="H5" s="7"/>
    </row>
    <row r="6" customFormat="false" ht="24" hidden="false" customHeight="true" outlineLevel="0" collapsed="false">
      <c r="B6" s="8" t="n">
        <f aca="false">COUNTA(মূল_ডাটা!A2:A947)+COUNTA(১৭_কলাম_প্রতিবেদন!$R$5:$R$1333)</f>
        <v>2275</v>
      </c>
      <c r="C6" s="8"/>
      <c r="D6" s="8"/>
      <c r="E6" s="9" t="n">
        <f aca="false">SUM(মূল_ডাটা!E2:E947)+SUM(১৭_কলাম_প্রতিবেদন!$H$5:$H$1333)</f>
        <v>15412</v>
      </c>
      <c r="F6" s="9"/>
      <c r="G6" s="10" t="s">
        <v>6</v>
      </c>
      <c r="H6" s="10"/>
    </row>
    <row r="7" customFormat="false" ht="13.5" hidden="false" customHeight="true" outlineLevel="0" collapsed="false">
      <c r="B7" s="11" t="s">
        <v>7</v>
      </c>
      <c r="C7" s="11"/>
      <c r="D7" s="11"/>
      <c r="E7" s="12"/>
      <c r="F7" s="12"/>
      <c r="G7" s="13"/>
      <c r="H7" s="13"/>
    </row>
    <row r="9" customFormat="false" ht="19.5" hidden="false" customHeight="true" outlineLevel="0" collapsed="false">
      <c r="B9" s="14" t="s">
        <v>8</v>
      </c>
      <c r="C9" s="14"/>
      <c r="D9" s="14"/>
      <c r="E9" s="14"/>
      <c r="F9" s="14"/>
      <c r="G9" s="14"/>
      <c r="H9" s="14"/>
    </row>
    <row r="10" customFormat="false" ht="30" hidden="false" customHeight="true" outlineLevel="0" collapsed="false">
      <c r="B10" s="15" t="s">
        <v>9</v>
      </c>
      <c r="C10" s="15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5" t="s">
        <v>15</v>
      </c>
    </row>
    <row r="11" customFormat="false" ht="15" hidden="false" customHeight="true" outlineLevel="0" collapsed="false">
      <c r="B11" s="16" t="s">
        <v>16</v>
      </c>
      <c r="C11" s="17" t="n">
        <f aca="false">COUNTIF(মূল_ডাটা!$C$2:$C$947,$B11)</f>
        <v>410</v>
      </c>
      <c r="D11" s="17" t="n">
        <f aca="false">SUMIF(মূল_ডাটা!$C$2:$C$947,$B11,মূল_ডাটা!$E$2:$E$947)</f>
        <v>2050</v>
      </c>
      <c r="E11" s="17" t="n">
        <f aca="false">COUNTIF(১৭_কলাম_প্রতিবেদন!$E$5:$E$1333,$B11)</f>
        <v>412</v>
      </c>
      <c r="F11" s="17" t="n">
        <f aca="false">SUMIF(১৭_কলাম_প্রতিবেদন!$E$5:$E$1333,$B11,১৭_কলাম_প্রতিবেদন!$H$5:$H$1333)</f>
        <v>2438</v>
      </c>
      <c r="G11" s="17" t="n">
        <f aca="false">C11+E11</f>
        <v>822</v>
      </c>
      <c r="H11" s="17" t="n">
        <f aca="false">D11+F11</f>
        <v>4488</v>
      </c>
    </row>
    <row r="12" customFormat="false" ht="15" hidden="false" customHeight="true" outlineLevel="0" collapsed="false">
      <c r="B12" s="18" t="s">
        <v>17</v>
      </c>
      <c r="C12" s="19" t="n">
        <f aca="false">COUNTIF(মূল_ডাটা!$C$2:$C$947,$B12)</f>
        <v>223</v>
      </c>
      <c r="D12" s="19" t="n">
        <f aca="false">SUMIF(মূল_ডাটা!$C$2:$C$947,$B12,মূল_ডাটা!$E$2:$E$947)</f>
        <v>1115</v>
      </c>
      <c r="E12" s="19" t="n">
        <f aca="false">COUNTIF(১৭_কলাম_প্রতিবেদন!$E$5:$E$1333,$B12)</f>
        <v>197</v>
      </c>
      <c r="F12" s="19" t="n">
        <f aca="false">SUMIF(১৭_কলাম_প্রতিবেদন!$E$5:$E$1333,$B12,১৭_কলাম_প্রতিবেদন!$H$5:$H$1333)</f>
        <v>1513</v>
      </c>
      <c r="G12" s="19" t="n">
        <f aca="false">C12+E12</f>
        <v>420</v>
      </c>
      <c r="H12" s="19" t="n">
        <f aca="false">D12+F12</f>
        <v>2628</v>
      </c>
    </row>
    <row r="13" customFormat="false" ht="15" hidden="false" customHeight="true" outlineLevel="0" collapsed="false">
      <c r="B13" s="16" t="s">
        <v>18</v>
      </c>
      <c r="C13" s="17" t="n">
        <f aca="false">COUNTIF(মূল_ডাটা!$C$2:$C$947,$B13)</f>
        <v>60</v>
      </c>
      <c r="D13" s="17" t="n">
        <f aca="false">SUMIF(মূল_ডাটা!$C$2:$C$947,$B13,মূল_ডাটা!$E$2:$E$947)</f>
        <v>300</v>
      </c>
      <c r="E13" s="17" t="n">
        <f aca="false">COUNTIF(১৭_কলাম_প্রতিবেদন!$E$5:$E$1333,$B13)</f>
        <v>324</v>
      </c>
      <c r="F13" s="17" t="n">
        <f aca="false">SUMIF(১৭_কলাম_প্রতিবেদন!$E$5:$E$1333,$B13,১৭_কলাম_প্রতিবেদন!$H$5:$H$1333)</f>
        <v>1998</v>
      </c>
      <c r="G13" s="17" t="n">
        <f aca="false">C13+E13</f>
        <v>384</v>
      </c>
      <c r="H13" s="17" t="n">
        <f aca="false">D13+F13</f>
        <v>2298</v>
      </c>
    </row>
    <row r="14" customFormat="false" ht="15" hidden="false" customHeight="true" outlineLevel="0" collapsed="false">
      <c r="B14" s="18" t="s">
        <v>19</v>
      </c>
      <c r="C14" s="19" t="n">
        <f aca="false">COUNTIF(মূল_ডাটা!$C$2:$C$947,$B14)</f>
        <v>0</v>
      </c>
      <c r="D14" s="19" t="n">
        <f aca="false">SUMIF(মূল_ডাটা!$C$2:$C$947,$B14,মূল_ডাটা!$E$2:$E$947)</f>
        <v>0</v>
      </c>
      <c r="E14" s="19" t="n">
        <f aca="false">COUNTIF(১৭_কলাম_প্রতিবেদন!$E$5:$E$1333,$B14)</f>
        <v>176</v>
      </c>
      <c r="F14" s="19" t="n">
        <f aca="false">SUMIF(১৭_কলাম_প্রতিবেদন!$E$5:$E$1333,$B14,১৭_কলাম_প্রতিবেদন!$H$5:$H$1333)</f>
        <v>2123</v>
      </c>
      <c r="G14" s="19" t="n">
        <f aca="false">C14+E14</f>
        <v>176</v>
      </c>
      <c r="H14" s="19" t="n">
        <f aca="false">D14+F14</f>
        <v>2123</v>
      </c>
    </row>
    <row r="15" customFormat="false" ht="15" hidden="false" customHeight="true" outlineLevel="0" collapsed="false">
      <c r="B15" s="16" t="s">
        <v>20</v>
      </c>
      <c r="C15" s="17" t="n">
        <f aca="false">COUNTIF(মূল_ডাটা!$C$2:$C$947,$B15)</f>
        <v>0</v>
      </c>
      <c r="D15" s="17" t="n">
        <f aca="false">SUMIF(মূল_ডাটা!$C$2:$C$947,$B15,মূল_ডাটা!$E$2:$E$947)</f>
        <v>0</v>
      </c>
      <c r="E15" s="17" t="n">
        <f aca="false">COUNTIF(১৭_কলাম_প্রতিবেদন!$E$5:$E$1333,$B15)</f>
        <v>140</v>
      </c>
      <c r="F15" s="17" t="n">
        <f aca="false">SUMIF(১৭_কলাম_প্রতিবেদন!$E$5:$E$1333,$B15,১৭_কলাম_প্রতিবেদন!$H$5:$H$1333)</f>
        <v>1024</v>
      </c>
      <c r="G15" s="17" t="n">
        <f aca="false">C15+E15</f>
        <v>140</v>
      </c>
      <c r="H15" s="17" t="n">
        <f aca="false">D15+F15</f>
        <v>1024</v>
      </c>
    </row>
    <row r="16" customFormat="false" ht="15" hidden="false" customHeight="true" outlineLevel="0" collapsed="false">
      <c r="B16" s="18" t="s">
        <v>21</v>
      </c>
      <c r="C16" s="19" t="n">
        <f aca="false">COUNTIF(মূল_ডাটা!$C$2:$C$947,$B16)</f>
        <v>110</v>
      </c>
      <c r="D16" s="19" t="n">
        <f aca="false">SUMIF(মূল_ডাটা!$C$2:$C$947,$B16,মূল_ডাটা!$E$2:$E$947)</f>
        <v>150</v>
      </c>
      <c r="E16" s="19" t="n">
        <f aca="false">COUNTIF(১৭_কলাম_প্রতিবেদন!$E$5:$E$1333,$B16)</f>
        <v>16</v>
      </c>
      <c r="F16" s="19" t="n">
        <f aca="false">SUMIF(১৭_কলাম_প্রতিবেদন!$E$5:$E$1333,$B16,১৭_কলাম_প্রতিবেদন!$H$5:$H$1333)</f>
        <v>532</v>
      </c>
      <c r="G16" s="19" t="n">
        <f aca="false">C16+E16</f>
        <v>126</v>
      </c>
      <c r="H16" s="19" t="n">
        <f aca="false">D16+F16</f>
        <v>682</v>
      </c>
    </row>
    <row r="17" customFormat="false" ht="15" hidden="false" customHeight="true" outlineLevel="0" collapsed="false">
      <c r="B17" s="16" t="s">
        <v>22</v>
      </c>
      <c r="C17" s="17" t="n">
        <f aca="false">COUNTIF(মূল_ডাটা!$C$2:$C$947,$B17)</f>
        <v>72</v>
      </c>
      <c r="D17" s="17" t="n">
        <f aca="false">SUMIF(মূল_ডাটা!$C$2:$C$947,$B17,মূল_ডাটা!$E$2:$E$947)</f>
        <v>360</v>
      </c>
      <c r="E17" s="17" t="n">
        <f aca="false">COUNTIF(১৭_কলাম_প্রতিবেদন!$E$5:$E$1333,$B17)</f>
        <v>50</v>
      </c>
      <c r="F17" s="17" t="n">
        <f aca="false">SUMIF(১৭_কলাম_প্রতিবেদন!$E$5:$E$1333,$B17,১৭_কলাম_প্রতিবেদন!$H$5:$H$1333)</f>
        <v>628</v>
      </c>
      <c r="G17" s="17" t="n">
        <f aca="false">C17+E17</f>
        <v>122</v>
      </c>
      <c r="H17" s="17" t="n">
        <f aca="false">D17+F17</f>
        <v>988</v>
      </c>
    </row>
    <row r="18" customFormat="false" ht="15" hidden="false" customHeight="true" outlineLevel="0" collapsed="false">
      <c r="B18" s="18" t="s">
        <v>23</v>
      </c>
      <c r="C18" s="19" t="n">
        <f aca="false">COUNTIF(মূল_ডাটা!$C$2:$C$947,$B18)</f>
        <v>40</v>
      </c>
      <c r="D18" s="19" t="n">
        <f aca="false">SUMIF(মূল_ডাটা!$C$2:$C$947,$B18,মূল_ডাটা!$E$2:$E$947)</f>
        <v>200</v>
      </c>
      <c r="E18" s="19" t="n">
        <f aca="false">COUNTIF(১৭_কলাম_প্রতিবেদন!$E$5:$E$1333,$B18)</f>
        <v>4</v>
      </c>
      <c r="F18" s="19" t="n">
        <f aca="false">SUMIF(১৭_কলাম_প্রতিবেদন!$E$5:$E$1333,$B18,১৭_কলাম_প্রতিবেদন!$H$5:$H$1333)</f>
        <v>398</v>
      </c>
      <c r="G18" s="19" t="n">
        <f aca="false">C18+E18</f>
        <v>44</v>
      </c>
      <c r="H18" s="19" t="n">
        <f aca="false">D18+F18</f>
        <v>598</v>
      </c>
    </row>
    <row r="19" customFormat="false" ht="15" hidden="false" customHeight="true" outlineLevel="0" collapsed="false">
      <c r="B19" s="16" t="s">
        <v>24</v>
      </c>
      <c r="C19" s="17" t="n">
        <f aca="false">COUNTIF(মূল_ডাটা!$C$2:$C$947,$B19)</f>
        <v>31</v>
      </c>
      <c r="D19" s="17" t="n">
        <f aca="false">SUMIF(মূল_ডাটা!$C$2:$C$947,$B19,মূল_ডাটা!$E$2:$E$947)</f>
        <v>155</v>
      </c>
      <c r="E19" s="17" t="n">
        <f aca="false">COUNTIF(১৭_কলাম_প্রতিবেদন!$E$5:$E$1333,$B19)</f>
        <v>4</v>
      </c>
      <c r="F19" s="17" t="n">
        <f aca="false">SUMIF(১৭_কলাম_প্রতিবেদন!$E$5:$E$1333,$B19,১৭_কলাম_প্রতিবেদন!$H$5:$H$1333)</f>
        <v>398</v>
      </c>
      <c r="G19" s="17" t="n">
        <f aca="false">C19+E19</f>
        <v>35</v>
      </c>
      <c r="H19" s="17" t="n">
        <f aca="false">D19+F19</f>
        <v>553</v>
      </c>
    </row>
    <row r="20" customFormat="false" ht="15" hidden="false" customHeight="true" outlineLevel="0" collapsed="false">
      <c r="B20" s="20" t="s">
        <v>25</v>
      </c>
      <c r="C20" s="17" t="n">
        <v>0</v>
      </c>
      <c r="D20" s="17" t="n">
        <v>0</v>
      </c>
      <c r="E20" s="17" t="n">
        <f aca="false">COUNTIF(১৭_কলাম_প্রতিবেদন!$S$5:$S$1333,"*জেলার বাইরের*")+COUNTIF(১৭_কলাম_প্রতিবেদন!$S$5:$S$1333,"*উপজেলা খালি*")</f>
        <v>6</v>
      </c>
      <c r="F20" s="17" t="n">
        <f aca="false">SUMIF(১৭_কলাম_প্রতিবেদন!$S$5:$S$1333,"*জেলার বাইরের*",১৭_কলাম_প্রতিবেদন!$H$5:$H$1333)+SUMIF(১৭_কলাম_প্রতিবেদন!$S$5:$S$1333,"*উপজেলা খালি*",১৭_কলাম_প্রতিবেদন!$H$5:$H$1333)</f>
        <v>30</v>
      </c>
      <c r="G20" s="17" t="n">
        <f aca="false">C20+E20</f>
        <v>6</v>
      </c>
      <c r="H20" s="17" t="n">
        <f aca="false">D20+F20</f>
        <v>30</v>
      </c>
    </row>
    <row r="21" customFormat="false" ht="16.5" hidden="false" customHeight="true" outlineLevel="0" collapsed="false">
      <c r="B21" s="21" t="s">
        <v>26</v>
      </c>
      <c r="C21" s="22" t="n">
        <f aca="false">SUM(C11:C20)</f>
        <v>946</v>
      </c>
      <c r="D21" s="22" t="n">
        <f aca="false">SUM(D11:D20)</f>
        <v>4330</v>
      </c>
      <c r="E21" s="22" t="n">
        <f aca="false">SUM(E11:E20)</f>
        <v>1329</v>
      </c>
      <c r="F21" s="22" t="n">
        <f aca="false">SUM(F11:F20)</f>
        <v>11082</v>
      </c>
      <c r="G21" s="22" t="n">
        <f aca="false">SUM(G11:G20)</f>
        <v>2275</v>
      </c>
      <c r="H21" s="22" t="n">
        <f aca="false">SUM(H11:H20)</f>
        <v>15412</v>
      </c>
    </row>
    <row r="22" customFormat="false" ht="25.5" hidden="false" customHeight="true" outlineLevel="0" collapsed="false">
      <c r="B22" s="23" t="s">
        <v>27</v>
      </c>
      <c r="C22" s="23"/>
      <c r="D22" s="23"/>
      <c r="E22" s="23"/>
      <c r="F22" s="23"/>
      <c r="G22" s="23"/>
      <c r="H22" s="23"/>
    </row>
    <row r="40" customFormat="false" ht="19.5" hidden="false" customHeight="true" outlineLevel="0" collapsed="false">
      <c r="B40" s="14" t="s">
        <v>28</v>
      </c>
      <c r="C40" s="14"/>
      <c r="D40" s="14"/>
      <c r="E40" s="14"/>
      <c r="F40" s="14"/>
      <c r="G40" s="14"/>
      <c r="H40" s="14"/>
    </row>
    <row r="41" customFormat="false" ht="24" hidden="false" customHeight="true" outlineLevel="0" collapsed="false">
      <c r="B41" s="15" t="s">
        <v>29</v>
      </c>
      <c r="C41" s="15" t="s">
        <v>30</v>
      </c>
      <c r="D41" s="15" t="s">
        <v>31</v>
      </c>
      <c r="E41" s="15" t="s">
        <v>32</v>
      </c>
    </row>
    <row r="42" customFormat="false" ht="25.5" hidden="false" customHeight="true" outlineLevel="0" collapsed="false">
      <c r="B42" s="16" t="s">
        <v>33</v>
      </c>
      <c r="C42" s="17" t="n">
        <f aca="false">COUNTA(মূল_ডাটা!A2:A947)</f>
        <v>946</v>
      </c>
      <c r="D42" s="17" t="n">
        <f aca="false">SUM(মূল_ডাটা!E2:E947)</f>
        <v>4330</v>
      </c>
      <c r="E42" s="24" t="s">
        <v>34</v>
      </c>
    </row>
    <row r="43" customFormat="false" ht="25.5" hidden="false" customHeight="true" outlineLevel="0" collapsed="false">
      <c r="B43" s="18" t="s">
        <v>35</v>
      </c>
      <c r="C43" s="19" t="n">
        <f aca="false">COUNTA(১৭_কলাম_প্রতিবেদন!$R$5:$R$1333)</f>
        <v>1329</v>
      </c>
      <c r="D43" s="19" t="n">
        <f aca="false">SUM(১৭_কলাম_প্রতিবেদন!$H$5:$H$1333)</f>
        <v>11082</v>
      </c>
      <c r="E43" s="25" t="s">
        <v>36</v>
      </c>
    </row>
    <row r="44" customFormat="false" ht="19.5" hidden="false" customHeight="true" outlineLevel="0" collapsed="false">
      <c r="B44" s="26" t="s">
        <v>37</v>
      </c>
      <c r="C44" s="22" t="n">
        <f aca="false">C42+C43</f>
        <v>2275</v>
      </c>
      <c r="D44" s="22" t="n">
        <f aca="false">D42+D43</f>
        <v>15412</v>
      </c>
      <c r="E44" s="27" t="s">
        <v>38</v>
      </c>
    </row>
    <row r="45" customFormat="false" ht="21.75" hidden="false" customHeight="true" outlineLevel="0" collapsed="false">
      <c r="B45" s="23" t="s">
        <v>39</v>
      </c>
      <c r="C45" s="23"/>
      <c r="D45" s="23"/>
      <c r="E45" s="23"/>
      <c r="F45" s="23"/>
      <c r="G45" s="23"/>
      <c r="H45" s="23"/>
    </row>
    <row r="47" customFormat="false" ht="19.5" hidden="false" customHeight="true" outlineLevel="0" collapsed="false">
      <c r="B47" s="14" t="s">
        <v>40</v>
      </c>
      <c r="C47" s="14"/>
      <c r="D47" s="14"/>
      <c r="E47" s="14"/>
      <c r="F47" s="14"/>
      <c r="G47" s="14"/>
      <c r="H47" s="14"/>
    </row>
    <row r="48" customFormat="false" ht="21.75" hidden="false" customHeight="true" outlineLevel="0" collapsed="false">
      <c r="B48" s="15" t="s">
        <v>41</v>
      </c>
      <c r="C48" s="15" t="s">
        <v>42</v>
      </c>
      <c r="D48" s="15" t="s">
        <v>30</v>
      </c>
      <c r="E48" s="15" t="s">
        <v>43</v>
      </c>
    </row>
    <row r="49" customFormat="false" ht="15" hidden="false" customHeight="true" outlineLevel="0" collapsed="false">
      <c r="B49" s="16" t="s">
        <v>44</v>
      </c>
      <c r="C49" s="28" t="s">
        <v>45</v>
      </c>
      <c r="D49" s="17" t="n">
        <f aca="false">COUNTIF(মূল_ডাটা!$K$2:$K$947,"মিশ্র প্যাকেজ")</f>
        <v>846</v>
      </c>
      <c r="E49" s="17" t="n">
        <f aca="false">SUMIF(মূল_ডাটা!$K$2:$K$947,"মিশ্র প্যাকেজ",মূল_ডাটা!$E$2:$E$947)</f>
        <v>4230</v>
      </c>
    </row>
    <row r="50" customFormat="false" ht="15" hidden="false" customHeight="true" outlineLevel="0" collapsed="false">
      <c r="B50" s="18" t="s">
        <v>46</v>
      </c>
      <c r="C50" s="29" t="s">
        <v>45</v>
      </c>
      <c r="D50" s="19" t="n">
        <f aca="false">COUNTIF(মূল_ডাটা!$K$2:$K$947,"একক প্রজাতি")</f>
        <v>100</v>
      </c>
      <c r="E50" s="19" t="n">
        <f aca="false">SUMIF(মূল_ডাটা!$K$2:$K$947,"একক প্রজাতি",মূল_ডাটা!$E$2:$E$947)</f>
        <v>100</v>
      </c>
    </row>
    <row r="51" customFormat="false" ht="15" hidden="false" customHeight="true" outlineLevel="0" collapsed="false">
      <c r="B51" s="16" t="s">
        <v>44</v>
      </c>
      <c r="C51" s="28" t="s">
        <v>47</v>
      </c>
      <c r="D51" s="17" t="n">
        <f aca="false">COUNTIF(১৭_কলাম_প্রতিবেদন!$R$5:$R$1333,"মিশ্র প্যাকেজ")</f>
        <v>610</v>
      </c>
      <c r="E51" s="17" t="n">
        <f aca="false">SUMIF(১৭_কলাম_প্রতিবেদন!$R$5:$R$1333,"মিশ্র প্যাকেজ",১৭_কলাম_প্রতিবেদন!$H$5:$H$1333)</f>
        <v>3058</v>
      </c>
    </row>
    <row r="52" customFormat="false" ht="15" hidden="false" customHeight="true" outlineLevel="0" collapsed="false">
      <c r="B52" s="18" t="s">
        <v>48</v>
      </c>
      <c r="C52" s="29" t="s">
        <v>47</v>
      </c>
      <c r="D52" s="19" t="n">
        <f aca="false">COUNTIF(১৭_কলাম_প্রতিবেদন!$R$5:$R$1333,"ফলদ")</f>
        <v>563</v>
      </c>
      <c r="E52" s="19" t="n">
        <f aca="false">SUMIF(১৭_কলাম_প্রতিবেদন!$R$5:$R$1333,"ফলদ",১৭_কলাম_প্রতিবেদন!$H$5:$H$1333)</f>
        <v>7320</v>
      </c>
    </row>
    <row r="53" customFormat="false" ht="15" hidden="false" customHeight="true" outlineLevel="0" collapsed="false">
      <c r="B53" s="16" t="s">
        <v>49</v>
      </c>
      <c r="C53" s="28" t="s">
        <v>47</v>
      </c>
      <c r="D53" s="17" t="n">
        <f aca="false">COUNTIF(১৭_কলাম_প্রতিবেদন!$R$5:$R$1333,"ঔষধি")</f>
        <v>92</v>
      </c>
      <c r="E53" s="17" t="n">
        <f aca="false">SUMIF(১৭_কলাম_প্রতিবেদন!$R$5:$R$1333,"ঔষধি",১৭_কলাম_প্রতিবেদন!$H$5:$H$1333)</f>
        <v>408</v>
      </c>
    </row>
    <row r="54" customFormat="false" ht="15" hidden="false" customHeight="true" outlineLevel="0" collapsed="false">
      <c r="B54" s="18" t="s">
        <v>50</v>
      </c>
      <c r="C54" s="29" t="s">
        <v>47</v>
      </c>
      <c r="D54" s="19" t="n">
        <f aca="false">COUNTIF(১৭_কলাম_প্রতিবেদন!$R$5:$R$1333,"বনজ")</f>
        <v>62</v>
      </c>
      <c r="E54" s="19" t="n">
        <f aca="false">SUMIF(১৭_কলাম_প্রতিবেদন!$R$5:$R$1333,"বনজ",১৭_কলাম_প্রতিবেদন!$H$5:$H$1333)</f>
        <v>286</v>
      </c>
    </row>
    <row r="55" customFormat="false" ht="15" hidden="false" customHeight="true" outlineLevel="0" collapsed="false">
      <c r="B55" s="16" t="s">
        <v>51</v>
      </c>
      <c r="C55" s="28" t="s">
        <v>47</v>
      </c>
      <c r="D55" s="17" t="n">
        <f aca="false">COUNTIF(১৭_কলাম_প্রতিবেদন!$R$5:$R$1333,"অন্যান্য")</f>
        <v>2</v>
      </c>
      <c r="E55" s="17" t="n">
        <f aca="false">SUMIF(১৭_কলাম_প্রতিবেদন!$R$5:$R$1333,"অন্যান্য",১৭_কলাম_প্রতিবেদন!$H$5:$H$1333)</f>
        <v>10</v>
      </c>
    </row>
    <row r="56" customFormat="false" ht="16.5" hidden="false" customHeight="true" outlineLevel="0" collapsed="false">
      <c r="B56" s="26" t="s">
        <v>26</v>
      </c>
      <c r="C56" s="30"/>
      <c r="D56" s="22" t="n">
        <f aca="false">SUM(D49:D55)</f>
        <v>2275</v>
      </c>
      <c r="E56" s="22" t="n">
        <f aca="false">SUM(E49:E55)</f>
        <v>15412</v>
      </c>
    </row>
    <row r="58" customFormat="false" ht="19.5" hidden="false" customHeight="true" outlineLevel="0" collapsed="false">
      <c r="B58" s="14" t="s">
        <v>52</v>
      </c>
      <c r="C58" s="14"/>
      <c r="D58" s="14"/>
      <c r="E58" s="14"/>
      <c r="F58" s="14"/>
      <c r="G58" s="14"/>
      <c r="H58" s="14"/>
    </row>
    <row r="59" customFormat="false" ht="21.75" hidden="false" customHeight="true" outlineLevel="0" collapsed="false">
      <c r="B59" s="15" t="s">
        <v>53</v>
      </c>
      <c r="C59" s="15" t="s">
        <v>30</v>
      </c>
      <c r="D59" s="15" t="s">
        <v>54</v>
      </c>
      <c r="E59" s="15" t="s">
        <v>55</v>
      </c>
    </row>
    <row r="60" customFormat="false" ht="18" hidden="false" customHeight="true" outlineLevel="0" collapsed="false">
      <c r="B60" s="16" t="s">
        <v>56</v>
      </c>
      <c r="C60" s="17" t="n">
        <f aca="false">COUNTA(১৭_কলাম_প্রতিবেদন!$R$5:$R$1333)</f>
        <v>1329</v>
      </c>
      <c r="D60" s="28" t="s">
        <v>57</v>
      </c>
      <c r="E60" s="24" t="s">
        <v>58</v>
      </c>
    </row>
    <row r="61" customFormat="false" ht="18" hidden="false" customHeight="true" outlineLevel="0" collapsed="false">
      <c r="B61" s="18" t="s">
        <v>59</v>
      </c>
      <c r="C61" s="19" t="n">
        <f aca="false">COUNTIF(১৭_কলাম_প্রতিবেদন!$S$5:$S$1333,"*সিরিয়াল*")</f>
        <v>18</v>
      </c>
      <c r="D61" s="31" t="n">
        <f aca="false">IFERROR(C61/$C$60,0)</f>
        <v>0.0135440180586907</v>
      </c>
      <c r="E61" s="25" t="s">
        <v>60</v>
      </c>
    </row>
    <row r="62" customFormat="false" ht="18" hidden="false" customHeight="true" outlineLevel="0" collapsed="false">
      <c r="B62" s="16" t="s">
        <v>61</v>
      </c>
      <c r="C62" s="17" t="n">
        <f aca="false">COUNTIF(১৭_কলাম_প্রতিবেদন!$S$5:$S$1333,"*উপজেলা খালি*")</f>
        <v>4</v>
      </c>
      <c r="D62" s="32" t="n">
        <f aca="false">IFERROR(C62/$C$60,0)</f>
        <v>0.00300978179082017</v>
      </c>
      <c r="E62" s="24" t="s">
        <v>62</v>
      </c>
    </row>
    <row r="63" customFormat="false" ht="18" hidden="false" customHeight="true" outlineLevel="0" collapsed="false">
      <c r="B63" s="18" t="s">
        <v>63</v>
      </c>
      <c r="C63" s="19" t="n">
        <f aca="false">COUNTIF(১৭_কলাম_প্রতিবেদন!$S$5:$S$1333,"*জেলার বাইরের*")</f>
        <v>2</v>
      </c>
      <c r="D63" s="31" t="n">
        <f aca="false">IFERROR(C63/$C$60,0)</f>
        <v>0.00150489089541008</v>
      </c>
      <c r="E63" s="25" t="s">
        <v>64</v>
      </c>
    </row>
    <row r="64" customFormat="false" ht="18" hidden="false" customHeight="true" outlineLevel="0" collapsed="false">
      <c r="B64" s="16" t="s">
        <v>65</v>
      </c>
      <c r="C64" s="17" t="n">
        <f aca="false">COUNTIF(১৭_কলাম_প্রতিবেদন!$S$5:$S$1333,"*জিও-কোঅর্ডিনেট*")</f>
        <v>162</v>
      </c>
      <c r="D64" s="32" t="n">
        <f aca="false">IFERROR(C64/$C$60,0)</f>
        <v>0.121896162528217</v>
      </c>
      <c r="E64" s="24" t="s">
        <v>66</v>
      </c>
    </row>
    <row r="65" customFormat="false" ht="18" hidden="false" customHeight="true" outlineLevel="0" collapsed="false">
      <c r="B65" s="18" t="s">
        <v>67</v>
      </c>
      <c r="C65" s="19" t="n">
        <f aca="false">COUNTIF(১৭_কলাম_প্রতিবেদন!$S$5:$S$1333,"*তারিখ খালি*")</f>
        <v>664</v>
      </c>
      <c r="D65" s="31" t="n">
        <f aca="false">IFERROR(C65/$C$60,0)</f>
        <v>0.499623777276148</v>
      </c>
      <c r="E65" s="25" t="s">
        <v>68</v>
      </c>
    </row>
    <row r="66" customFormat="false" ht="18" hidden="false" customHeight="true" outlineLevel="0" collapsed="false">
      <c r="B66" s="16" t="s">
        <v>69</v>
      </c>
      <c r="C66" s="17" t="n">
        <f aca="false">COUNTIF(১৭_কলাম_প্রতিবেদন!$S$5:$S$1333,"*মনিটরিং*")</f>
        <v>171</v>
      </c>
      <c r="D66" s="32" t="n">
        <f aca="false">IFERROR(C66/$C$60,0)</f>
        <v>0.128668171557562</v>
      </c>
      <c r="E66" s="24" t="s">
        <v>70</v>
      </c>
    </row>
    <row r="67" customFormat="false" ht="19.5" hidden="false" customHeight="true" outlineLevel="0" collapsed="false">
      <c r="B67" s="26" t="s">
        <v>71</v>
      </c>
      <c r="C67" s="22" t="n">
        <f aca="false">COUNTIF(১৭_কলাম_প্রতিবেদন!$S$5:$S$1333,"?*")</f>
        <v>846</v>
      </c>
      <c r="D67" s="33" t="n">
        <f aca="false">IFERROR(C67/$C$60,0)</f>
        <v>0.636568848758465</v>
      </c>
      <c r="E67" s="27" t="s">
        <v>72</v>
      </c>
    </row>
    <row r="68" customFormat="false" ht="33.75" hidden="false" customHeight="true" outlineLevel="0" collapsed="false">
      <c r="B68" s="23" t="s">
        <v>73</v>
      </c>
      <c r="C68" s="23"/>
      <c r="D68" s="23"/>
      <c r="E68" s="23"/>
      <c r="F68" s="23"/>
      <c r="G68" s="23"/>
      <c r="H68" s="23"/>
    </row>
    <row r="69" customFormat="false" ht="25.5" hidden="false" customHeight="true" outlineLevel="0" collapsed="false">
      <c r="B69" s="23" t="s">
        <v>74</v>
      </c>
      <c r="C69" s="23"/>
      <c r="D69" s="23"/>
      <c r="E69" s="23"/>
      <c r="F69" s="23"/>
      <c r="G69" s="23"/>
      <c r="H69" s="23"/>
    </row>
  </sheetData>
  <mergeCells count="20">
    <mergeCell ref="B1:H1"/>
    <mergeCell ref="B2:H2"/>
    <mergeCell ref="B3:H3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9:H9"/>
    <mergeCell ref="B22:H22"/>
    <mergeCell ref="B40:H40"/>
    <mergeCell ref="B45:H45"/>
    <mergeCell ref="B47:H47"/>
    <mergeCell ref="B58:H58"/>
    <mergeCell ref="B68:H68"/>
    <mergeCell ref="B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9" min="7" style="1" width="26"/>
    <col collapsed="false" customWidth="true" hidden="false" outlineLevel="0" max="11" min="10" style="1" width="16"/>
  </cols>
  <sheetData>
    <row r="1" customFormat="false" ht="33.75" hidden="false" customHeight="true" outlineLevel="0" collapsed="false">
      <c r="A1" s="34" t="s">
        <v>75</v>
      </c>
      <c r="B1" s="34" t="s">
        <v>76</v>
      </c>
      <c r="C1" s="34" t="s">
        <v>77</v>
      </c>
      <c r="D1" s="34" t="s">
        <v>78</v>
      </c>
      <c r="E1" s="34" t="s">
        <v>79</v>
      </c>
      <c r="F1" s="34" t="s">
        <v>80</v>
      </c>
      <c r="G1" s="34" t="s">
        <v>81</v>
      </c>
      <c r="H1" s="34" t="s">
        <v>82</v>
      </c>
      <c r="I1" s="34" t="s">
        <v>83</v>
      </c>
      <c r="J1" s="34" t="s">
        <v>55</v>
      </c>
      <c r="K1" s="34" t="s">
        <v>84</v>
      </c>
    </row>
    <row r="2" customFormat="false" ht="15" hidden="false" customHeight="true" outlineLevel="0" collapsed="false">
      <c r="A2" s="35" t="n">
        <v>1</v>
      </c>
      <c r="B2" s="36" t="s">
        <v>85</v>
      </c>
      <c r="C2" s="35" t="s">
        <v>17</v>
      </c>
      <c r="D2" s="36" t="s">
        <v>86</v>
      </c>
      <c r="E2" s="37" t="n">
        <v>5</v>
      </c>
      <c r="F2" s="38" t="s">
        <v>87</v>
      </c>
      <c r="G2" s="38" t="s">
        <v>88</v>
      </c>
      <c r="H2" s="38" t="s">
        <v>89</v>
      </c>
      <c r="I2" s="38" t="s">
        <v>90</v>
      </c>
      <c r="J2" s="38"/>
      <c r="K2" s="35" t="s">
        <v>44</v>
      </c>
    </row>
    <row r="3" customFormat="false" ht="15" hidden="false" customHeight="true" outlineLevel="0" collapsed="false">
      <c r="A3" s="39" t="n">
        <v>2</v>
      </c>
      <c r="B3" s="40" t="s">
        <v>85</v>
      </c>
      <c r="C3" s="39" t="s">
        <v>17</v>
      </c>
      <c r="D3" s="40" t="s">
        <v>86</v>
      </c>
      <c r="E3" s="41" t="n">
        <v>5</v>
      </c>
      <c r="F3" s="42" t="s">
        <v>91</v>
      </c>
      <c r="G3" s="42" t="s">
        <v>92</v>
      </c>
      <c r="H3" s="42" t="s">
        <v>89</v>
      </c>
      <c r="I3" s="42" t="s">
        <v>90</v>
      </c>
      <c r="J3" s="42"/>
      <c r="K3" s="39" t="s">
        <v>44</v>
      </c>
    </row>
    <row r="4" customFormat="false" ht="15" hidden="false" customHeight="true" outlineLevel="0" collapsed="false">
      <c r="A4" s="35" t="n">
        <v>3</v>
      </c>
      <c r="B4" s="36" t="s">
        <v>85</v>
      </c>
      <c r="C4" s="35" t="s">
        <v>17</v>
      </c>
      <c r="D4" s="36" t="s">
        <v>86</v>
      </c>
      <c r="E4" s="37" t="n">
        <v>5</v>
      </c>
      <c r="F4" s="38" t="s">
        <v>93</v>
      </c>
      <c r="G4" s="38" t="s">
        <v>94</v>
      </c>
      <c r="H4" s="38" t="s">
        <v>89</v>
      </c>
      <c r="I4" s="38" t="s">
        <v>90</v>
      </c>
      <c r="J4" s="38"/>
      <c r="K4" s="35" t="s">
        <v>44</v>
      </c>
    </row>
    <row r="5" customFormat="false" ht="15" hidden="false" customHeight="true" outlineLevel="0" collapsed="false">
      <c r="A5" s="39" t="n">
        <v>4</v>
      </c>
      <c r="B5" s="40" t="s">
        <v>85</v>
      </c>
      <c r="C5" s="39" t="s">
        <v>17</v>
      </c>
      <c r="D5" s="40" t="s">
        <v>86</v>
      </c>
      <c r="E5" s="41" t="n">
        <v>5</v>
      </c>
      <c r="F5" s="42" t="s">
        <v>95</v>
      </c>
      <c r="G5" s="42" t="s">
        <v>96</v>
      </c>
      <c r="H5" s="42" t="s">
        <v>89</v>
      </c>
      <c r="I5" s="42" t="s">
        <v>90</v>
      </c>
      <c r="J5" s="42"/>
      <c r="K5" s="39" t="s">
        <v>44</v>
      </c>
    </row>
    <row r="6" customFormat="false" ht="15" hidden="false" customHeight="true" outlineLevel="0" collapsed="false">
      <c r="A6" s="35" t="n">
        <v>5</v>
      </c>
      <c r="B6" s="36" t="s">
        <v>85</v>
      </c>
      <c r="C6" s="35" t="s">
        <v>17</v>
      </c>
      <c r="D6" s="36" t="s">
        <v>86</v>
      </c>
      <c r="E6" s="37" t="n">
        <v>5</v>
      </c>
      <c r="F6" s="38" t="s">
        <v>97</v>
      </c>
      <c r="G6" s="38" t="s">
        <v>98</v>
      </c>
      <c r="H6" s="38" t="s">
        <v>89</v>
      </c>
      <c r="I6" s="38" t="s">
        <v>90</v>
      </c>
      <c r="J6" s="38"/>
      <c r="K6" s="35" t="s">
        <v>44</v>
      </c>
    </row>
    <row r="7" customFormat="false" ht="15" hidden="false" customHeight="true" outlineLevel="0" collapsed="false">
      <c r="A7" s="39" t="n">
        <v>6</v>
      </c>
      <c r="B7" s="40" t="s">
        <v>85</v>
      </c>
      <c r="C7" s="39" t="s">
        <v>17</v>
      </c>
      <c r="D7" s="40" t="s">
        <v>86</v>
      </c>
      <c r="E7" s="41" t="n">
        <v>5</v>
      </c>
      <c r="F7" s="42" t="s">
        <v>99</v>
      </c>
      <c r="G7" s="42" t="s">
        <v>100</v>
      </c>
      <c r="H7" s="42" t="s">
        <v>89</v>
      </c>
      <c r="I7" s="42" t="s">
        <v>90</v>
      </c>
      <c r="J7" s="42"/>
      <c r="K7" s="39" t="s">
        <v>44</v>
      </c>
    </row>
    <row r="8" customFormat="false" ht="15" hidden="false" customHeight="true" outlineLevel="0" collapsed="false">
      <c r="A8" s="35" t="n">
        <v>7</v>
      </c>
      <c r="B8" s="36" t="s">
        <v>85</v>
      </c>
      <c r="C8" s="35" t="s">
        <v>17</v>
      </c>
      <c r="D8" s="36" t="s">
        <v>86</v>
      </c>
      <c r="E8" s="37" t="n">
        <v>5</v>
      </c>
      <c r="F8" s="38" t="s">
        <v>101</v>
      </c>
      <c r="G8" s="38" t="s">
        <v>102</v>
      </c>
      <c r="H8" s="38" t="s">
        <v>89</v>
      </c>
      <c r="I8" s="38" t="s">
        <v>90</v>
      </c>
      <c r="J8" s="38"/>
      <c r="K8" s="35" t="s">
        <v>44</v>
      </c>
    </row>
    <row r="9" customFormat="false" ht="15" hidden="false" customHeight="true" outlineLevel="0" collapsed="false">
      <c r="A9" s="39" t="n">
        <v>8</v>
      </c>
      <c r="B9" s="40" t="s">
        <v>85</v>
      </c>
      <c r="C9" s="39" t="s">
        <v>17</v>
      </c>
      <c r="D9" s="40" t="s">
        <v>86</v>
      </c>
      <c r="E9" s="41" t="n">
        <v>5</v>
      </c>
      <c r="F9" s="42" t="s">
        <v>103</v>
      </c>
      <c r="G9" s="42" t="s">
        <v>104</v>
      </c>
      <c r="H9" s="42" t="s">
        <v>89</v>
      </c>
      <c r="I9" s="42" t="s">
        <v>90</v>
      </c>
      <c r="J9" s="42"/>
      <c r="K9" s="39" t="s">
        <v>44</v>
      </c>
    </row>
    <row r="10" customFormat="false" ht="15" hidden="false" customHeight="true" outlineLevel="0" collapsed="false">
      <c r="A10" s="35" t="n">
        <v>9</v>
      </c>
      <c r="B10" s="36" t="s">
        <v>85</v>
      </c>
      <c r="C10" s="35" t="s">
        <v>17</v>
      </c>
      <c r="D10" s="36" t="s">
        <v>86</v>
      </c>
      <c r="E10" s="37" t="n">
        <v>5</v>
      </c>
      <c r="F10" s="38" t="s">
        <v>105</v>
      </c>
      <c r="G10" s="38" t="s">
        <v>106</v>
      </c>
      <c r="H10" s="38" t="s">
        <v>89</v>
      </c>
      <c r="I10" s="38" t="s">
        <v>90</v>
      </c>
      <c r="J10" s="38"/>
      <c r="K10" s="35" t="s">
        <v>44</v>
      </c>
    </row>
    <row r="11" customFormat="false" ht="15" hidden="false" customHeight="true" outlineLevel="0" collapsed="false">
      <c r="A11" s="39" t="n">
        <v>10</v>
      </c>
      <c r="B11" s="40" t="s">
        <v>85</v>
      </c>
      <c r="C11" s="39" t="s">
        <v>17</v>
      </c>
      <c r="D11" s="40" t="s">
        <v>86</v>
      </c>
      <c r="E11" s="41" t="n">
        <v>5</v>
      </c>
      <c r="F11" s="42" t="s">
        <v>107</v>
      </c>
      <c r="G11" s="42" t="s">
        <v>108</v>
      </c>
      <c r="H11" s="42" t="s">
        <v>89</v>
      </c>
      <c r="I11" s="42" t="s">
        <v>90</v>
      </c>
      <c r="J11" s="42"/>
      <c r="K11" s="39" t="s">
        <v>44</v>
      </c>
    </row>
    <row r="12" customFormat="false" ht="15" hidden="false" customHeight="true" outlineLevel="0" collapsed="false">
      <c r="A12" s="35" t="n">
        <v>11</v>
      </c>
      <c r="B12" s="36" t="s">
        <v>109</v>
      </c>
      <c r="C12" s="35" t="s">
        <v>17</v>
      </c>
      <c r="D12" s="36" t="s">
        <v>86</v>
      </c>
      <c r="E12" s="37" t="n">
        <v>5</v>
      </c>
      <c r="F12" s="38" t="s">
        <v>110</v>
      </c>
      <c r="G12" s="38" t="s">
        <v>111</v>
      </c>
      <c r="H12" s="38" t="s">
        <v>89</v>
      </c>
      <c r="I12" s="38" t="s">
        <v>90</v>
      </c>
      <c r="J12" s="38"/>
      <c r="K12" s="35" t="s">
        <v>44</v>
      </c>
    </row>
    <row r="13" customFormat="false" ht="15" hidden="false" customHeight="true" outlineLevel="0" collapsed="false">
      <c r="A13" s="39" t="n">
        <v>12</v>
      </c>
      <c r="B13" s="40" t="s">
        <v>112</v>
      </c>
      <c r="C13" s="39" t="s">
        <v>17</v>
      </c>
      <c r="D13" s="40" t="s">
        <v>86</v>
      </c>
      <c r="E13" s="41" t="n">
        <v>5</v>
      </c>
      <c r="F13" s="42" t="s">
        <v>113</v>
      </c>
      <c r="G13" s="42" t="s">
        <v>114</v>
      </c>
      <c r="H13" s="42" t="s">
        <v>89</v>
      </c>
      <c r="I13" s="42" t="s">
        <v>90</v>
      </c>
      <c r="J13" s="42"/>
      <c r="K13" s="39" t="s">
        <v>44</v>
      </c>
    </row>
    <row r="14" customFormat="false" ht="15" hidden="false" customHeight="true" outlineLevel="0" collapsed="false">
      <c r="A14" s="35" t="n">
        <v>13</v>
      </c>
      <c r="B14" s="36" t="s">
        <v>109</v>
      </c>
      <c r="C14" s="35" t="s">
        <v>17</v>
      </c>
      <c r="D14" s="36" t="s">
        <v>86</v>
      </c>
      <c r="E14" s="37" t="n">
        <v>5</v>
      </c>
      <c r="F14" s="38" t="s">
        <v>115</v>
      </c>
      <c r="G14" s="38" t="s">
        <v>116</v>
      </c>
      <c r="H14" s="38" t="s">
        <v>89</v>
      </c>
      <c r="I14" s="38" t="s">
        <v>90</v>
      </c>
      <c r="J14" s="38"/>
      <c r="K14" s="35" t="s">
        <v>44</v>
      </c>
    </row>
    <row r="15" customFormat="false" ht="15" hidden="false" customHeight="true" outlineLevel="0" collapsed="false">
      <c r="A15" s="39" t="n">
        <v>14</v>
      </c>
      <c r="B15" s="40" t="s">
        <v>109</v>
      </c>
      <c r="C15" s="39" t="s">
        <v>17</v>
      </c>
      <c r="D15" s="40" t="s">
        <v>86</v>
      </c>
      <c r="E15" s="41" t="n">
        <v>5</v>
      </c>
      <c r="F15" s="42" t="s">
        <v>117</v>
      </c>
      <c r="G15" s="42" t="s">
        <v>118</v>
      </c>
      <c r="H15" s="42" t="s">
        <v>89</v>
      </c>
      <c r="I15" s="42" t="s">
        <v>90</v>
      </c>
      <c r="J15" s="42"/>
      <c r="K15" s="39" t="s">
        <v>44</v>
      </c>
    </row>
    <row r="16" customFormat="false" ht="15" hidden="false" customHeight="true" outlineLevel="0" collapsed="false">
      <c r="A16" s="35" t="n">
        <v>15</v>
      </c>
      <c r="B16" s="36" t="s">
        <v>109</v>
      </c>
      <c r="C16" s="35" t="s">
        <v>17</v>
      </c>
      <c r="D16" s="36" t="s">
        <v>86</v>
      </c>
      <c r="E16" s="37" t="n">
        <v>5</v>
      </c>
      <c r="F16" s="38" t="s">
        <v>119</v>
      </c>
      <c r="G16" s="38" t="s">
        <v>120</v>
      </c>
      <c r="H16" s="38" t="s">
        <v>89</v>
      </c>
      <c r="I16" s="38" t="s">
        <v>90</v>
      </c>
      <c r="J16" s="38"/>
      <c r="K16" s="35" t="s">
        <v>44</v>
      </c>
    </row>
    <row r="17" customFormat="false" ht="15" hidden="false" customHeight="true" outlineLevel="0" collapsed="false">
      <c r="A17" s="39" t="n">
        <v>16</v>
      </c>
      <c r="B17" s="40" t="s">
        <v>109</v>
      </c>
      <c r="C17" s="39" t="s">
        <v>17</v>
      </c>
      <c r="D17" s="40" t="s">
        <v>86</v>
      </c>
      <c r="E17" s="41" t="n">
        <v>5</v>
      </c>
      <c r="F17" s="42" t="s">
        <v>121</v>
      </c>
      <c r="G17" s="42" t="s">
        <v>122</v>
      </c>
      <c r="H17" s="42" t="s">
        <v>89</v>
      </c>
      <c r="I17" s="42" t="s">
        <v>90</v>
      </c>
      <c r="J17" s="42"/>
      <c r="K17" s="39" t="s">
        <v>44</v>
      </c>
    </row>
    <row r="18" customFormat="false" ht="15" hidden="false" customHeight="true" outlineLevel="0" collapsed="false">
      <c r="A18" s="35" t="n">
        <v>17</v>
      </c>
      <c r="B18" s="36" t="s">
        <v>112</v>
      </c>
      <c r="C18" s="35" t="s">
        <v>17</v>
      </c>
      <c r="D18" s="36" t="s">
        <v>86</v>
      </c>
      <c r="E18" s="37" t="n">
        <v>5</v>
      </c>
      <c r="F18" s="38" t="s">
        <v>119</v>
      </c>
      <c r="G18" s="38" t="s">
        <v>123</v>
      </c>
      <c r="H18" s="38" t="s">
        <v>89</v>
      </c>
      <c r="I18" s="38" t="s">
        <v>90</v>
      </c>
      <c r="J18" s="38"/>
      <c r="K18" s="35" t="s">
        <v>44</v>
      </c>
    </row>
    <row r="19" customFormat="false" ht="15" hidden="false" customHeight="true" outlineLevel="0" collapsed="false">
      <c r="A19" s="39" t="n">
        <v>18</v>
      </c>
      <c r="B19" s="40" t="s">
        <v>124</v>
      </c>
      <c r="C19" s="39" t="s">
        <v>17</v>
      </c>
      <c r="D19" s="40" t="s">
        <v>86</v>
      </c>
      <c r="E19" s="41" t="n">
        <v>5</v>
      </c>
      <c r="F19" s="42" t="s">
        <v>125</v>
      </c>
      <c r="G19" s="42" t="s">
        <v>126</v>
      </c>
      <c r="H19" s="42" t="s">
        <v>89</v>
      </c>
      <c r="I19" s="42" t="s">
        <v>90</v>
      </c>
      <c r="J19" s="42"/>
      <c r="K19" s="39" t="s">
        <v>44</v>
      </c>
    </row>
    <row r="20" customFormat="false" ht="15" hidden="false" customHeight="true" outlineLevel="0" collapsed="false">
      <c r="A20" s="35" t="n">
        <v>19</v>
      </c>
      <c r="B20" s="36" t="s">
        <v>127</v>
      </c>
      <c r="C20" s="35" t="s">
        <v>17</v>
      </c>
      <c r="D20" s="36" t="s">
        <v>86</v>
      </c>
      <c r="E20" s="37" t="n">
        <v>5</v>
      </c>
      <c r="F20" s="38" t="s">
        <v>128</v>
      </c>
      <c r="G20" s="38" t="s">
        <v>129</v>
      </c>
      <c r="H20" s="38" t="s">
        <v>89</v>
      </c>
      <c r="I20" s="38" t="s">
        <v>90</v>
      </c>
      <c r="J20" s="38"/>
      <c r="K20" s="35" t="s">
        <v>44</v>
      </c>
    </row>
    <row r="21" customFormat="false" ht="15" hidden="false" customHeight="true" outlineLevel="0" collapsed="false">
      <c r="A21" s="39" t="n">
        <v>20</v>
      </c>
      <c r="B21" s="40" t="s">
        <v>127</v>
      </c>
      <c r="C21" s="39" t="s">
        <v>17</v>
      </c>
      <c r="D21" s="40" t="s">
        <v>86</v>
      </c>
      <c r="E21" s="41" t="n">
        <v>5</v>
      </c>
      <c r="F21" s="42" t="s">
        <v>130</v>
      </c>
      <c r="G21" s="42" t="s">
        <v>131</v>
      </c>
      <c r="H21" s="42" t="s">
        <v>89</v>
      </c>
      <c r="I21" s="42" t="s">
        <v>90</v>
      </c>
      <c r="J21" s="42"/>
      <c r="K21" s="39" t="s">
        <v>44</v>
      </c>
    </row>
    <row r="22" customFormat="false" ht="15" hidden="false" customHeight="true" outlineLevel="0" collapsed="false">
      <c r="A22" s="35" t="n">
        <v>21</v>
      </c>
      <c r="B22" s="36" t="s">
        <v>127</v>
      </c>
      <c r="C22" s="35" t="s">
        <v>17</v>
      </c>
      <c r="D22" s="36" t="s">
        <v>86</v>
      </c>
      <c r="E22" s="37" t="n">
        <v>5</v>
      </c>
      <c r="F22" s="38" t="s">
        <v>132</v>
      </c>
      <c r="G22" s="38" t="s">
        <v>133</v>
      </c>
      <c r="H22" s="38" t="s">
        <v>89</v>
      </c>
      <c r="I22" s="38" t="s">
        <v>90</v>
      </c>
      <c r="J22" s="38"/>
      <c r="K22" s="35" t="s">
        <v>44</v>
      </c>
    </row>
    <row r="23" customFormat="false" ht="15" hidden="false" customHeight="true" outlineLevel="0" collapsed="false">
      <c r="A23" s="39" t="n">
        <v>22</v>
      </c>
      <c r="B23" s="40" t="s">
        <v>127</v>
      </c>
      <c r="C23" s="39" t="s">
        <v>17</v>
      </c>
      <c r="D23" s="40" t="s">
        <v>86</v>
      </c>
      <c r="E23" s="41" t="n">
        <v>5</v>
      </c>
      <c r="F23" s="42" t="s">
        <v>134</v>
      </c>
      <c r="G23" s="42" t="s">
        <v>135</v>
      </c>
      <c r="H23" s="42" t="s">
        <v>89</v>
      </c>
      <c r="I23" s="42" t="s">
        <v>90</v>
      </c>
      <c r="J23" s="42"/>
      <c r="K23" s="39" t="s">
        <v>44</v>
      </c>
    </row>
    <row r="24" customFormat="false" ht="15" hidden="false" customHeight="true" outlineLevel="0" collapsed="false">
      <c r="A24" s="35" t="n">
        <v>23</v>
      </c>
      <c r="B24" s="36" t="s">
        <v>127</v>
      </c>
      <c r="C24" s="35" t="s">
        <v>17</v>
      </c>
      <c r="D24" s="36" t="s">
        <v>86</v>
      </c>
      <c r="E24" s="37" t="n">
        <v>5</v>
      </c>
      <c r="F24" s="38" t="s">
        <v>136</v>
      </c>
      <c r="G24" s="38" t="s">
        <v>137</v>
      </c>
      <c r="H24" s="38" t="s">
        <v>89</v>
      </c>
      <c r="I24" s="38" t="s">
        <v>90</v>
      </c>
      <c r="J24" s="38"/>
      <c r="K24" s="35" t="s">
        <v>44</v>
      </c>
    </row>
    <row r="25" customFormat="false" ht="15" hidden="false" customHeight="true" outlineLevel="0" collapsed="false">
      <c r="A25" s="39" t="n">
        <v>24</v>
      </c>
      <c r="B25" s="40" t="s">
        <v>127</v>
      </c>
      <c r="C25" s="39" t="s">
        <v>17</v>
      </c>
      <c r="D25" s="40" t="s">
        <v>86</v>
      </c>
      <c r="E25" s="41" t="n">
        <v>5</v>
      </c>
      <c r="F25" s="42" t="s">
        <v>138</v>
      </c>
      <c r="G25" s="42" t="s">
        <v>139</v>
      </c>
      <c r="H25" s="42" t="s">
        <v>89</v>
      </c>
      <c r="I25" s="42" t="s">
        <v>90</v>
      </c>
      <c r="J25" s="42"/>
      <c r="K25" s="39" t="s">
        <v>44</v>
      </c>
    </row>
    <row r="26" customFormat="false" ht="15" hidden="false" customHeight="true" outlineLevel="0" collapsed="false">
      <c r="A26" s="35" t="n">
        <v>25</v>
      </c>
      <c r="B26" s="36" t="s">
        <v>140</v>
      </c>
      <c r="C26" s="35" t="s">
        <v>17</v>
      </c>
      <c r="D26" s="36" t="s">
        <v>86</v>
      </c>
      <c r="E26" s="37" t="n">
        <v>5</v>
      </c>
      <c r="F26" s="38" t="s">
        <v>141</v>
      </c>
      <c r="G26" s="38" t="s">
        <v>142</v>
      </c>
      <c r="H26" s="38" t="s">
        <v>89</v>
      </c>
      <c r="I26" s="38" t="s">
        <v>90</v>
      </c>
      <c r="J26" s="38"/>
      <c r="K26" s="35" t="s">
        <v>44</v>
      </c>
    </row>
    <row r="27" customFormat="false" ht="15" hidden="false" customHeight="true" outlineLevel="0" collapsed="false">
      <c r="A27" s="39" t="n">
        <v>26</v>
      </c>
      <c r="B27" s="40" t="s">
        <v>112</v>
      </c>
      <c r="C27" s="39" t="s">
        <v>17</v>
      </c>
      <c r="D27" s="40" t="s">
        <v>86</v>
      </c>
      <c r="E27" s="41" t="n">
        <v>5</v>
      </c>
      <c r="F27" s="42" t="s">
        <v>143</v>
      </c>
      <c r="G27" s="42" t="s">
        <v>144</v>
      </c>
      <c r="H27" s="42" t="s">
        <v>89</v>
      </c>
      <c r="I27" s="42" t="s">
        <v>90</v>
      </c>
      <c r="J27" s="42"/>
      <c r="K27" s="39" t="s">
        <v>44</v>
      </c>
    </row>
    <row r="28" customFormat="false" ht="15" hidden="false" customHeight="true" outlineLevel="0" collapsed="false">
      <c r="A28" s="35" t="n">
        <v>27</v>
      </c>
      <c r="B28" s="36" t="s">
        <v>140</v>
      </c>
      <c r="C28" s="35" t="s">
        <v>17</v>
      </c>
      <c r="D28" s="36" t="s">
        <v>86</v>
      </c>
      <c r="E28" s="37" t="n">
        <v>5</v>
      </c>
      <c r="F28" s="38" t="s">
        <v>145</v>
      </c>
      <c r="G28" s="38" t="s">
        <v>146</v>
      </c>
      <c r="H28" s="38" t="s">
        <v>89</v>
      </c>
      <c r="I28" s="38" t="s">
        <v>90</v>
      </c>
      <c r="J28" s="38"/>
      <c r="K28" s="35" t="s">
        <v>44</v>
      </c>
    </row>
    <row r="29" customFormat="false" ht="15" hidden="false" customHeight="true" outlineLevel="0" collapsed="false">
      <c r="A29" s="39" t="n">
        <v>28</v>
      </c>
      <c r="B29" s="40" t="s">
        <v>140</v>
      </c>
      <c r="C29" s="39" t="s">
        <v>17</v>
      </c>
      <c r="D29" s="40" t="s">
        <v>86</v>
      </c>
      <c r="E29" s="41" t="n">
        <v>5</v>
      </c>
      <c r="F29" s="42" t="s">
        <v>147</v>
      </c>
      <c r="G29" s="42" t="s">
        <v>148</v>
      </c>
      <c r="H29" s="42" t="s">
        <v>89</v>
      </c>
      <c r="I29" s="42" t="s">
        <v>90</v>
      </c>
      <c r="J29" s="42"/>
      <c r="K29" s="39" t="s">
        <v>44</v>
      </c>
    </row>
    <row r="30" customFormat="false" ht="15" hidden="false" customHeight="true" outlineLevel="0" collapsed="false">
      <c r="A30" s="35" t="n">
        <v>29</v>
      </c>
      <c r="B30" s="36" t="s">
        <v>85</v>
      </c>
      <c r="C30" s="35" t="s">
        <v>17</v>
      </c>
      <c r="D30" s="36" t="s">
        <v>86</v>
      </c>
      <c r="E30" s="37" t="n">
        <v>5</v>
      </c>
      <c r="F30" s="38" t="s">
        <v>149</v>
      </c>
      <c r="G30" s="38" t="s">
        <v>150</v>
      </c>
      <c r="H30" s="38" t="s">
        <v>89</v>
      </c>
      <c r="I30" s="38" t="s">
        <v>90</v>
      </c>
      <c r="J30" s="38"/>
      <c r="K30" s="35" t="s">
        <v>44</v>
      </c>
    </row>
    <row r="31" customFormat="false" ht="15" hidden="false" customHeight="true" outlineLevel="0" collapsed="false">
      <c r="A31" s="39" t="n">
        <v>30</v>
      </c>
      <c r="B31" s="40" t="s">
        <v>85</v>
      </c>
      <c r="C31" s="39" t="s">
        <v>17</v>
      </c>
      <c r="D31" s="40" t="s">
        <v>86</v>
      </c>
      <c r="E31" s="41" t="n">
        <v>5</v>
      </c>
      <c r="F31" s="42" t="s">
        <v>151</v>
      </c>
      <c r="G31" s="42" t="s">
        <v>152</v>
      </c>
      <c r="H31" s="42" t="s">
        <v>89</v>
      </c>
      <c r="I31" s="42" t="s">
        <v>90</v>
      </c>
      <c r="J31" s="42"/>
      <c r="K31" s="39" t="s">
        <v>44</v>
      </c>
    </row>
    <row r="32" customFormat="false" ht="21.75" hidden="false" customHeight="true" outlineLevel="0" collapsed="false">
      <c r="A32" s="35" t="n">
        <v>31</v>
      </c>
      <c r="B32" s="36" t="s">
        <v>153</v>
      </c>
      <c r="C32" s="35" t="s">
        <v>17</v>
      </c>
      <c r="D32" s="36" t="s">
        <v>86</v>
      </c>
      <c r="E32" s="37" t="n">
        <v>5</v>
      </c>
      <c r="F32" s="38" t="s">
        <v>154</v>
      </c>
      <c r="G32" s="38" t="s">
        <v>155</v>
      </c>
      <c r="H32" s="38" t="s">
        <v>156</v>
      </c>
      <c r="I32" s="38" t="s">
        <v>90</v>
      </c>
      <c r="J32" s="38"/>
      <c r="K32" s="35" t="s">
        <v>44</v>
      </c>
    </row>
    <row r="33" customFormat="false" ht="21.75" hidden="false" customHeight="true" outlineLevel="0" collapsed="false">
      <c r="A33" s="39" t="n">
        <v>32</v>
      </c>
      <c r="B33" s="40" t="s">
        <v>153</v>
      </c>
      <c r="C33" s="39" t="s">
        <v>17</v>
      </c>
      <c r="D33" s="40" t="s">
        <v>86</v>
      </c>
      <c r="E33" s="41" t="n">
        <v>5</v>
      </c>
      <c r="F33" s="42" t="s">
        <v>157</v>
      </c>
      <c r="G33" s="42" t="s">
        <v>158</v>
      </c>
      <c r="H33" s="42" t="s">
        <v>156</v>
      </c>
      <c r="I33" s="42" t="s">
        <v>90</v>
      </c>
      <c r="J33" s="42"/>
      <c r="K33" s="39" t="s">
        <v>44</v>
      </c>
    </row>
    <row r="34" customFormat="false" ht="21.75" hidden="false" customHeight="true" outlineLevel="0" collapsed="false">
      <c r="A34" s="35" t="n">
        <v>33</v>
      </c>
      <c r="B34" s="36" t="s">
        <v>159</v>
      </c>
      <c r="C34" s="35" t="s">
        <v>17</v>
      </c>
      <c r="D34" s="36" t="s">
        <v>86</v>
      </c>
      <c r="E34" s="37" t="n">
        <v>5</v>
      </c>
      <c r="F34" s="38" t="s">
        <v>160</v>
      </c>
      <c r="G34" s="38" t="s">
        <v>161</v>
      </c>
      <c r="H34" s="38" t="s">
        <v>156</v>
      </c>
      <c r="I34" s="38" t="s">
        <v>90</v>
      </c>
      <c r="J34" s="38"/>
      <c r="K34" s="35" t="s">
        <v>44</v>
      </c>
    </row>
    <row r="35" customFormat="false" ht="21.75" hidden="false" customHeight="true" outlineLevel="0" collapsed="false">
      <c r="A35" s="39" t="n">
        <v>34</v>
      </c>
      <c r="B35" s="40" t="s">
        <v>162</v>
      </c>
      <c r="C35" s="39" t="s">
        <v>17</v>
      </c>
      <c r="D35" s="40" t="s">
        <v>86</v>
      </c>
      <c r="E35" s="41" t="n">
        <v>5</v>
      </c>
      <c r="F35" s="42" t="s">
        <v>163</v>
      </c>
      <c r="G35" s="42" t="s">
        <v>164</v>
      </c>
      <c r="H35" s="42" t="s">
        <v>156</v>
      </c>
      <c r="I35" s="42" t="s">
        <v>90</v>
      </c>
      <c r="J35" s="42"/>
      <c r="K35" s="39" t="s">
        <v>44</v>
      </c>
    </row>
    <row r="36" customFormat="false" ht="21.75" hidden="false" customHeight="true" outlineLevel="0" collapsed="false">
      <c r="A36" s="35" t="n">
        <v>35</v>
      </c>
      <c r="B36" s="36" t="s">
        <v>165</v>
      </c>
      <c r="C36" s="35" t="s">
        <v>17</v>
      </c>
      <c r="D36" s="36" t="s">
        <v>86</v>
      </c>
      <c r="E36" s="37" t="n">
        <v>5</v>
      </c>
      <c r="F36" s="38" t="s">
        <v>166</v>
      </c>
      <c r="G36" s="38" t="s">
        <v>167</v>
      </c>
      <c r="H36" s="38" t="s">
        <v>156</v>
      </c>
      <c r="I36" s="38" t="s">
        <v>90</v>
      </c>
      <c r="J36" s="38"/>
      <c r="K36" s="35" t="s">
        <v>44</v>
      </c>
    </row>
    <row r="37" customFormat="false" ht="21.75" hidden="false" customHeight="true" outlineLevel="0" collapsed="false">
      <c r="A37" s="39" t="n">
        <v>36</v>
      </c>
      <c r="B37" s="40" t="s">
        <v>165</v>
      </c>
      <c r="C37" s="39" t="s">
        <v>17</v>
      </c>
      <c r="D37" s="40" t="s">
        <v>86</v>
      </c>
      <c r="E37" s="41" t="n">
        <v>5</v>
      </c>
      <c r="F37" s="42" t="s">
        <v>168</v>
      </c>
      <c r="G37" s="42" t="s">
        <v>169</v>
      </c>
      <c r="H37" s="42" t="s">
        <v>156</v>
      </c>
      <c r="I37" s="42" t="s">
        <v>90</v>
      </c>
      <c r="J37" s="42"/>
      <c r="K37" s="39" t="s">
        <v>44</v>
      </c>
    </row>
    <row r="38" customFormat="false" ht="21.75" hidden="false" customHeight="true" outlineLevel="0" collapsed="false">
      <c r="A38" s="35" t="n">
        <v>37</v>
      </c>
      <c r="B38" s="36" t="s">
        <v>165</v>
      </c>
      <c r="C38" s="35" t="s">
        <v>17</v>
      </c>
      <c r="D38" s="36" t="s">
        <v>86</v>
      </c>
      <c r="E38" s="37" t="n">
        <v>5</v>
      </c>
      <c r="F38" s="38" t="s">
        <v>170</v>
      </c>
      <c r="G38" s="38" t="s">
        <v>171</v>
      </c>
      <c r="H38" s="38" t="s">
        <v>156</v>
      </c>
      <c r="I38" s="38" t="s">
        <v>90</v>
      </c>
      <c r="J38" s="38"/>
      <c r="K38" s="35" t="s">
        <v>44</v>
      </c>
    </row>
    <row r="39" customFormat="false" ht="21.75" hidden="false" customHeight="true" outlineLevel="0" collapsed="false">
      <c r="A39" s="39" t="n">
        <v>38</v>
      </c>
      <c r="B39" s="40" t="s">
        <v>165</v>
      </c>
      <c r="C39" s="39" t="s">
        <v>17</v>
      </c>
      <c r="D39" s="40" t="s">
        <v>86</v>
      </c>
      <c r="E39" s="41" t="n">
        <v>5</v>
      </c>
      <c r="F39" s="42" t="s">
        <v>172</v>
      </c>
      <c r="G39" s="42" t="s">
        <v>173</v>
      </c>
      <c r="H39" s="42" t="s">
        <v>156</v>
      </c>
      <c r="I39" s="42" t="s">
        <v>90</v>
      </c>
      <c r="J39" s="42"/>
      <c r="K39" s="39" t="s">
        <v>44</v>
      </c>
    </row>
    <row r="40" customFormat="false" ht="21.75" hidden="false" customHeight="true" outlineLevel="0" collapsed="false">
      <c r="A40" s="35" t="n">
        <v>39</v>
      </c>
      <c r="B40" s="36" t="s">
        <v>153</v>
      </c>
      <c r="C40" s="35" t="s">
        <v>17</v>
      </c>
      <c r="D40" s="36" t="s">
        <v>86</v>
      </c>
      <c r="E40" s="37" t="n">
        <v>5</v>
      </c>
      <c r="F40" s="38" t="s">
        <v>174</v>
      </c>
      <c r="G40" s="38" t="s">
        <v>175</v>
      </c>
      <c r="H40" s="38" t="s">
        <v>156</v>
      </c>
      <c r="I40" s="38" t="s">
        <v>90</v>
      </c>
      <c r="J40" s="38"/>
      <c r="K40" s="35" t="s">
        <v>44</v>
      </c>
    </row>
    <row r="41" customFormat="false" ht="21.75" hidden="false" customHeight="true" outlineLevel="0" collapsed="false">
      <c r="A41" s="39" t="n">
        <v>40</v>
      </c>
      <c r="B41" s="40" t="s">
        <v>165</v>
      </c>
      <c r="C41" s="39" t="s">
        <v>17</v>
      </c>
      <c r="D41" s="40" t="s">
        <v>86</v>
      </c>
      <c r="E41" s="41" t="n">
        <v>5</v>
      </c>
      <c r="F41" s="42" t="s">
        <v>176</v>
      </c>
      <c r="G41" s="42" t="s">
        <v>177</v>
      </c>
      <c r="H41" s="42" t="s">
        <v>156</v>
      </c>
      <c r="I41" s="42" t="s">
        <v>90</v>
      </c>
      <c r="J41" s="42"/>
      <c r="K41" s="39" t="s">
        <v>44</v>
      </c>
    </row>
    <row r="42" customFormat="false" ht="21.75" hidden="false" customHeight="true" outlineLevel="0" collapsed="false">
      <c r="A42" s="35" t="n">
        <v>41</v>
      </c>
      <c r="B42" s="36" t="s">
        <v>165</v>
      </c>
      <c r="C42" s="35" t="s">
        <v>17</v>
      </c>
      <c r="D42" s="36" t="s">
        <v>86</v>
      </c>
      <c r="E42" s="37" t="n">
        <v>5</v>
      </c>
      <c r="F42" s="38" t="s">
        <v>178</v>
      </c>
      <c r="G42" s="38" t="s">
        <v>179</v>
      </c>
      <c r="H42" s="38" t="s">
        <v>156</v>
      </c>
      <c r="I42" s="38" t="s">
        <v>90</v>
      </c>
      <c r="J42" s="38"/>
      <c r="K42" s="35" t="s">
        <v>44</v>
      </c>
    </row>
    <row r="43" customFormat="false" ht="21.75" hidden="false" customHeight="true" outlineLevel="0" collapsed="false">
      <c r="A43" s="39" t="n">
        <v>42</v>
      </c>
      <c r="B43" s="40" t="s">
        <v>165</v>
      </c>
      <c r="C43" s="39" t="s">
        <v>17</v>
      </c>
      <c r="D43" s="40" t="s">
        <v>86</v>
      </c>
      <c r="E43" s="41" t="n">
        <v>5</v>
      </c>
      <c r="F43" s="42" t="s">
        <v>180</v>
      </c>
      <c r="G43" s="42" t="s">
        <v>181</v>
      </c>
      <c r="H43" s="42" t="s">
        <v>156</v>
      </c>
      <c r="I43" s="42" t="s">
        <v>90</v>
      </c>
      <c r="J43" s="42"/>
      <c r="K43" s="39" t="s">
        <v>44</v>
      </c>
    </row>
    <row r="44" customFormat="false" ht="21.75" hidden="false" customHeight="true" outlineLevel="0" collapsed="false">
      <c r="A44" s="35" t="n">
        <v>43</v>
      </c>
      <c r="B44" s="36" t="s">
        <v>165</v>
      </c>
      <c r="C44" s="35" t="s">
        <v>17</v>
      </c>
      <c r="D44" s="36" t="s">
        <v>86</v>
      </c>
      <c r="E44" s="37" t="n">
        <v>5</v>
      </c>
      <c r="F44" s="38" t="s">
        <v>182</v>
      </c>
      <c r="G44" s="38" t="s">
        <v>183</v>
      </c>
      <c r="H44" s="38" t="s">
        <v>156</v>
      </c>
      <c r="I44" s="38" t="s">
        <v>90</v>
      </c>
      <c r="J44" s="38"/>
      <c r="K44" s="35" t="s">
        <v>44</v>
      </c>
    </row>
    <row r="45" customFormat="false" ht="21.75" hidden="false" customHeight="true" outlineLevel="0" collapsed="false">
      <c r="A45" s="39" t="n">
        <v>44</v>
      </c>
      <c r="B45" s="40" t="s">
        <v>165</v>
      </c>
      <c r="C45" s="39" t="s">
        <v>17</v>
      </c>
      <c r="D45" s="40" t="s">
        <v>86</v>
      </c>
      <c r="E45" s="41" t="n">
        <v>5</v>
      </c>
      <c r="F45" s="42" t="s">
        <v>184</v>
      </c>
      <c r="G45" s="42" t="s">
        <v>185</v>
      </c>
      <c r="H45" s="42" t="s">
        <v>156</v>
      </c>
      <c r="I45" s="42" t="s">
        <v>90</v>
      </c>
      <c r="J45" s="42"/>
      <c r="K45" s="39" t="s">
        <v>44</v>
      </c>
    </row>
    <row r="46" customFormat="false" ht="15" hidden="false" customHeight="true" outlineLevel="0" collapsed="false">
      <c r="A46" s="35" t="n">
        <v>45</v>
      </c>
      <c r="B46" s="36" t="s">
        <v>186</v>
      </c>
      <c r="C46" s="35" t="s">
        <v>17</v>
      </c>
      <c r="D46" s="36" t="s">
        <v>86</v>
      </c>
      <c r="E46" s="37" t="n">
        <v>5</v>
      </c>
      <c r="F46" s="38" t="s">
        <v>187</v>
      </c>
      <c r="G46" s="38" t="s">
        <v>188</v>
      </c>
      <c r="H46" s="38" t="s">
        <v>189</v>
      </c>
      <c r="I46" s="38" t="s">
        <v>90</v>
      </c>
      <c r="J46" s="38"/>
      <c r="K46" s="35" t="s">
        <v>44</v>
      </c>
    </row>
    <row r="47" customFormat="false" ht="15" hidden="false" customHeight="true" outlineLevel="0" collapsed="false">
      <c r="A47" s="39" t="n">
        <v>46</v>
      </c>
      <c r="B47" s="40" t="s">
        <v>190</v>
      </c>
      <c r="C47" s="39" t="s">
        <v>17</v>
      </c>
      <c r="D47" s="40" t="s">
        <v>86</v>
      </c>
      <c r="E47" s="41" t="n">
        <v>5</v>
      </c>
      <c r="F47" s="42" t="s">
        <v>191</v>
      </c>
      <c r="G47" s="42" t="s">
        <v>192</v>
      </c>
      <c r="H47" s="42" t="s">
        <v>189</v>
      </c>
      <c r="I47" s="42" t="s">
        <v>90</v>
      </c>
      <c r="J47" s="42"/>
      <c r="K47" s="39" t="s">
        <v>44</v>
      </c>
    </row>
    <row r="48" customFormat="false" ht="15" hidden="false" customHeight="true" outlineLevel="0" collapsed="false">
      <c r="A48" s="35" t="n">
        <v>47</v>
      </c>
      <c r="B48" s="36" t="s">
        <v>193</v>
      </c>
      <c r="C48" s="35" t="s">
        <v>17</v>
      </c>
      <c r="D48" s="36" t="s">
        <v>86</v>
      </c>
      <c r="E48" s="37" t="n">
        <v>5</v>
      </c>
      <c r="F48" s="38" t="s">
        <v>194</v>
      </c>
      <c r="G48" s="38" t="s">
        <v>195</v>
      </c>
      <c r="H48" s="38" t="s">
        <v>189</v>
      </c>
      <c r="I48" s="38" t="s">
        <v>90</v>
      </c>
      <c r="J48" s="38"/>
      <c r="K48" s="35" t="s">
        <v>44</v>
      </c>
    </row>
    <row r="49" customFormat="false" ht="15" hidden="false" customHeight="true" outlineLevel="0" collapsed="false">
      <c r="A49" s="39" t="n">
        <v>48</v>
      </c>
      <c r="B49" s="40" t="s">
        <v>193</v>
      </c>
      <c r="C49" s="39" t="s">
        <v>17</v>
      </c>
      <c r="D49" s="40" t="s">
        <v>86</v>
      </c>
      <c r="E49" s="41" t="n">
        <v>5</v>
      </c>
      <c r="F49" s="42" t="s">
        <v>196</v>
      </c>
      <c r="G49" s="42" t="s">
        <v>197</v>
      </c>
      <c r="H49" s="42" t="s">
        <v>189</v>
      </c>
      <c r="I49" s="42" t="s">
        <v>90</v>
      </c>
      <c r="J49" s="42"/>
      <c r="K49" s="39" t="s">
        <v>44</v>
      </c>
    </row>
    <row r="50" customFormat="false" ht="15" hidden="false" customHeight="true" outlineLevel="0" collapsed="false">
      <c r="A50" s="35" t="n">
        <v>49</v>
      </c>
      <c r="B50" s="36" t="s">
        <v>193</v>
      </c>
      <c r="C50" s="35" t="s">
        <v>17</v>
      </c>
      <c r="D50" s="36" t="s">
        <v>86</v>
      </c>
      <c r="E50" s="37" t="n">
        <v>5</v>
      </c>
      <c r="F50" s="38" t="s">
        <v>198</v>
      </c>
      <c r="G50" s="38" t="s">
        <v>199</v>
      </c>
      <c r="H50" s="38" t="s">
        <v>189</v>
      </c>
      <c r="I50" s="38" t="s">
        <v>90</v>
      </c>
      <c r="J50" s="38"/>
      <c r="K50" s="35" t="s">
        <v>44</v>
      </c>
    </row>
    <row r="51" customFormat="false" ht="15" hidden="false" customHeight="true" outlineLevel="0" collapsed="false">
      <c r="A51" s="39" t="n">
        <v>50</v>
      </c>
      <c r="B51" s="40" t="s">
        <v>186</v>
      </c>
      <c r="C51" s="39" t="s">
        <v>17</v>
      </c>
      <c r="D51" s="40" t="s">
        <v>86</v>
      </c>
      <c r="E51" s="41" t="n">
        <v>5</v>
      </c>
      <c r="F51" s="42" t="s">
        <v>200</v>
      </c>
      <c r="G51" s="42" t="s">
        <v>201</v>
      </c>
      <c r="H51" s="42" t="s">
        <v>189</v>
      </c>
      <c r="I51" s="42" t="s">
        <v>90</v>
      </c>
      <c r="J51" s="42"/>
      <c r="K51" s="39" t="s">
        <v>44</v>
      </c>
    </row>
    <row r="52" customFormat="false" ht="15" hidden="false" customHeight="true" outlineLevel="0" collapsed="false">
      <c r="A52" s="35" t="n">
        <v>51</v>
      </c>
      <c r="B52" s="36" t="s">
        <v>190</v>
      </c>
      <c r="C52" s="35" t="s">
        <v>17</v>
      </c>
      <c r="D52" s="36" t="s">
        <v>86</v>
      </c>
      <c r="E52" s="37" t="n">
        <v>5</v>
      </c>
      <c r="F52" s="38" t="s">
        <v>202</v>
      </c>
      <c r="G52" s="38" t="s">
        <v>203</v>
      </c>
      <c r="H52" s="38" t="s">
        <v>189</v>
      </c>
      <c r="I52" s="38" t="s">
        <v>90</v>
      </c>
      <c r="J52" s="38"/>
      <c r="K52" s="35" t="s">
        <v>44</v>
      </c>
    </row>
    <row r="53" customFormat="false" ht="15" hidden="false" customHeight="true" outlineLevel="0" collapsed="false">
      <c r="A53" s="39" t="n">
        <v>52</v>
      </c>
      <c r="B53" s="40" t="s">
        <v>193</v>
      </c>
      <c r="C53" s="39" t="s">
        <v>17</v>
      </c>
      <c r="D53" s="40" t="s">
        <v>86</v>
      </c>
      <c r="E53" s="41" t="n">
        <v>5</v>
      </c>
      <c r="F53" s="42" t="s">
        <v>204</v>
      </c>
      <c r="G53" s="42" t="s">
        <v>205</v>
      </c>
      <c r="H53" s="42" t="s">
        <v>189</v>
      </c>
      <c r="I53" s="42" t="s">
        <v>90</v>
      </c>
      <c r="J53" s="42"/>
      <c r="K53" s="39" t="s">
        <v>44</v>
      </c>
    </row>
    <row r="54" customFormat="false" ht="15" hidden="false" customHeight="true" outlineLevel="0" collapsed="false">
      <c r="A54" s="35" t="n">
        <v>53</v>
      </c>
      <c r="B54" s="36" t="s">
        <v>193</v>
      </c>
      <c r="C54" s="35" t="s">
        <v>17</v>
      </c>
      <c r="D54" s="36" t="s">
        <v>86</v>
      </c>
      <c r="E54" s="37" t="n">
        <v>5</v>
      </c>
      <c r="F54" s="38" t="s">
        <v>206</v>
      </c>
      <c r="G54" s="38" t="s">
        <v>207</v>
      </c>
      <c r="H54" s="38" t="s">
        <v>189</v>
      </c>
      <c r="I54" s="38" t="s">
        <v>90</v>
      </c>
      <c r="J54" s="38"/>
      <c r="K54" s="35" t="s">
        <v>44</v>
      </c>
    </row>
    <row r="55" customFormat="false" ht="15" hidden="false" customHeight="true" outlineLevel="0" collapsed="false">
      <c r="A55" s="39" t="n">
        <v>54</v>
      </c>
      <c r="B55" s="40" t="s">
        <v>193</v>
      </c>
      <c r="C55" s="39" t="s">
        <v>17</v>
      </c>
      <c r="D55" s="40" t="s">
        <v>86</v>
      </c>
      <c r="E55" s="41" t="n">
        <v>5</v>
      </c>
      <c r="F55" s="42" t="s">
        <v>208</v>
      </c>
      <c r="G55" s="42" t="s">
        <v>209</v>
      </c>
      <c r="H55" s="42" t="s">
        <v>189</v>
      </c>
      <c r="I55" s="42" t="s">
        <v>90</v>
      </c>
      <c r="J55" s="42"/>
      <c r="K55" s="39" t="s">
        <v>44</v>
      </c>
    </row>
    <row r="56" customFormat="false" ht="15" hidden="false" customHeight="true" outlineLevel="0" collapsed="false">
      <c r="A56" s="35" t="n">
        <v>55</v>
      </c>
      <c r="B56" s="36" t="s">
        <v>193</v>
      </c>
      <c r="C56" s="35" t="s">
        <v>17</v>
      </c>
      <c r="D56" s="36" t="s">
        <v>86</v>
      </c>
      <c r="E56" s="37" t="n">
        <v>5</v>
      </c>
      <c r="F56" s="38" t="s">
        <v>210</v>
      </c>
      <c r="G56" s="38" t="s">
        <v>211</v>
      </c>
      <c r="H56" s="38" t="s">
        <v>189</v>
      </c>
      <c r="I56" s="38" t="s">
        <v>90</v>
      </c>
      <c r="J56" s="38"/>
      <c r="K56" s="35" t="s">
        <v>44</v>
      </c>
    </row>
    <row r="57" customFormat="false" ht="15" hidden="false" customHeight="true" outlineLevel="0" collapsed="false">
      <c r="A57" s="39" t="n">
        <v>56</v>
      </c>
      <c r="B57" s="40" t="s">
        <v>193</v>
      </c>
      <c r="C57" s="39" t="s">
        <v>17</v>
      </c>
      <c r="D57" s="40" t="s">
        <v>86</v>
      </c>
      <c r="E57" s="41" t="n">
        <v>5</v>
      </c>
      <c r="F57" s="42" t="s">
        <v>212</v>
      </c>
      <c r="G57" s="42" t="s">
        <v>213</v>
      </c>
      <c r="H57" s="42" t="s">
        <v>189</v>
      </c>
      <c r="I57" s="42" t="s">
        <v>90</v>
      </c>
      <c r="J57" s="42"/>
      <c r="K57" s="39" t="s">
        <v>44</v>
      </c>
    </row>
    <row r="58" customFormat="false" ht="15" hidden="false" customHeight="true" outlineLevel="0" collapsed="false">
      <c r="A58" s="35" t="n">
        <v>57</v>
      </c>
      <c r="B58" s="36" t="s">
        <v>193</v>
      </c>
      <c r="C58" s="35" t="s">
        <v>17</v>
      </c>
      <c r="D58" s="36" t="s">
        <v>86</v>
      </c>
      <c r="E58" s="37" t="n">
        <v>5</v>
      </c>
      <c r="F58" s="38" t="s">
        <v>214</v>
      </c>
      <c r="G58" s="38" t="s">
        <v>215</v>
      </c>
      <c r="H58" s="38" t="s">
        <v>189</v>
      </c>
      <c r="I58" s="38" t="s">
        <v>90</v>
      </c>
      <c r="J58" s="38"/>
      <c r="K58" s="35" t="s">
        <v>44</v>
      </c>
    </row>
    <row r="59" customFormat="false" ht="15" hidden="false" customHeight="true" outlineLevel="0" collapsed="false">
      <c r="A59" s="39" t="n">
        <v>58</v>
      </c>
      <c r="B59" s="40" t="s">
        <v>193</v>
      </c>
      <c r="C59" s="39" t="s">
        <v>17</v>
      </c>
      <c r="D59" s="40" t="s">
        <v>86</v>
      </c>
      <c r="E59" s="41" t="n">
        <v>5</v>
      </c>
      <c r="F59" s="42" t="s">
        <v>216</v>
      </c>
      <c r="G59" s="42" t="s">
        <v>217</v>
      </c>
      <c r="H59" s="42" t="s">
        <v>189</v>
      </c>
      <c r="I59" s="42" t="s">
        <v>90</v>
      </c>
      <c r="J59" s="42"/>
      <c r="K59" s="39" t="s">
        <v>44</v>
      </c>
    </row>
    <row r="60" customFormat="false" ht="15" hidden="false" customHeight="true" outlineLevel="0" collapsed="false">
      <c r="A60" s="35" t="n">
        <v>59</v>
      </c>
      <c r="B60" s="36" t="s">
        <v>193</v>
      </c>
      <c r="C60" s="35" t="s">
        <v>17</v>
      </c>
      <c r="D60" s="36" t="s">
        <v>86</v>
      </c>
      <c r="E60" s="37" t="n">
        <v>5</v>
      </c>
      <c r="F60" s="38" t="s">
        <v>218</v>
      </c>
      <c r="G60" s="38" t="s">
        <v>219</v>
      </c>
      <c r="H60" s="38" t="s">
        <v>189</v>
      </c>
      <c r="I60" s="38" t="s">
        <v>90</v>
      </c>
      <c r="J60" s="38"/>
      <c r="K60" s="35" t="s">
        <v>44</v>
      </c>
    </row>
    <row r="61" customFormat="false" ht="15" hidden="false" customHeight="true" outlineLevel="0" collapsed="false">
      <c r="A61" s="39" t="n">
        <v>60</v>
      </c>
      <c r="B61" s="40" t="s">
        <v>193</v>
      </c>
      <c r="C61" s="39" t="s">
        <v>17</v>
      </c>
      <c r="D61" s="40" t="s">
        <v>86</v>
      </c>
      <c r="E61" s="41" t="n">
        <v>5</v>
      </c>
      <c r="F61" s="42" t="s">
        <v>220</v>
      </c>
      <c r="G61" s="42" t="s">
        <v>221</v>
      </c>
      <c r="H61" s="42" t="s">
        <v>189</v>
      </c>
      <c r="I61" s="42" t="s">
        <v>90</v>
      </c>
      <c r="J61" s="42"/>
      <c r="K61" s="39" t="s">
        <v>44</v>
      </c>
    </row>
    <row r="62" customFormat="false" ht="15" hidden="false" customHeight="true" outlineLevel="0" collapsed="false">
      <c r="A62" s="35" t="n">
        <v>61</v>
      </c>
      <c r="B62" s="36" t="s">
        <v>193</v>
      </c>
      <c r="C62" s="35" t="s">
        <v>17</v>
      </c>
      <c r="D62" s="36" t="s">
        <v>86</v>
      </c>
      <c r="E62" s="37" t="n">
        <v>5</v>
      </c>
      <c r="F62" s="38" t="s">
        <v>222</v>
      </c>
      <c r="G62" s="38" t="s">
        <v>223</v>
      </c>
      <c r="H62" s="38" t="s">
        <v>189</v>
      </c>
      <c r="I62" s="38" t="s">
        <v>90</v>
      </c>
      <c r="J62" s="38"/>
      <c r="K62" s="35" t="s">
        <v>44</v>
      </c>
    </row>
    <row r="63" customFormat="false" ht="15" hidden="false" customHeight="true" outlineLevel="0" collapsed="false">
      <c r="A63" s="39" t="n">
        <v>62</v>
      </c>
      <c r="B63" s="40" t="s">
        <v>193</v>
      </c>
      <c r="C63" s="39" t="s">
        <v>17</v>
      </c>
      <c r="D63" s="40" t="s">
        <v>86</v>
      </c>
      <c r="E63" s="41" t="n">
        <v>5</v>
      </c>
      <c r="F63" s="42" t="s">
        <v>224</v>
      </c>
      <c r="G63" s="42" t="s">
        <v>225</v>
      </c>
      <c r="H63" s="42" t="s">
        <v>189</v>
      </c>
      <c r="I63" s="42" t="s">
        <v>90</v>
      </c>
      <c r="J63" s="42"/>
      <c r="K63" s="39" t="s">
        <v>44</v>
      </c>
    </row>
    <row r="64" customFormat="false" ht="15" hidden="false" customHeight="true" outlineLevel="0" collapsed="false">
      <c r="A64" s="35" t="n">
        <v>63</v>
      </c>
      <c r="B64" s="36" t="s">
        <v>193</v>
      </c>
      <c r="C64" s="35" t="s">
        <v>17</v>
      </c>
      <c r="D64" s="36" t="s">
        <v>86</v>
      </c>
      <c r="E64" s="37" t="n">
        <v>5</v>
      </c>
      <c r="F64" s="38" t="s">
        <v>226</v>
      </c>
      <c r="G64" s="38" t="s">
        <v>227</v>
      </c>
      <c r="H64" s="38" t="s">
        <v>189</v>
      </c>
      <c r="I64" s="38" t="s">
        <v>90</v>
      </c>
      <c r="J64" s="38"/>
      <c r="K64" s="35" t="s">
        <v>44</v>
      </c>
    </row>
    <row r="65" customFormat="false" ht="15" hidden="false" customHeight="true" outlineLevel="0" collapsed="false">
      <c r="A65" s="39" t="n">
        <v>64</v>
      </c>
      <c r="B65" s="40" t="s">
        <v>193</v>
      </c>
      <c r="C65" s="39" t="s">
        <v>17</v>
      </c>
      <c r="D65" s="40" t="s">
        <v>86</v>
      </c>
      <c r="E65" s="41" t="n">
        <v>5</v>
      </c>
      <c r="F65" s="42" t="s">
        <v>228</v>
      </c>
      <c r="G65" s="42" t="s">
        <v>229</v>
      </c>
      <c r="H65" s="42" t="s">
        <v>189</v>
      </c>
      <c r="I65" s="42" t="s">
        <v>90</v>
      </c>
      <c r="J65" s="42"/>
      <c r="K65" s="39" t="s">
        <v>44</v>
      </c>
    </row>
    <row r="66" customFormat="false" ht="15" hidden="false" customHeight="true" outlineLevel="0" collapsed="false">
      <c r="A66" s="35" t="n">
        <v>65</v>
      </c>
      <c r="B66" s="36" t="s">
        <v>230</v>
      </c>
      <c r="C66" s="35" t="s">
        <v>17</v>
      </c>
      <c r="D66" s="36" t="s">
        <v>86</v>
      </c>
      <c r="E66" s="37" t="n">
        <v>5</v>
      </c>
      <c r="F66" s="38" t="s">
        <v>231</v>
      </c>
      <c r="G66" s="38" t="s">
        <v>232</v>
      </c>
      <c r="H66" s="36" t="s">
        <v>233</v>
      </c>
      <c r="I66" s="38" t="s">
        <v>90</v>
      </c>
      <c r="J66" s="38"/>
      <c r="K66" s="35" t="s">
        <v>44</v>
      </c>
    </row>
    <row r="67" customFormat="false" ht="15" hidden="false" customHeight="true" outlineLevel="0" collapsed="false">
      <c r="A67" s="39" t="n">
        <v>66</v>
      </c>
      <c r="B67" s="40" t="s">
        <v>230</v>
      </c>
      <c r="C67" s="39" t="s">
        <v>17</v>
      </c>
      <c r="D67" s="40" t="s">
        <v>86</v>
      </c>
      <c r="E67" s="41" t="n">
        <v>5</v>
      </c>
      <c r="F67" s="42" t="s">
        <v>234</v>
      </c>
      <c r="G67" s="42" t="s">
        <v>235</v>
      </c>
      <c r="H67" s="40" t="s">
        <v>233</v>
      </c>
      <c r="I67" s="42" t="s">
        <v>90</v>
      </c>
      <c r="J67" s="42"/>
      <c r="K67" s="39" t="s">
        <v>44</v>
      </c>
    </row>
    <row r="68" customFormat="false" ht="15" hidden="false" customHeight="true" outlineLevel="0" collapsed="false">
      <c r="A68" s="35" t="n">
        <v>67</v>
      </c>
      <c r="B68" s="36" t="s">
        <v>230</v>
      </c>
      <c r="C68" s="35" t="s">
        <v>17</v>
      </c>
      <c r="D68" s="36" t="s">
        <v>86</v>
      </c>
      <c r="E68" s="37" t="n">
        <v>5</v>
      </c>
      <c r="F68" s="38" t="s">
        <v>236</v>
      </c>
      <c r="G68" s="38" t="s">
        <v>237</v>
      </c>
      <c r="H68" s="36" t="s">
        <v>233</v>
      </c>
      <c r="I68" s="38" t="s">
        <v>90</v>
      </c>
      <c r="J68" s="38"/>
      <c r="K68" s="35" t="s">
        <v>44</v>
      </c>
    </row>
    <row r="69" customFormat="false" ht="15" hidden="false" customHeight="true" outlineLevel="0" collapsed="false">
      <c r="A69" s="39" t="n">
        <v>68</v>
      </c>
      <c r="B69" s="40" t="s">
        <v>230</v>
      </c>
      <c r="C69" s="39" t="s">
        <v>17</v>
      </c>
      <c r="D69" s="40" t="s">
        <v>86</v>
      </c>
      <c r="E69" s="41" t="n">
        <v>5</v>
      </c>
      <c r="F69" s="42" t="s">
        <v>238</v>
      </c>
      <c r="G69" s="42" t="s">
        <v>239</v>
      </c>
      <c r="H69" s="40" t="s">
        <v>233</v>
      </c>
      <c r="I69" s="42" t="s">
        <v>90</v>
      </c>
      <c r="J69" s="42"/>
      <c r="K69" s="39" t="s">
        <v>44</v>
      </c>
    </row>
    <row r="70" customFormat="false" ht="15" hidden="false" customHeight="true" outlineLevel="0" collapsed="false">
      <c r="A70" s="35" t="n">
        <v>69</v>
      </c>
      <c r="B70" s="36" t="s">
        <v>230</v>
      </c>
      <c r="C70" s="35" t="s">
        <v>17</v>
      </c>
      <c r="D70" s="36" t="s">
        <v>86</v>
      </c>
      <c r="E70" s="37" t="n">
        <v>5</v>
      </c>
      <c r="F70" s="38" t="s">
        <v>240</v>
      </c>
      <c r="G70" s="38" t="s">
        <v>241</v>
      </c>
      <c r="H70" s="36" t="s">
        <v>233</v>
      </c>
      <c r="I70" s="38" t="s">
        <v>90</v>
      </c>
      <c r="J70" s="38"/>
      <c r="K70" s="35" t="s">
        <v>44</v>
      </c>
    </row>
    <row r="71" customFormat="false" ht="15" hidden="false" customHeight="true" outlineLevel="0" collapsed="false">
      <c r="A71" s="39" t="n">
        <v>70</v>
      </c>
      <c r="B71" s="40" t="s">
        <v>230</v>
      </c>
      <c r="C71" s="39" t="s">
        <v>17</v>
      </c>
      <c r="D71" s="40" t="s">
        <v>86</v>
      </c>
      <c r="E71" s="41" t="n">
        <v>5</v>
      </c>
      <c r="F71" s="42" t="s">
        <v>242</v>
      </c>
      <c r="G71" s="42" t="s">
        <v>243</v>
      </c>
      <c r="H71" s="40" t="s">
        <v>233</v>
      </c>
      <c r="I71" s="42" t="s">
        <v>90</v>
      </c>
      <c r="J71" s="42"/>
      <c r="K71" s="39" t="s">
        <v>44</v>
      </c>
    </row>
    <row r="72" customFormat="false" ht="15" hidden="false" customHeight="true" outlineLevel="0" collapsed="false">
      <c r="A72" s="35" t="n">
        <v>71</v>
      </c>
      <c r="B72" s="36" t="s">
        <v>230</v>
      </c>
      <c r="C72" s="35" t="s">
        <v>17</v>
      </c>
      <c r="D72" s="36" t="s">
        <v>86</v>
      </c>
      <c r="E72" s="37" t="n">
        <v>5</v>
      </c>
      <c r="F72" s="38" t="s">
        <v>244</v>
      </c>
      <c r="G72" s="38" t="s">
        <v>245</v>
      </c>
      <c r="H72" s="36" t="s">
        <v>233</v>
      </c>
      <c r="I72" s="38" t="s">
        <v>90</v>
      </c>
      <c r="J72" s="38"/>
      <c r="K72" s="35" t="s">
        <v>44</v>
      </c>
    </row>
    <row r="73" customFormat="false" ht="15" hidden="false" customHeight="true" outlineLevel="0" collapsed="false">
      <c r="A73" s="39" t="n">
        <v>72</v>
      </c>
      <c r="B73" s="40" t="s">
        <v>230</v>
      </c>
      <c r="C73" s="39" t="s">
        <v>17</v>
      </c>
      <c r="D73" s="40" t="s">
        <v>86</v>
      </c>
      <c r="E73" s="41" t="n">
        <v>5</v>
      </c>
      <c r="F73" s="42" t="s">
        <v>246</v>
      </c>
      <c r="G73" s="42" t="s">
        <v>247</v>
      </c>
      <c r="H73" s="40" t="s">
        <v>233</v>
      </c>
      <c r="I73" s="42" t="s">
        <v>90</v>
      </c>
      <c r="J73" s="42"/>
      <c r="K73" s="39" t="s">
        <v>44</v>
      </c>
    </row>
    <row r="74" customFormat="false" ht="15" hidden="false" customHeight="true" outlineLevel="0" collapsed="false">
      <c r="A74" s="35" t="n">
        <v>73</v>
      </c>
      <c r="B74" s="36" t="s">
        <v>230</v>
      </c>
      <c r="C74" s="35" t="s">
        <v>17</v>
      </c>
      <c r="D74" s="36" t="s">
        <v>86</v>
      </c>
      <c r="E74" s="37" t="n">
        <v>5</v>
      </c>
      <c r="F74" s="38" t="s">
        <v>248</v>
      </c>
      <c r="G74" s="38" t="s">
        <v>249</v>
      </c>
      <c r="H74" s="36" t="s">
        <v>233</v>
      </c>
      <c r="I74" s="38" t="s">
        <v>90</v>
      </c>
      <c r="J74" s="38"/>
      <c r="K74" s="35" t="s">
        <v>44</v>
      </c>
    </row>
    <row r="75" customFormat="false" ht="15" hidden="false" customHeight="true" outlineLevel="0" collapsed="false">
      <c r="A75" s="39" t="n">
        <v>74</v>
      </c>
      <c r="B75" s="40" t="s">
        <v>230</v>
      </c>
      <c r="C75" s="39" t="s">
        <v>17</v>
      </c>
      <c r="D75" s="40" t="s">
        <v>86</v>
      </c>
      <c r="E75" s="41" t="n">
        <v>5</v>
      </c>
      <c r="F75" s="42" t="s">
        <v>250</v>
      </c>
      <c r="G75" s="42" t="s">
        <v>251</v>
      </c>
      <c r="H75" s="40" t="s">
        <v>233</v>
      </c>
      <c r="I75" s="42" t="s">
        <v>90</v>
      </c>
      <c r="J75" s="42"/>
      <c r="K75" s="39" t="s">
        <v>44</v>
      </c>
    </row>
    <row r="76" customFormat="false" ht="15" hidden="false" customHeight="true" outlineLevel="0" collapsed="false">
      <c r="A76" s="35" t="n">
        <v>75</v>
      </c>
      <c r="B76" s="36" t="s">
        <v>252</v>
      </c>
      <c r="C76" s="35" t="s">
        <v>17</v>
      </c>
      <c r="D76" s="36" t="s">
        <v>86</v>
      </c>
      <c r="E76" s="37" t="n">
        <v>5</v>
      </c>
      <c r="F76" s="38" t="s">
        <v>231</v>
      </c>
      <c r="G76" s="38" t="s">
        <v>253</v>
      </c>
      <c r="H76" s="36" t="s">
        <v>233</v>
      </c>
      <c r="I76" s="38" t="s">
        <v>90</v>
      </c>
      <c r="J76" s="38"/>
      <c r="K76" s="35" t="s">
        <v>44</v>
      </c>
    </row>
    <row r="77" customFormat="false" ht="15" hidden="false" customHeight="true" outlineLevel="0" collapsed="false">
      <c r="A77" s="39" t="n">
        <v>76</v>
      </c>
      <c r="B77" s="40" t="s">
        <v>252</v>
      </c>
      <c r="C77" s="39" t="s">
        <v>17</v>
      </c>
      <c r="D77" s="40" t="s">
        <v>86</v>
      </c>
      <c r="E77" s="41" t="n">
        <v>5</v>
      </c>
      <c r="F77" s="42" t="s">
        <v>254</v>
      </c>
      <c r="G77" s="42" t="s">
        <v>255</v>
      </c>
      <c r="H77" s="40" t="s">
        <v>233</v>
      </c>
      <c r="I77" s="42" t="s">
        <v>90</v>
      </c>
      <c r="J77" s="42"/>
      <c r="K77" s="39" t="s">
        <v>44</v>
      </c>
    </row>
    <row r="78" customFormat="false" ht="15" hidden="false" customHeight="true" outlineLevel="0" collapsed="false">
      <c r="A78" s="35" t="n">
        <v>77</v>
      </c>
      <c r="B78" s="36" t="s">
        <v>252</v>
      </c>
      <c r="C78" s="35" t="s">
        <v>17</v>
      </c>
      <c r="D78" s="36" t="s">
        <v>86</v>
      </c>
      <c r="E78" s="37" t="n">
        <v>5</v>
      </c>
      <c r="F78" s="38" t="s">
        <v>256</v>
      </c>
      <c r="G78" s="38" t="s">
        <v>257</v>
      </c>
      <c r="H78" s="36" t="s">
        <v>233</v>
      </c>
      <c r="I78" s="38" t="s">
        <v>90</v>
      </c>
      <c r="J78" s="38"/>
      <c r="K78" s="35" t="s">
        <v>44</v>
      </c>
    </row>
    <row r="79" customFormat="false" ht="15" hidden="false" customHeight="true" outlineLevel="0" collapsed="false">
      <c r="A79" s="39" t="n">
        <v>78</v>
      </c>
      <c r="B79" s="40" t="s">
        <v>252</v>
      </c>
      <c r="C79" s="39" t="s">
        <v>17</v>
      </c>
      <c r="D79" s="40" t="s">
        <v>86</v>
      </c>
      <c r="E79" s="41" t="n">
        <v>5</v>
      </c>
      <c r="F79" s="42" t="s">
        <v>258</v>
      </c>
      <c r="G79" s="42" t="s">
        <v>259</v>
      </c>
      <c r="H79" s="40" t="s">
        <v>233</v>
      </c>
      <c r="I79" s="42" t="s">
        <v>90</v>
      </c>
      <c r="J79" s="42"/>
      <c r="K79" s="39" t="s">
        <v>44</v>
      </c>
    </row>
    <row r="80" customFormat="false" ht="15" hidden="false" customHeight="true" outlineLevel="0" collapsed="false">
      <c r="A80" s="35" t="n">
        <v>79</v>
      </c>
      <c r="B80" s="36" t="s">
        <v>252</v>
      </c>
      <c r="C80" s="35" t="s">
        <v>17</v>
      </c>
      <c r="D80" s="36" t="s">
        <v>86</v>
      </c>
      <c r="E80" s="37" t="n">
        <v>5</v>
      </c>
      <c r="F80" s="38" t="s">
        <v>260</v>
      </c>
      <c r="G80" s="38" t="s">
        <v>261</v>
      </c>
      <c r="H80" s="36" t="s">
        <v>233</v>
      </c>
      <c r="I80" s="38" t="s">
        <v>90</v>
      </c>
      <c r="J80" s="38"/>
      <c r="K80" s="35" t="s">
        <v>44</v>
      </c>
    </row>
    <row r="81" customFormat="false" ht="15" hidden="false" customHeight="true" outlineLevel="0" collapsed="false">
      <c r="A81" s="39" t="n">
        <v>80</v>
      </c>
      <c r="B81" s="40" t="s">
        <v>252</v>
      </c>
      <c r="C81" s="39" t="s">
        <v>17</v>
      </c>
      <c r="D81" s="40" t="s">
        <v>86</v>
      </c>
      <c r="E81" s="41" t="n">
        <v>5</v>
      </c>
      <c r="F81" s="42" t="s">
        <v>262</v>
      </c>
      <c r="G81" s="42" t="s">
        <v>263</v>
      </c>
      <c r="H81" s="40" t="s">
        <v>233</v>
      </c>
      <c r="I81" s="42" t="s">
        <v>90</v>
      </c>
      <c r="J81" s="42"/>
      <c r="K81" s="39" t="s">
        <v>44</v>
      </c>
    </row>
    <row r="82" customFormat="false" ht="15" hidden="false" customHeight="true" outlineLevel="0" collapsed="false">
      <c r="A82" s="35" t="n">
        <v>81</v>
      </c>
      <c r="B82" s="36" t="s">
        <v>264</v>
      </c>
      <c r="C82" s="35" t="s">
        <v>17</v>
      </c>
      <c r="D82" s="36" t="s">
        <v>86</v>
      </c>
      <c r="E82" s="37" t="n">
        <v>5</v>
      </c>
      <c r="F82" s="38" t="s">
        <v>265</v>
      </c>
      <c r="G82" s="38" t="s">
        <v>266</v>
      </c>
      <c r="H82" s="36" t="s">
        <v>233</v>
      </c>
      <c r="I82" s="38" t="s">
        <v>90</v>
      </c>
      <c r="J82" s="38"/>
      <c r="K82" s="35" t="s">
        <v>44</v>
      </c>
    </row>
    <row r="83" customFormat="false" ht="15" hidden="false" customHeight="true" outlineLevel="0" collapsed="false">
      <c r="A83" s="39" t="n">
        <v>82</v>
      </c>
      <c r="B83" s="40" t="s">
        <v>264</v>
      </c>
      <c r="C83" s="39" t="s">
        <v>17</v>
      </c>
      <c r="D83" s="40" t="s">
        <v>86</v>
      </c>
      <c r="E83" s="41" t="n">
        <v>5</v>
      </c>
      <c r="F83" s="42" t="s">
        <v>267</v>
      </c>
      <c r="G83" s="42" t="s">
        <v>268</v>
      </c>
      <c r="H83" s="40" t="s">
        <v>233</v>
      </c>
      <c r="I83" s="42" t="s">
        <v>90</v>
      </c>
      <c r="J83" s="42"/>
      <c r="K83" s="39" t="s">
        <v>44</v>
      </c>
    </row>
    <row r="84" customFormat="false" ht="15" hidden="false" customHeight="true" outlineLevel="0" collapsed="false">
      <c r="A84" s="35" t="n">
        <v>83</v>
      </c>
      <c r="B84" s="36" t="s">
        <v>264</v>
      </c>
      <c r="C84" s="35" t="s">
        <v>17</v>
      </c>
      <c r="D84" s="36" t="s">
        <v>86</v>
      </c>
      <c r="E84" s="37" t="n">
        <v>5</v>
      </c>
      <c r="F84" s="38" t="s">
        <v>269</v>
      </c>
      <c r="G84" s="38" t="s">
        <v>270</v>
      </c>
      <c r="H84" s="36" t="s">
        <v>233</v>
      </c>
      <c r="I84" s="38" t="s">
        <v>90</v>
      </c>
      <c r="J84" s="38"/>
      <c r="K84" s="35" t="s">
        <v>44</v>
      </c>
    </row>
    <row r="85" customFormat="false" ht="15" hidden="false" customHeight="true" outlineLevel="0" collapsed="false">
      <c r="A85" s="39" t="n">
        <v>84</v>
      </c>
      <c r="B85" s="40" t="s">
        <v>264</v>
      </c>
      <c r="C85" s="39" t="s">
        <v>17</v>
      </c>
      <c r="D85" s="40" t="s">
        <v>86</v>
      </c>
      <c r="E85" s="41" t="n">
        <v>5</v>
      </c>
      <c r="F85" s="42" t="s">
        <v>271</v>
      </c>
      <c r="G85" s="42" t="s">
        <v>272</v>
      </c>
      <c r="H85" s="40" t="s">
        <v>233</v>
      </c>
      <c r="I85" s="42" t="s">
        <v>90</v>
      </c>
      <c r="J85" s="42"/>
      <c r="K85" s="39" t="s">
        <v>44</v>
      </c>
    </row>
    <row r="86" customFormat="false" ht="15" hidden="false" customHeight="true" outlineLevel="0" collapsed="false">
      <c r="A86" s="35" t="n">
        <v>85</v>
      </c>
      <c r="B86" s="36" t="s">
        <v>264</v>
      </c>
      <c r="C86" s="35" t="s">
        <v>17</v>
      </c>
      <c r="D86" s="36" t="s">
        <v>86</v>
      </c>
      <c r="E86" s="37" t="n">
        <v>5</v>
      </c>
      <c r="F86" s="38" t="s">
        <v>273</v>
      </c>
      <c r="G86" s="38" t="s">
        <v>274</v>
      </c>
      <c r="H86" s="36" t="s">
        <v>233</v>
      </c>
      <c r="I86" s="38" t="s">
        <v>90</v>
      </c>
      <c r="J86" s="38"/>
      <c r="K86" s="35" t="s">
        <v>44</v>
      </c>
    </row>
    <row r="87" customFormat="false" ht="15" hidden="false" customHeight="true" outlineLevel="0" collapsed="false">
      <c r="A87" s="39" t="n">
        <v>86</v>
      </c>
      <c r="B87" s="40" t="s">
        <v>264</v>
      </c>
      <c r="C87" s="39" t="s">
        <v>17</v>
      </c>
      <c r="D87" s="40" t="s">
        <v>86</v>
      </c>
      <c r="E87" s="41" t="n">
        <v>5</v>
      </c>
      <c r="F87" s="42" t="s">
        <v>275</v>
      </c>
      <c r="G87" s="42" t="s">
        <v>276</v>
      </c>
      <c r="H87" s="40" t="s">
        <v>233</v>
      </c>
      <c r="I87" s="42" t="s">
        <v>90</v>
      </c>
      <c r="J87" s="42"/>
      <c r="K87" s="39" t="s">
        <v>44</v>
      </c>
    </row>
    <row r="88" customFormat="false" ht="15" hidden="false" customHeight="true" outlineLevel="0" collapsed="false">
      <c r="A88" s="35" t="n">
        <v>87</v>
      </c>
      <c r="B88" s="36" t="s">
        <v>264</v>
      </c>
      <c r="C88" s="35" t="s">
        <v>17</v>
      </c>
      <c r="D88" s="36" t="s">
        <v>86</v>
      </c>
      <c r="E88" s="37" t="n">
        <v>5</v>
      </c>
      <c r="F88" s="38" t="s">
        <v>277</v>
      </c>
      <c r="G88" s="38" t="s">
        <v>278</v>
      </c>
      <c r="H88" s="36" t="s">
        <v>233</v>
      </c>
      <c r="I88" s="38" t="s">
        <v>90</v>
      </c>
      <c r="J88" s="38"/>
      <c r="K88" s="35" t="s">
        <v>44</v>
      </c>
    </row>
    <row r="89" customFormat="false" ht="15" hidden="false" customHeight="true" outlineLevel="0" collapsed="false">
      <c r="A89" s="39" t="n">
        <v>88</v>
      </c>
      <c r="B89" s="40" t="s">
        <v>264</v>
      </c>
      <c r="C89" s="39" t="s">
        <v>17</v>
      </c>
      <c r="D89" s="40" t="s">
        <v>86</v>
      </c>
      <c r="E89" s="41" t="n">
        <v>5</v>
      </c>
      <c r="F89" s="42" t="s">
        <v>279</v>
      </c>
      <c r="G89" s="42" t="s">
        <v>280</v>
      </c>
      <c r="H89" s="40" t="s">
        <v>233</v>
      </c>
      <c r="I89" s="42" t="s">
        <v>90</v>
      </c>
      <c r="J89" s="42"/>
      <c r="K89" s="39" t="s">
        <v>44</v>
      </c>
    </row>
    <row r="90" customFormat="false" ht="15" hidden="false" customHeight="true" outlineLevel="0" collapsed="false">
      <c r="A90" s="35" t="n">
        <v>89</v>
      </c>
      <c r="B90" s="36" t="s">
        <v>264</v>
      </c>
      <c r="C90" s="35" t="s">
        <v>17</v>
      </c>
      <c r="D90" s="36" t="s">
        <v>86</v>
      </c>
      <c r="E90" s="37" t="n">
        <v>5</v>
      </c>
      <c r="F90" s="38" t="s">
        <v>281</v>
      </c>
      <c r="G90" s="38" t="s">
        <v>282</v>
      </c>
      <c r="H90" s="36" t="s">
        <v>233</v>
      </c>
      <c r="I90" s="38" t="s">
        <v>90</v>
      </c>
      <c r="J90" s="38"/>
      <c r="K90" s="35" t="s">
        <v>44</v>
      </c>
    </row>
    <row r="91" customFormat="false" ht="15" hidden="false" customHeight="true" outlineLevel="0" collapsed="false">
      <c r="A91" s="39" t="n">
        <v>90</v>
      </c>
      <c r="B91" s="40" t="s">
        <v>264</v>
      </c>
      <c r="C91" s="39" t="s">
        <v>17</v>
      </c>
      <c r="D91" s="40" t="s">
        <v>86</v>
      </c>
      <c r="E91" s="41" t="n">
        <v>5</v>
      </c>
      <c r="F91" s="42" t="s">
        <v>283</v>
      </c>
      <c r="G91" s="42" t="s">
        <v>284</v>
      </c>
      <c r="H91" s="40" t="s">
        <v>233</v>
      </c>
      <c r="I91" s="42" t="s">
        <v>90</v>
      </c>
      <c r="J91" s="42"/>
      <c r="K91" s="39" t="s">
        <v>44</v>
      </c>
    </row>
    <row r="92" customFormat="false" ht="15" hidden="false" customHeight="true" outlineLevel="0" collapsed="false">
      <c r="A92" s="35" t="n">
        <v>91</v>
      </c>
      <c r="B92" s="36" t="s">
        <v>285</v>
      </c>
      <c r="C92" s="35" t="s">
        <v>17</v>
      </c>
      <c r="D92" s="36" t="s">
        <v>86</v>
      </c>
      <c r="E92" s="37" t="n">
        <v>5</v>
      </c>
      <c r="F92" s="38" t="s">
        <v>286</v>
      </c>
      <c r="G92" s="38" t="s">
        <v>287</v>
      </c>
      <c r="H92" s="36" t="s">
        <v>288</v>
      </c>
      <c r="I92" s="38" t="s">
        <v>90</v>
      </c>
      <c r="J92" s="38"/>
      <c r="K92" s="35" t="s">
        <v>44</v>
      </c>
    </row>
    <row r="93" customFormat="false" ht="15" hidden="false" customHeight="true" outlineLevel="0" collapsed="false">
      <c r="A93" s="39" t="n">
        <v>92</v>
      </c>
      <c r="B93" s="40" t="s">
        <v>285</v>
      </c>
      <c r="C93" s="39" t="s">
        <v>17</v>
      </c>
      <c r="D93" s="40" t="s">
        <v>86</v>
      </c>
      <c r="E93" s="41" t="n">
        <v>5</v>
      </c>
      <c r="F93" s="42" t="s">
        <v>289</v>
      </c>
      <c r="G93" s="42" t="s">
        <v>290</v>
      </c>
      <c r="H93" s="40" t="s">
        <v>288</v>
      </c>
      <c r="I93" s="42" t="s">
        <v>90</v>
      </c>
      <c r="J93" s="42"/>
      <c r="K93" s="39" t="s">
        <v>44</v>
      </c>
    </row>
    <row r="94" customFormat="false" ht="15" hidden="false" customHeight="true" outlineLevel="0" collapsed="false">
      <c r="A94" s="35" t="n">
        <v>93</v>
      </c>
      <c r="B94" s="36" t="s">
        <v>285</v>
      </c>
      <c r="C94" s="35" t="s">
        <v>17</v>
      </c>
      <c r="D94" s="36" t="s">
        <v>86</v>
      </c>
      <c r="E94" s="37" t="n">
        <v>5</v>
      </c>
      <c r="F94" s="38" t="s">
        <v>291</v>
      </c>
      <c r="G94" s="38" t="s">
        <v>292</v>
      </c>
      <c r="H94" s="36" t="s">
        <v>288</v>
      </c>
      <c r="I94" s="38" t="s">
        <v>90</v>
      </c>
      <c r="J94" s="38"/>
      <c r="K94" s="35" t="s">
        <v>44</v>
      </c>
    </row>
    <row r="95" customFormat="false" ht="15" hidden="false" customHeight="true" outlineLevel="0" collapsed="false">
      <c r="A95" s="39" t="n">
        <v>94</v>
      </c>
      <c r="B95" s="40" t="s">
        <v>285</v>
      </c>
      <c r="C95" s="39" t="s">
        <v>17</v>
      </c>
      <c r="D95" s="40" t="s">
        <v>86</v>
      </c>
      <c r="E95" s="41" t="n">
        <v>5</v>
      </c>
      <c r="F95" s="42" t="s">
        <v>293</v>
      </c>
      <c r="G95" s="42" t="s">
        <v>294</v>
      </c>
      <c r="H95" s="40" t="s">
        <v>288</v>
      </c>
      <c r="I95" s="42" t="s">
        <v>90</v>
      </c>
      <c r="J95" s="42"/>
      <c r="K95" s="39" t="s">
        <v>44</v>
      </c>
    </row>
    <row r="96" customFormat="false" ht="15" hidden="false" customHeight="true" outlineLevel="0" collapsed="false">
      <c r="A96" s="35" t="n">
        <v>95</v>
      </c>
      <c r="B96" s="36" t="s">
        <v>285</v>
      </c>
      <c r="C96" s="35" t="s">
        <v>17</v>
      </c>
      <c r="D96" s="36" t="s">
        <v>86</v>
      </c>
      <c r="E96" s="37" t="n">
        <v>5</v>
      </c>
      <c r="F96" s="38" t="s">
        <v>295</v>
      </c>
      <c r="G96" s="38" t="s">
        <v>296</v>
      </c>
      <c r="H96" s="36" t="s">
        <v>288</v>
      </c>
      <c r="I96" s="38" t="s">
        <v>90</v>
      </c>
      <c r="J96" s="38"/>
      <c r="K96" s="35" t="s">
        <v>44</v>
      </c>
    </row>
    <row r="97" customFormat="false" ht="15" hidden="false" customHeight="true" outlineLevel="0" collapsed="false">
      <c r="A97" s="39" t="n">
        <v>96</v>
      </c>
      <c r="B97" s="40" t="s">
        <v>285</v>
      </c>
      <c r="C97" s="39" t="s">
        <v>17</v>
      </c>
      <c r="D97" s="40" t="s">
        <v>86</v>
      </c>
      <c r="E97" s="41" t="n">
        <v>5</v>
      </c>
      <c r="F97" s="42" t="s">
        <v>297</v>
      </c>
      <c r="G97" s="42" t="s">
        <v>298</v>
      </c>
      <c r="H97" s="40" t="s">
        <v>288</v>
      </c>
      <c r="I97" s="42" t="s">
        <v>90</v>
      </c>
      <c r="J97" s="42"/>
      <c r="K97" s="39" t="s">
        <v>44</v>
      </c>
    </row>
    <row r="98" customFormat="false" ht="15" hidden="false" customHeight="true" outlineLevel="0" collapsed="false">
      <c r="A98" s="35" t="n">
        <v>97</v>
      </c>
      <c r="B98" s="36" t="s">
        <v>285</v>
      </c>
      <c r="C98" s="35" t="s">
        <v>17</v>
      </c>
      <c r="D98" s="36" t="s">
        <v>86</v>
      </c>
      <c r="E98" s="37" t="n">
        <v>5</v>
      </c>
      <c r="F98" s="38" t="s">
        <v>299</v>
      </c>
      <c r="G98" s="38" t="s">
        <v>300</v>
      </c>
      <c r="H98" s="36" t="s">
        <v>288</v>
      </c>
      <c r="I98" s="38" t="s">
        <v>90</v>
      </c>
      <c r="J98" s="38"/>
      <c r="K98" s="35" t="s">
        <v>44</v>
      </c>
    </row>
    <row r="99" customFormat="false" ht="15" hidden="false" customHeight="true" outlineLevel="0" collapsed="false">
      <c r="A99" s="39" t="n">
        <v>98</v>
      </c>
      <c r="B99" s="40" t="s">
        <v>285</v>
      </c>
      <c r="C99" s="39" t="s">
        <v>17</v>
      </c>
      <c r="D99" s="40" t="s">
        <v>86</v>
      </c>
      <c r="E99" s="41" t="n">
        <v>5</v>
      </c>
      <c r="F99" s="42" t="s">
        <v>301</v>
      </c>
      <c r="G99" s="42" t="s">
        <v>302</v>
      </c>
      <c r="H99" s="40" t="s">
        <v>288</v>
      </c>
      <c r="I99" s="42" t="s">
        <v>90</v>
      </c>
      <c r="J99" s="42"/>
      <c r="K99" s="39" t="s">
        <v>44</v>
      </c>
    </row>
    <row r="100" customFormat="false" ht="15" hidden="false" customHeight="true" outlineLevel="0" collapsed="false">
      <c r="A100" s="35" t="n">
        <v>99</v>
      </c>
      <c r="B100" s="36" t="s">
        <v>285</v>
      </c>
      <c r="C100" s="35" t="s">
        <v>17</v>
      </c>
      <c r="D100" s="36" t="s">
        <v>86</v>
      </c>
      <c r="E100" s="37" t="n">
        <v>5</v>
      </c>
      <c r="F100" s="38" t="s">
        <v>303</v>
      </c>
      <c r="G100" s="38" t="s">
        <v>304</v>
      </c>
      <c r="H100" s="36" t="s">
        <v>288</v>
      </c>
      <c r="I100" s="38" t="s">
        <v>90</v>
      </c>
      <c r="J100" s="38"/>
      <c r="K100" s="35" t="s">
        <v>44</v>
      </c>
    </row>
    <row r="101" customFormat="false" ht="15" hidden="false" customHeight="true" outlineLevel="0" collapsed="false">
      <c r="A101" s="39" t="n">
        <v>100</v>
      </c>
      <c r="B101" s="40" t="s">
        <v>285</v>
      </c>
      <c r="C101" s="39" t="s">
        <v>17</v>
      </c>
      <c r="D101" s="40" t="s">
        <v>86</v>
      </c>
      <c r="E101" s="41" t="n">
        <v>5</v>
      </c>
      <c r="F101" s="42" t="s">
        <v>305</v>
      </c>
      <c r="G101" s="42" t="s">
        <v>306</v>
      </c>
      <c r="H101" s="40" t="s">
        <v>288</v>
      </c>
      <c r="I101" s="42" t="s">
        <v>90</v>
      </c>
      <c r="J101" s="42"/>
      <c r="K101" s="39" t="s">
        <v>44</v>
      </c>
    </row>
    <row r="102" customFormat="false" ht="15" hidden="false" customHeight="true" outlineLevel="0" collapsed="false">
      <c r="A102" s="35" t="n">
        <v>101</v>
      </c>
      <c r="B102" s="36" t="s">
        <v>307</v>
      </c>
      <c r="C102" s="35" t="s">
        <v>17</v>
      </c>
      <c r="D102" s="36" t="s">
        <v>86</v>
      </c>
      <c r="E102" s="37" t="n">
        <v>5</v>
      </c>
      <c r="F102" s="38" t="s">
        <v>308</v>
      </c>
      <c r="G102" s="38" t="s">
        <v>309</v>
      </c>
      <c r="H102" s="36" t="s">
        <v>288</v>
      </c>
      <c r="I102" s="38" t="s">
        <v>90</v>
      </c>
      <c r="J102" s="38"/>
      <c r="K102" s="35" t="s">
        <v>44</v>
      </c>
    </row>
    <row r="103" customFormat="false" ht="15" hidden="false" customHeight="true" outlineLevel="0" collapsed="false">
      <c r="A103" s="39" t="n">
        <v>102</v>
      </c>
      <c r="B103" s="40" t="s">
        <v>307</v>
      </c>
      <c r="C103" s="39" t="s">
        <v>17</v>
      </c>
      <c r="D103" s="40" t="s">
        <v>86</v>
      </c>
      <c r="E103" s="41" t="n">
        <v>5</v>
      </c>
      <c r="F103" s="42" t="s">
        <v>310</v>
      </c>
      <c r="G103" s="42" t="s">
        <v>311</v>
      </c>
      <c r="H103" s="40" t="s">
        <v>288</v>
      </c>
      <c r="I103" s="42" t="s">
        <v>90</v>
      </c>
      <c r="J103" s="42"/>
      <c r="K103" s="39" t="s">
        <v>44</v>
      </c>
    </row>
    <row r="104" customFormat="false" ht="15" hidden="false" customHeight="true" outlineLevel="0" collapsed="false">
      <c r="A104" s="35" t="n">
        <v>103</v>
      </c>
      <c r="B104" s="36" t="s">
        <v>307</v>
      </c>
      <c r="C104" s="35" t="s">
        <v>17</v>
      </c>
      <c r="D104" s="36" t="s">
        <v>86</v>
      </c>
      <c r="E104" s="37" t="n">
        <v>5</v>
      </c>
      <c r="F104" s="38" t="s">
        <v>312</v>
      </c>
      <c r="G104" s="38" t="s">
        <v>313</v>
      </c>
      <c r="H104" s="36" t="s">
        <v>288</v>
      </c>
      <c r="I104" s="38" t="s">
        <v>90</v>
      </c>
      <c r="J104" s="38"/>
      <c r="K104" s="35" t="s">
        <v>44</v>
      </c>
    </row>
    <row r="105" customFormat="false" ht="15" hidden="false" customHeight="true" outlineLevel="0" collapsed="false">
      <c r="A105" s="39" t="n">
        <v>104</v>
      </c>
      <c r="B105" s="40" t="s">
        <v>314</v>
      </c>
      <c r="C105" s="39" t="s">
        <v>17</v>
      </c>
      <c r="D105" s="40" t="s">
        <v>86</v>
      </c>
      <c r="E105" s="41" t="n">
        <v>5</v>
      </c>
      <c r="F105" s="42" t="s">
        <v>315</v>
      </c>
      <c r="G105" s="42" t="s">
        <v>316</v>
      </c>
      <c r="H105" s="40" t="s">
        <v>288</v>
      </c>
      <c r="I105" s="42" t="s">
        <v>90</v>
      </c>
      <c r="J105" s="42"/>
      <c r="K105" s="39" t="s">
        <v>44</v>
      </c>
    </row>
    <row r="106" customFormat="false" ht="15" hidden="false" customHeight="true" outlineLevel="0" collapsed="false">
      <c r="A106" s="35" t="n">
        <v>105</v>
      </c>
      <c r="B106" s="36" t="s">
        <v>314</v>
      </c>
      <c r="C106" s="35" t="s">
        <v>17</v>
      </c>
      <c r="D106" s="36" t="s">
        <v>86</v>
      </c>
      <c r="E106" s="37" t="n">
        <v>5</v>
      </c>
      <c r="F106" s="38" t="s">
        <v>317</v>
      </c>
      <c r="G106" s="38" t="s">
        <v>318</v>
      </c>
      <c r="H106" s="36" t="s">
        <v>288</v>
      </c>
      <c r="I106" s="38" t="s">
        <v>90</v>
      </c>
      <c r="J106" s="38"/>
      <c r="K106" s="35" t="s">
        <v>44</v>
      </c>
    </row>
    <row r="107" customFormat="false" ht="15" hidden="false" customHeight="true" outlineLevel="0" collapsed="false">
      <c r="A107" s="39" t="n">
        <v>106</v>
      </c>
      <c r="B107" s="40" t="s">
        <v>314</v>
      </c>
      <c r="C107" s="39" t="s">
        <v>17</v>
      </c>
      <c r="D107" s="40" t="s">
        <v>86</v>
      </c>
      <c r="E107" s="41" t="n">
        <v>5</v>
      </c>
      <c r="F107" s="42" t="s">
        <v>319</v>
      </c>
      <c r="G107" s="42" t="s">
        <v>320</v>
      </c>
      <c r="H107" s="40" t="s">
        <v>288</v>
      </c>
      <c r="I107" s="42" t="s">
        <v>90</v>
      </c>
      <c r="J107" s="42"/>
      <c r="K107" s="39" t="s">
        <v>44</v>
      </c>
    </row>
    <row r="108" customFormat="false" ht="15" hidden="false" customHeight="true" outlineLevel="0" collapsed="false">
      <c r="A108" s="35" t="n">
        <v>107</v>
      </c>
      <c r="B108" s="36" t="s">
        <v>314</v>
      </c>
      <c r="C108" s="35" t="s">
        <v>17</v>
      </c>
      <c r="D108" s="36" t="s">
        <v>86</v>
      </c>
      <c r="E108" s="37" t="n">
        <v>5</v>
      </c>
      <c r="F108" s="38" t="s">
        <v>321</v>
      </c>
      <c r="G108" s="38" t="s">
        <v>322</v>
      </c>
      <c r="H108" s="36" t="s">
        <v>288</v>
      </c>
      <c r="I108" s="38" t="s">
        <v>90</v>
      </c>
      <c r="J108" s="38"/>
      <c r="K108" s="35" t="s">
        <v>44</v>
      </c>
    </row>
    <row r="109" customFormat="false" ht="15" hidden="false" customHeight="true" outlineLevel="0" collapsed="false">
      <c r="A109" s="39" t="n">
        <v>108</v>
      </c>
      <c r="B109" s="40" t="s">
        <v>314</v>
      </c>
      <c r="C109" s="39" t="s">
        <v>17</v>
      </c>
      <c r="D109" s="40" t="s">
        <v>86</v>
      </c>
      <c r="E109" s="41" t="n">
        <v>5</v>
      </c>
      <c r="F109" s="42" t="s">
        <v>323</v>
      </c>
      <c r="G109" s="42" t="s">
        <v>324</v>
      </c>
      <c r="H109" s="40" t="s">
        <v>288</v>
      </c>
      <c r="I109" s="42" t="s">
        <v>90</v>
      </c>
      <c r="J109" s="42"/>
      <c r="K109" s="39" t="s">
        <v>44</v>
      </c>
    </row>
    <row r="110" customFormat="false" ht="15" hidden="false" customHeight="true" outlineLevel="0" collapsed="false">
      <c r="A110" s="35" t="n">
        <v>109</v>
      </c>
      <c r="B110" s="36" t="s">
        <v>314</v>
      </c>
      <c r="C110" s="35" t="s">
        <v>17</v>
      </c>
      <c r="D110" s="36" t="s">
        <v>86</v>
      </c>
      <c r="E110" s="37" t="n">
        <v>5</v>
      </c>
      <c r="F110" s="38" t="s">
        <v>325</v>
      </c>
      <c r="G110" s="38" t="s">
        <v>326</v>
      </c>
      <c r="H110" s="36" t="s">
        <v>288</v>
      </c>
      <c r="I110" s="38" t="s">
        <v>90</v>
      </c>
      <c r="J110" s="38"/>
      <c r="K110" s="35" t="s">
        <v>44</v>
      </c>
    </row>
    <row r="111" customFormat="false" ht="15" hidden="false" customHeight="true" outlineLevel="0" collapsed="false">
      <c r="A111" s="39" t="n">
        <v>110</v>
      </c>
      <c r="B111" s="40" t="s">
        <v>314</v>
      </c>
      <c r="C111" s="39" t="s">
        <v>17</v>
      </c>
      <c r="D111" s="40" t="s">
        <v>86</v>
      </c>
      <c r="E111" s="41" t="n">
        <v>5</v>
      </c>
      <c r="F111" s="42" t="s">
        <v>327</v>
      </c>
      <c r="G111" s="42" t="s">
        <v>328</v>
      </c>
      <c r="H111" s="40" t="s">
        <v>288</v>
      </c>
      <c r="I111" s="42" t="s">
        <v>90</v>
      </c>
      <c r="J111" s="42"/>
      <c r="K111" s="39" t="s">
        <v>44</v>
      </c>
    </row>
    <row r="112" customFormat="false" ht="15" hidden="false" customHeight="true" outlineLevel="0" collapsed="false">
      <c r="A112" s="35" t="n">
        <v>111</v>
      </c>
      <c r="B112" s="36" t="s">
        <v>314</v>
      </c>
      <c r="C112" s="35" t="s">
        <v>17</v>
      </c>
      <c r="D112" s="36" t="s">
        <v>86</v>
      </c>
      <c r="E112" s="37" t="n">
        <v>5</v>
      </c>
      <c r="F112" s="38" t="s">
        <v>329</v>
      </c>
      <c r="G112" s="38" t="s">
        <v>330</v>
      </c>
      <c r="H112" s="36" t="s">
        <v>288</v>
      </c>
      <c r="I112" s="38" t="s">
        <v>90</v>
      </c>
      <c r="J112" s="38"/>
      <c r="K112" s="35" t="s">
        <v>44</v>
      </c>
    </row>
    <row r="113" customFormat="false" ht="15" hidden="false" customHeight="true" outlineLevel="0" collapsed="false">
      <c r="A113" s="39" t="n">
        <v>112</v>
      </c>
      <c r="B113" s="40" t="s">
        <v>307</v>
      </c>
      <c r="C113" s="39" t="s">
        <v>17</v>
      </c>
      <c r="D113" s="40" t="s">
        <v>86</v>
      </c>
      <c r="E113" s="41" t="n">
        <v>5</v>
      </c>
      <c r="F113" s="42" t="s">
        <v>331</v>
      </c>
      <c r="G113" s="42" t="s">
        <v>332</v>
      </c>
      <c r="H113" s="40" t="s">
        <v>333</v>
      </c>
      <c r="I113" s="42" t="s">
        <v>90</v>
      </c>
      <c r="J113" s="42"/>
      <c r="K113" s="39" t="s">
        <v>44</v>
      </c>
    </row>
    <row r="114" customFormat="false" ht="15" hidden="false" customHeight="true" outlineLevel="0" collapsed="false">
      <c r="A114" s="35" t="n">
        <v>113</v>
      </c>
      <c r="B114" s="36" t="s">
        <v>307</v>
      </c>
      <c r="C114" s="35" t="s">
        <v>17</v>
      </c>
      <c r="D114" s="36" t="s">
        <v>86</v>
      </c>
      <c r="E114" s="37" t="n">
        <v>5</v>
      </c>
      <c r="F114" s="38" t="s">
        <v>334</v>
      </c>
      <c r="G114" s="38" t="s">
        <v>335</v>
      </c>
      <c r="H114" s="36" t="s">
        <v>333</v>
      </c>
      <c r="I114" s="38" t="s">
        <v>90</v>
      </c>
      <c r="J114" s="38"/>
      <c r="K114" s="35" t="s">
        <v>44</v>
      </c>
    </row>
    <row r="115" customFormat="false" ht="15" hidden="false" customHeight="true" outlineLevel="0" collapsed="false">
      <c r="A115" s="39" t="n">
        <v>114</v>
      </c>
      <c r="B115" s="40" t="s">
        <v>307</v>
      </c>
      <c r="C115" s="39" t="s">
        <v>17</v>
      </c>
      <c r="D115" s="40" t="s">
        <v>86</v>
      </c>
      <c r="E115" s="41" t="n">
        <v>5</v>
      </c>
      <c r="F115" s="42" t="s">
        <v>336</v>
      </c>
      <c r="G115" s="42" t="s">
        <v>337</v>
      </c>
      <c r="H115" s="40" t="s">
        <v>333</v>
      </c>
      <c r="I115" s="42" t="s">
        <v>90</v>
      </c>
      <c r="J115" s="42"/>
      <c r="K115" s="39" t="s">
        <v>44</v>
      </c>
    </row>
    <row r="116" customFormat="false" ht="15" hidden="false" customHeight="true" outlineLevel="0" collapsed="false">
      <c r="A116" s="35" t="n">
        <v>115</v>
      </c>
      <c r="B116" s="36" t="s">
        <v>307</v>
      </c>
      <c r="C116" s="35" t="s">
        <v>17</v>
      </c>
      <c r="D116" s="36" t="s">
        <v>86</v>
      </c>
      <c r="E116" s="37" t="n">
        <v>5</v>
      </c>
      <c r="F116" s="38" t="s">
        <v>338</v>
      </c>
      <c r="G116" s="38" t="s">
        <v>339</v>
      </c>
      <c r="H116" s="36" t="s">
        <v>333</v>
      </c>
      <c r="I116" s="38" t="s">
        <v>90</v>
      </c>
      <c r="J116" s="38"/>
      <c r="K116" s="35" t="s">
        <v>44</v>
      </c>
    </row>
    <row r="117" customFormat="false" ht="15" hidden="false" customHeight="true" outlineLevel="0" collapsed="false">
      <c r="A117" s="39" t="n">
        <v>116</v>
      </c>
      <c r="B117" s="40" t="s">
        <v>307</v>
      </c>
      <c r="C117" s="39" t="s">
        <v>17</v>
      </c>
      <c r="D117" s="40" t="s">
        <v>86</v>
      </c>
      <c r="E117" s="41" t="n">
        <v>5</v>
      </c>
      <c r="F117" s="42" t="s">
        <v>340</v>
      </c>
      <c r="G117" s="42" t="s">
        <v>341</v>
      </c>
      <c r="H117" s="40" t="s">
        <v>333</v>
      </c>
      <c r="I117" s="42" t="s">
        <v>90</v>
      </c>
      <c r="J117" s="42"/>
      <c r="K117" s="39" t="s">
        <v>44</v>
      </c>
    </row>
    <row r="118" customFormat="false" ht="15" hidden="false" customHeight="true" outlineLevel="0" collapsed="false">
      <c r="A118" s="35" t="n">
        <v>117</v>
      </c>
      <c r="B118" s="36" t="s">
        <v>307</v>
      </c>
      <c r="C118" s="35" t="s">
        <v>17</v>
      </c>
      <c r="D118" s="36" t="s">
        <v>86</v>
      </c>
      <c r="E118" s="37" t="n">
        <v>5</v>
      </c>
      <c r="F118" s="38" t="s">
        <v>342</v>
      </c>
      <c r="G118" s="38" t="s">
        <v>343</v>
      </c>
      <c r="H118" s="36" t="s">
        <v>333</v>
      </c>
      <c r="I118" s="38" t="s">
        <v>90</v>
      </c>
      <c r="J118" s="38"/>
      <c r="K118" s="35" t="s">
        <v>44</v>
      </c>
    </row>
    <row r="119" customFormat="false" ht="15" hidden="false" customHeight="true" outlineLevel="0" collapsed="false">
      <c r="A119" s="39" t="n">
        <v>118</v>
      </c>
      <c r="B119" s="40" t="s">
        <v>307</v>
      </c>
      <c r="C119" s="39" t="s">
        <v>17</v>
      </c>
      <c r="D119" s="40" t="s">
        <v>86</v>
      </c>
      <c r="E119" s="41" t="n">
        <v>5</v>
      </c>
      <c r="F119" s="42" t="s">
        <v>344</v>
      </c>
      <c r="G119" s="42" t="s">
        <v>345</v>
      </c>
      <c r="H119" s="40" t="s">
        <v>333</v>
      </c>
      <c r="I119" s="42" t="s">
        <v>90</v>
      </c>
      <c r="J119" s="42"/>
      <c r="K119" s="39" t="s">
        <v>44</v>
      </c>
    </row>
    <row r="120" customFormat="false" ht="15" hidden="false" customHeight="true" outlineLevel="0" collapsed="false">
      <c r="A120" s="35" t="n">
        <v>119</v>
      </c>
      <c r="B120" s="36" t="s">
        <v>307</v>
      </c>
      <c r="C120" s="35" t="s">
        <v>17</v>
      </c>
      <c r="D120" s="36" t="s">
        <v>86</v>
      </c>
      <c r="E120" s="37" t="n">
        <v>5</v>
      </c>
      <c r="F120" s="38" t="s">
        <v>344</v>
      </c>
      <c r="G120" s="38" t="s">
        <v>346</v>
      </c>
      <c r="H120" s="36" t="s">
        <v>333</v>
      </c>
      <c r="I120" s="38" t="s">
        <v>90</v>
      </c>
      <c r="J120" s="38"/>
      <c r="K120" s="35" t="s">
        <v>44</v>
      </c>
    </row>
    <row r="121" customFormat="false" ht="15" hidden="false" customHeight="true" outlineLevel="0" collapsed="false">
      <c r="A121" s="39" t="n">
        <v>120</v>
      </c>
      <c r="B121" s="40" t="s">
        <v>307</v>
      </c>
      <c r="C121" s="39" t="s">
        <v>17</v>
      </c>
      <c r="D121" s="40" t="s">
        <v>86</v>
      </c>
      <c r="E121" s="41" t="n">
        <v>5</v>
      </c>
      <c r="F121" s="42" t="s">
        <v>344</v>
      </c>
      <c r="G121" s="42" t="s">
        <v>347</v>
      </c>
      <c r="H121" s="40" t="s">
        <v>333</v>
      </c>
      <c r="I121" s="42" t="s">
        <v>90</v>
      </c>
      <c r="J121" s="42"/>
      <c r="K121" s="39" t="s">
        <v>44</v>
      </c>
    </row>
    <row r="122" customFormat="false" ht="15" hidden="false" customHeight="true" outlineLevel="0" collapsed="false">
      <c r="A122" s="35" t="n">
        <v>121</v>
      </c>
      <c r="B122" s="36" t="s">
        <v>307</v>
      </c>
      <c r="C122" s="35" t="s">
        <v>17</v>
      </c>
      <c r="D122" s="36" t="s">
        <v>86</v>
      </c>
      <c r="E122" s="37" t="n">
        <v>5</v>
      </c>
      <c r="F122" s="38" t="s">
        <v>348</v>
      </c>
      <c r="G122" s="38" t="s">
        <v>349</v>
      </c>
      <c r="H122" s="36" t="s">
        <v>333</v>
      </c>
      <c r="I122" s="38" t="s">
        <v>90</v>
      </c>
      <c r="J122" s="38"/>
      <c r="K122" s="35" t="s">
        <v>44</v>
      </c>
    </row>
    <row r="123" customFormat="false" ht="15" hidden="false" customHeight="true" outlineLevel="0" collapsed="false">
      <c r="A123" s="39" t="n">
        <v>122</v>
      </c>
      <c r="B123" s="40" t="s">
        <v>307</v>
      </c>
      <c r="C123" s="39" t="s">
        <v>17</v>
      </c>
      <c r="D123" s="40" t="s">
        <v>86</v>
      </c>
      <c r="E123" s="41" t="n">
        <v>5</v>
      </c>
      <c r="F123" s="42" t="s">
        <v>350</v>
      </c>
      <c r="G123" s="42" t="s">
        <v>351</v>
      </c>
      <c r="H123" s="40" t="s">
        <v>333</v>
      </c>
      <c r="I123" s="42" t="s">
        <v>90</v>
      </c>
      <c r="J123" s="42"/>
      <c r="K123" s="39" t="s">
        <v>44</v>
      </c>
    </row>
    <row r="124" customFormat="false" ht="15" hidden="false" customHeight="true" outlineLevel="0" collapsed="false">
      <c r="A124" s="35" t="n">
        <v>123</v>
      </c>
      <c r="B124" s="36" t="s">
        <v>307</v>
      </c>
      <c r="C124" s="35" t="s">
        <v>17</v>
      </c>
      <c r="D124" s="36" t="s">
        <v>86</v>
      </c>
      <c r="E124" s="37" t="n">
        <v>5</v>
      </c>
      <c r="F124" s="38" t="s">
        <v>352</v>
      </c>
      <c r="G124" s="38" t="s">
        <v>353</v>
      </c>
      <c r="H124" s="36" t="s">
        <v>333</v>
      </c>
      <c r="I124" s="38" t="s">
        <v>90</v>
      </c>
      <c r="J124" s="38"/>
      <c r="K124" s="35" t="s">
        <v>44</v>
      </c>
    </row>
    <row r="125" customFormat="false" ht="15" hidden="false" customHeight="true" outlineLevel="0" collapsed="false">
      <c r="A125" s="39" t="n">
        <v>124</v>
      </c>
      <c r="B125" s="40" t="s">
        <v>307</v>
      </c>
      <c r="C125" s="39" t="s">
        <v>17</v>
      </c>
      <c r="D125" s="40" t="s">
        <v>86</v>
      </c>
      <c r="E125" s="41" t="n">
        <v>5</v>
      </c>
      <c r="F125" s="42" t="s">
        <v>354</v>
      </c>
      <c r="G125" s="42" t="s">
        <v>355</v>
      </c>
      <c r="H125" s="40" t="s">
        <v>333</v>
      </c>
      <c r="I125" s="42" t="s">
        <v>90</v>
      </c>
      <c r="J125" s="42"/>
      <c r="K125" s="39" t="s">
        <v>44</v>
      </c>
    </row>
    <row r="126" customFormat="false" ht="15" hidden="false" customHeight="true" outlineLevel="0" collapsed="false">
      <c r="A126" s="35" t="n">
        <v>125</v>
      </c>
      <c r="B126" s="36" t="s">
        <v>307</v>
      </c>
      <c r="C126" s="35" t="s">
        <v>17</v>
      </c>
      <c r="D126" s="36" t="s">
        <v>86</v>
      </c>
      <c r="E126" s="37" t="n">
        <v>5</v>
      </c>
      <c r="F126" s="38" t="s">
        <v>356</v>
      </c>
      <c r="G126" s="38" t="s">
        <v>357</v>
      </c>
      <c r="H126" s="36" t="s">
        <v>333</v>
      </c>
      <c r="I126" s="38" t="s">
        <v>90</v>
      </c>
      <c r="J126" s="38"/>
      <c r="K126" s="35" t="s">
        <v>44</v>
      </c>
    </row>
    <row r="127" customFormat="false" ht="15" hidden="false" customHeight="true" outlineLevel="0" collapsed="false">
      <c r="A127" s="39" t="n">
        <v>126</v>
      </c>
      <c r="B127" s="40" t="s">
        <v>307</v>
      </c>
      <c r="C127" s="39" t="s">
        <v>17</v>
      </c>
      <c r="D127" s="40" t="s">
        <v>86</v>
      </c>
      <c r="E127" s="41" t="n">
        <v>5</v>
      </c>
      <c r="F127" s="42" t="s">
        <v>358</v>
      </c>
      <c r="G127" s="42" t="s">
        <v>359</v>
      </c>
      <c r="H127" s="40" t="s">
        <v>333</v>
      </c>
      <c r="I127" s="42" t="s">
        <v>90</v>
      </c>
      <c r="J127" s="42"/>
      <c r="K127" s="39" t="s">
        <v>44</v>
      </c>
    </row>
    <row r="128" customFormat="false" ht="15" hidden="false" customHeight="true" outlineLevel="0" collapsed="false">
      <c r="A128" s="35" t="n">
        <v>127</v>
      </c>
      <c r="B128" s="36" t="s">
        <v>360</v>
      </c>
      <c r="C128" s="35" t="s">
        <v>17</v>
      </c>
      <c r="D128" s="36" t="s">
        <v>86</v>
      </c>
      <c r="E128" s="37" t="n">
        <v>5</v>
      </c>
      <c r="F128" s="38" t="s">
        <v>361</v>
      </c>
      <c r="G128" s="38" t="s">
        <v>362</v>
      </c>
      <c r="H128" s="36" t="s">
        <v>363</v>
      </c>
      <c r="I128" s="38" t="s">
        <v>90</v>
      </c>
      <c r="J128" s="38"/>
      <c r="K128" s="35" t="s">
        <v>44</v>
      </c>
    </row>
    <row r="129" customFormat="false" ht="15" hidden="false" customHeight="true" outlineLevel="0" collapsed="false">
      <c r="A129" s="39" t="n">
        <v>128</v>
      </c>
      <c r="B129" s="40" t="s">
        <v>360</v>
      </c>
      <c r="C129" s="39" t="s">
        <v>17</v>
      </c>
      <c r="D129" s="40" t="s">
        <v>86</v>
      </c>
      <c r="E129" s="41" t="n">
        <v>5</v>
      </c>
      <c r="F129" s="42" t="s">
        <v>364</v>
      </c>
      <c r="G129" s="42" t="s">
        <v>365</v>
      </c>
      <c r="H129" s="40" t="s">
        <v>363</v>
      </c>
      <c r="I129" s="42" t="s">
        <v>90</v>
      </c>
      <c r="J129" s="42"/>
      <c r="K129" s="39" t="s">
        <v>44</v>
      </c>
    </row>
    <row r="130" customFormat="false" ht="15" hidden="false" customHeight="true" outlineLevel="0" collapsed="false">
      <c r="A130" s="35" t="n">
        <v>129</v>
      </c>
      <c r="B130" s="36" t="s">
        <v>360</v>
      </c>
      <c r="C130" s="35" t="s">
        <v>17</v>
      </c>
      <c r="D130" s="36" t="s">
        <v>86</v>
      </c>
      <c r="E130" s="37" t="n">
        <v>5</v>
      </c>
      <c r="F130" s="38" t="s">
        <v>366</v>
      </c>
      <c r="G130" s="38" t="s">
        <v>367</v>
      </c>
      <c r="H130" s="36" t="s">
        <v>363</v>
      </c>
      <c r="I130" s="38" t="s">
        <v>90</v>
      </c>
      <c r="J130" s="38"/>
      <c r="K130" s="35" t="s">
        <v>44</v>
      </c>
    </row>
    <row r="131" customFormat="false" ht="15" hidden="false" customHeight="true" outlineLevel="0" collapsed="false">
      <c r="A131" s="39" t="n">
        <v>130</v>
      </c>
      <c r="B131" s="40" t="s">
        <v>360</v>
      </c>
      <c r="C131" s="39" t="s">
        <v>17</v>
      </c>
      <c r="D131" s="40" t="s">
        <v>86</v>
      </c>
      <c r="E131" s="41" t="n">
        <v>5</v>
      </c>
      <c r="F131" s="42" t="s">
        <v>368</v>
      </c>
      <c r="G131" s="42" t="s">
        <v>369</v>
      </c>
      <c r="H131" s="40" t="s">
        <v>363</v>
      </c>
      <c r="I131" s="42" t="s">
        <v>90</v>
      </c>
      <c r="J131" s="42"/>
      <c r="K131" s="39" t="s">
        <v>44</v>
      </c>
    </row>
    <row r="132" customFormat="false" ht="15" hidden="false" customHeight="true" outlineLevel="0" collapsed="false">
      <c r="A132" s="35" t="n">
        <v>131</v>
      </c>
      <c r="B132" s="36" t="s">
        <v>360</v>
      </c>
      <c r="C132" s="35" t="s">
        <v>17</v>
      </c>
      <c r="D132" s="36" t="s">
        <v>86</v>
      </c>
      <c r="E132" s="37" t="n">
        <v>5</v>
      </c>
      <c r="F132" s="38" t="s">
        <v>370</v>
      </c>
      <c r="G132" s="38" t="s">
        <v>371</v>
      </c>
      <c r="H132" s="36" t="s">
        <v>363</v>
      </c>
      <c r="I132" s="38" t="s">
        <v>90</v>
      </c>
      <c r="J132" s="38"/>
      <c r="K132" s="35" t="s">
        <v>44</v>
      </c>
    </row>
    <row r="133" customFormat="false" ht="15" hidden="false" customHeight="true" outlineLevel="0" collapsed="false">
      <c r="A133" s="39" t="n">
        <v>132</v>
      </c>
      <c r="B133" s="40" t="s">
        <v>360</v>
      </c>
      <c r="C133" s="39" t="s">
        <v>17</v>
      </c>
      <c r="D133" s="40" t="s">
        <v>86</v>
      </c>
      <c r="E133" s="41" t="n">
        <v>5</v>
      </c>
      <c r="F133" s="42" t="s">
        <v>372</v>
      </c>
      <c r="G133" s="42" t="s">
        <v>373</v>
      </c>
      <c r="H133" s="40" t="s">
        <v>363</v>
      </c>
      <c r="I133" s="42" t="s">
        <v>90</v>
      </c>
      <c r="J133" s="42"/>
      <c r="K133" s="39" t="s">
        <v>44</v>
      </c>
    </row>
    <row r="134" customFormat="false" ht="15" hidden="false" customHeight="true" outlineLevel="0" collapsed="false">
      <c r="A134" s="35" t="n">
        <v>133</v>
      </c>
      <c r="B134" s="36" t="s">
        <v>360</v>
      </c>
      <c r="C134" s="35" t="s">
        <v>17</v>
      </c>
      <c r="D134" s="36" t="s">
        <v>86</v>
      </c>
      <c r="E134" s="37" t="n">
        <v>5</v>
      </c>
      <c r="F134" s="38" t="s">
        <v>374</v>
      </c>
      <c r="G134" s="38" t="s">
        <v>375</v>
      </c>
      <c r="H134" s="36" t="s">
        <v>363</v>
      </c>
      <c r="I134" s="38" t="s">
        <v>90</v>
      </c>
      <c r="J134" s="38"/>
      <c r="K134" s="35" t="s">
        <v>44</v>
      </c>
    </row>
    <row r="135" customFormat="false" ht="15" hidden="false" customHeight="true" outlineLevel="0" collapsed="false">
      <c r="A135" s="39" t="n">
        <v>134</v>
      </c>
      <c r="B135" s="40" t="s">
        <v>360</v>
      </c>
      <c r="C135" s="39" t="s">
        <v>17</v>
      </c>
      <c r="D135" s="40" t="s">
        <v>86</v>
      </c>
      <c r="E135" s="41" t="n">
        <v>5</v>
      </c>
      <c r="F135" s="42" t="s">
        <v>376</v>
      </c>
      <c r="G135" s="42" t="s">
        <v>377</v>
      </c>
      <c r="H135" s="40" t="s">
        <v>363</v>
      </c>
      <c r="I135" s="42" t="s">
        <v>90</v>
      </c>
      <c r="J135" s="42"/>
      <c r="K135" s="39" t="s">
        <v>44</v>
      </c>
    </row>
    <row r="136" customFormat="false" ht="15" hidden="false" customHeight="true" outlineLevel="0" collapsed="false">
      <c r="A136" s="35" t="n">
        <v>135</v>
      </c>
      <c r="B136" s="36" t="s">
        <v>360</v>
      </c>
      <c r="C136" s="35" t="s">
        <v>17</v>
      </c>
      <c r="D136" s="36" t="s">
        <v>86</v>
      </c>
      <c r="E136" s="37" t="n">
        <v>5</v>
      </c>
      <c r="F136" s="38" t="s">
        <v>378</v>
      </c>
      <c r="G136" s="38" t="s">
        <v>379</v>
      </c>
      <c r="H136" s="36" t="s">
        <v>363</v>
      </c>
      <c r="I136" s="38" t="s">
        <v>90</v>
      </c>
      <c r="J136" s="38"/>
      <c r="K136" s="35" t="s">
        <v>44</v>
      </c>
    </row>
    <row r="137" customFormat="false" ht="15" hidden="false" customHeight="true" outlineLevel="0" collapsed="false">
      <c r="A137" s="39" t="n">
        <v>136</v>
      </c>
      <c r="B137" s="40" t="s">
        <v>360</v>
      </c>
      <c r="C137" s="39" t="s">
        <v>17</v>
      </c>
      <c r="D137" s="40" t="s">
        <v>86</v>
      </c>
      <c r="E137" s="41" t="n">
        <v>5</v>
      </c>
      <c r="F137" s="42" t="s">
        <v>380</v>
      </c>
      <c r="G137" s="42" t="s">
        <v>381</v>
      </c>
      <c r="H137" s="40" t="s">
        <v>363</v>
      </c>
      <c r="I137" s="42" t="s">
        <v>90</v>
      </c>
      <c r="J137" s="42"/>
      <c r="K137" s="39" t="s">
        <v>44</v>
      </c>
    </row>
    <row r="138" customFormat="false" ht="15" hidden="false" customHeight="true" outlineLevel="0" collapsed="false">
      <c r="A138" s="35" t="n">
        <v>137</v>
      </c>
      <c r="B138" s="36" t="s">
        <v>382</v>
      </c>
      <c r="C138" s="35" t="s">
        <v>17</v>
      </c>
      <c r="D138" s="36" t="s">
        <v>86</v>
      </c>
      <c r="E138" s="37" t="n">
        <v>5</v>
      </c>
      <c r="F138" s="38" t="s">
        <v>383</v>
      </c>
      <c r="G138" s="38" t="s">
        <v>384</v>
      </c>
      <c r="H138" s="36" t="s">
        <v>363</v>
      </c>
      <c r="I138" s="38" t="s">
        <v>90</v>
      </c>
      <c r="J138" s="38"/>
      <c r="K138" s="35" t="s">
        <v>44</v>
      </c>
    </row>
    <row r="139" customFormat="false" ht="15" hidden="false" customHeight="true" outlineLevel="0" collapsed="false">
      <c r="A139" s="39" t="n">
        <v>138</v>
      </c>
      <c r="B139" s="40" t="s">
        <v>382</v>
      </c>
      <c r="C139" s="39" t="s">
        <v>17</v>
      </c>
      <c r="D139" s="40" t="s">
        <v>86</v>
      </c>
      <c r="E139" s="41" t="n">
        <v>5</v>
      </c>
      <c r="F139" s="42" t="s">
        <v>385</v>
      </c>
      <c r="G139" s="42" t="s">
        <v>386</v>
      </c>
      <c r="H139" s="40" t="s">
        <v>363</v>
      </c>
      <c r="I139" s="42" t="s">
        <v>90</v>
      </c>
      <c r="J139" s="42"/>
      <c r="K139" s="39" t="s">
        <v>44</v>
      </c>
    </row>
    <row r="140" customFormat="false" ht="15" hidden="false" customHeight="true" outlineLevel="0" collapsed="false">
      <c r="A140" s="35" t="n">
        <v>139</v>
      </c>
      <c r="B140" s="36" t="s">
        <v>382</v>
      </c>
      <c r="C140" s="35" t="s">
        <v>17</v>
      </c>
      <c r="D140" s="36" t="s">
        <v>86</v>
      </c>
      <c r="E140" s="37" t="n">
        <v>5</v>
      </c>
      <c r="F140" s="38" t="s">
        <v>387</v>
      </c>
      <c r="G140" s="38" t="s">
        <v>388</v>
      </c>
      <c r="H140" s="36" t="s">
        <v>363</v>
      </c>
      <c r="I140" s="38" t="s">
        <v>90</v>
      </c>
      <c r="J140" s="38"/>
      <c r="K140" s="35" t="s">
        <v>44</v>
      </c>
    </row>
    <row r="141" customFormat="false" ht="15" hidden="false" customHeight="true" outlineLevel="0" collapsed="false">
      <c r="A141" s="39" t="n">
        <v>140</v>
      </c>
      <c r="B141" s="40" t="s">
        <v>382</v>
      </c>
      <c r="C141" s="39" t="s">
        <v>17</v>
      </c>
      <c r="D141" s="40" t="s">
        <v>86</v>
      </c>
      <c r="E141" s="41" t="n">
        <v>5</v>
      </c>
      <c r="F141" s="42" t="s">
        <v>389</v>
      </c>
      <c r="G141" s="42" t="s">
        <v>390</v>
      </c>
      <c r="H141" s="40" t="s">
        <v>363</v>
      </c>
      <c r="I141" s="42" t="s">
        <v>90</v>
      </c>
      <c r="J141" s="42"/>
      <c r="K141" s="39" t="s">
        <v>44</v>
      </c>
    </row>
    <row r="142" customFormat="false" ht="15" hidden="false" customHeight="true" outlineLevel="0" collapsed="false">
      <c r="A142" s="35" t="n">
        <v>141</v>
      </c>
      <c r="B142" s="36" t="s">
        <v>382</v>
      </c>
      <c r="C142" s="35" t="s">
        <v>17</v>
      </c>
      <c r="D142" s="36" t="s">
        <v>86</v>
      </c>
      <c r="E142" s="37" t="n">
        <v>5</v>
      </c>
      <c r="F142" s="38" t="s">
        <v>391</v>
      </c>
      <c r="G142" s="38" t="s">
        <v>392</v>
      </c>
      <c r="H142" s="36" t="s">
        <v>363</v>
      </c>
      <c r="I142" s="38" t="s">
        <v>90</v>
      </c>
      <c r="J142" s="38"/>
      <c r="K142" s="35" t="s">
        <v>44</v>
      </c>
    </row>
    <row r="143" customFormat="false" ht="15" hidden="false" customHeight="true" outlineLevel="0" collapsed="false">
      <c r="A143" s="39" t="n">
        <v>142</v>
      </c>
      <c r="B143" s="40" t="s">
        <v>382</v>
      </c>
      <c r="C143" s="39" t="s">
        <v>17</v>
      </c>
      <c r="D143" s="40" t="s">
        <v>86</v>
      </c>
      <c r="E143" s="41" t="n">
        <v>5</v>
      </c>
      <c r="F143" s="42" t="s">
        <v>393</v>
      </c>
      <c r="G143" s="42" t="s">
        <v>394</v>
      </c>
      <c r="H143" s="40" t="s">
        <v>363</v>
      </c>
      <c r="I143" s="42" t="s">
        <v>90</v>
      </c>
      <c r="J143" s="42"/>
      <c r="K143" s="39" t="s">
        <v>44</v>
      </c>
    </row>
    <row r="144" customFormat="false" ht="15" hidden="false" customHeight="true" outlineLevel="0" collapsed="false">
      <c r="A144" s="35" t="n">
        <v>143</v>
      </c>
      <c r="B144" s="36" t="s">
        <v>382</v>
      </c>
      <c r="C144" s="35" t="s">
        <v>17</v>
      </c>
      <c r="D144" s="36" t="s">
        <v>86</v>
      </c>
      <c r="E144" s="37" t="n">
        <v>5</v>
      </c>
      <c r="F144" s="38" t="s">
        <v>395</v>
      </c>
      <c r="G144" s="38" t="s">
        <v>396</v>
      </c>
      <c r="H144" s="36" t="s">
        <v>363</v>
      </c>
      <c r="I144" s="38" t="s">
        <v>90</v>
      </c>
      <c r="J144" s="38"/>
      <c r="K144" s="35" t="s">
        <v>44</v>
      </c>
    </row>
    <row r="145" customFormat="false" ht="15" hidden="false" customHeight="true" outlineLevel="0" collapsed="false">
      <c r="A145" s="39" t="n">
        <v>144</v>
      </c>
      <c r="B145" s="40" t="s">
        <v>382</v>
      </c>
      <c r="C145" s="39" t="s">
        <v>17</v>
      </c>
      <c r="D145" s="40" t="s">
        <v>86</v>
      </c>
      <c r="E145" s="41" t="n">
        <v>5</v>
      </c>
      <c r="F145" s="42" t="s">
        <v>397</v>
      </c>
      <c r="G145" s="42" t="s">
        <v>398</v>
      </c>
      <c r="H145" s="40" t="s">
        <v>363</v>
      </c>
      <c r="I145" s="42" t="s">
        <v>90</v>
      </c>
      <c r="J145" s="42"/>
      <c r="K145" s="39" t="s">
        <v>44</v>
      </c>
    </row>
    <row r="146" customFormat="false" ht="15" hidden="false" customHeight="true" outlineLevel="0" collapsed="false">
      <c r="A146" s="35" t="n">
        <v>145</v>
      </c>
      <c r="B146" s="36" t="s">
        <v>382</v>
      </c>
      <c r="C146" s="35" t="s">
        <v>17</v>
      </c>
      <c r="D146" s="36" t="s">
        <v>86</v>
      </c>
      <c r="E146" s="37" t="n">
        <v>5</v>
      </c>
      <c r="F146" s="38" t="s">
        <v>372</v>
      </c>
      <c r="G146" s="38" t="s">
        <v>399</v>
      </c>
      <c r="H146" s="36" t="s">
        <v>363</v>
      </c>
      <c r="I146" s="38" t="s">
        <v>90</v>
      </c>
      <c r="J146" s="38"/>
      <c r="K146" s="35" t="s">
        <v>44</v>
      </c>
    </row>
    <row r="147" customFormat="false" ht="15" hidden="false" customHeight="true" outlineLevel="0" collapsed="false">
      <c r="A147" s="39" t="n">
        <v>146</v>
      </c>
      <c r="B147" s="40" t="s">
        <v>382</v>
      </c>
      <c r="C147" s="39" t="s">
        <v>17</v>
      </c>
      <c r="D147" s="40" t="s">
        <v>86</v>
      </c>
      <c r="E147" s="41" t="n">
        <v>5</v>
      </c>
      <c r="F147" s="42" t="s">
        <v>400</v>
      </c>
      <c r="G147" s="42" t="s">
        <v>401</v>
      </c>
      <c r="H147" s="40" t="s">
        <v>363</v>
      </c>
      <c r="I147" s="42" t="s">
        <v>90</v>
      </c>
      <c r="J147" s="42"/>
      <c r="K147" s="39" t="s">
        <v>44</v>
      </c>
    </row>
    <row r="148" customFormat="false" ht="15" hidden="false" customHeight="true" outlineLevel="0" collapsed="false">
      <c r="A148" s="35" t="n">
        <v>147</v>
      </c>
      <c r="B148" s="36" t="s">
        <v>402</v>
      </c>
      <c r="C148" s="35" t="s">
        <v>17</v>
      </c>
      <c r="D148" s="36" t="s">
        <v>86</v>
      </c>
      <c r="E148" s="37" t="n">
        <v>5</v>
      </c>
      <c r="F148" s="38" t="s">
        <v>403</v>
      </c>
      <c r="G148" s="38" t="s">
        <v>404</v>
      </c>
      <c r="H148" s="36" t="s">
        <v>363</v>
      </c>
      <c r="I148" s="38" t="s">
        <v>90</v>
      </c>
      <c r="J148" s="38"/>
      <c r="K148" s="35" t="s">
        <v>44</v>
      </c>
    </row>
    <row r="149" customFormat="false" ht="15" hidden="false" customHeight="true" outlineLevel="0" collapsed="false">
      <c r="A149" s="39" t="n">
        <v>148</v>
      </c>
      <c r="B149" s="40" t="s">
        <v>402</v>
      </c>
      <c r="C149" s="39" t="s">
        <v>17</v>
      </c>
      <c r="D149" s="40" t="s">
        <v>86</v>
      </c>
      <c r="E149" s="41" t="n">
        <v>5</v>
      </c>
      <c r="F149" s="42" t="s">
        <v>405</v>
      </c>
      <c r="G149" s="42" t="s">
        <v>406</v>
      </c>
      <c r="H149" s="40" t="s">
        <v>363</v>
      </c>
      <c r="I149" s="42" t="s">
        <v>90</v>
      </c>
      <c r="J149" s="42"/>
      <c r="K149" s="39" t="s">
        <v>44</v>
      </c>
    </row>
    <row r="150" customFormat="false" ht="15" hidden="false" customHeight="true" outlineLevel="0" collapsed="false">
      <c r="A150" s="35" t="n">
        <v>149</v>
      </c>
      <c r="B150" s="36" t="s">
        <v>402</v>
      </c>
      <c r="C150" s="35" t="s">
        <v>17</v>
      </c>
      <c r="D150" s="36" t="s">
        <v>86</v>
      </c>
      <c r="E150" s="37" t="n">
        <v>5</v>
      </c>
      <c r="F150" s="38" t="s">
        <v>407</v>
      </c>
      <c r="G150" s="38" t="s">
        <v>408</v>
      </c>
      <c r="H150" s="36" t="s">
        <v>363</v>
      </c>
      <c r="I150" s="38" t="s">
        <v>90</v>
      </c>
      <c r="J150" s="38"/>
      <c r="K150" s="35" t="s">
        <v>44</v>
      </c>
    </row>
    <row r="151" customFormat="false" ht="15" hidden="false" customHeight="true" outlineLevel="0" collapsed="false">
      <c r="A151" s="39" t="n">
        <v>150</v>
      </c>
      <c r="B151" s="40" t="s">
        <v>402</v>
      </c>
      <c r="C151" s="39" t="s">
        <v>17</v>
      </c>
      <c r="D151" s="40" t="s">
        <v>86</v>
      </c>
      <c r="E151" s="41" t="n">
        <v>5</v>
      </c>
      <c r="F151" s="42" t="s">
        <v>409</v>
      </c>
      <c r="G151" s="42" t="s">
        <v>410</v>
      </c>
      <c r="H151" s="40" t="s">
        <v>363</v>
      </c>
      <c r="I151" s="42" t="s">
        <v>90</v>
      </c>
      <c r="J151" s="42"/>
      <c r="K151" s="39" t="s">
        <v>44</v>
      </c>
    </row>
    <row r="152" customFormat="false" ht="15" hidden="false" customHeight="true" outlineLevel="0" collapsed="false">
      <c r="A152" s="35" t="n">
        <v>151</v>
      </c>
      <c r="B152" s="36" t="s">
        <v>411</v>
      </c>
      <c r="C152" s="35" t="s">
        <v>17</v>
      </c>
      <c r="D152" s="36" t="s">
        <v>86</v>
      </c>
      <c r="E152" s="37" t="n">
        <v>5</v>
      </c>
      <c r="F152" s="38" t="s">
        <v>412</v>
      </c>
      <c r="G152" s="38" t="s">
        <v>413</v>
      </c>
      <c r="H152" s="36" t="s">
        <v>414</v>
      </c>
      <c r="I152" s="38" t="s">
        <v>90</v>
      </c>
      <c r="J152" s="38"/>
      <c r="K152" s="35" t="s">
        <v>44</v>
      </c>
    </row>
    <row r="153" customFormat="false" ht="15" hidden="false" customHeight="true" outlineLevel="0" collapsed="false">
      <c r="A153" s="39" t="n">
        <v>152</v>
      </c>
      <c r="B153" s="40" t="s">
        <v>411</v>
      </c>
      <c r="C153" s="39" t="s">
        <v>17</v>
      </c>
      <c r="D153" s="40" t="s">
        <v>86</v>
      </c>
      <c r="E153" s="41" t="n">
        <v>5</v>
      </c>
      <c r="F153" s="42" t="s">
        <v>415</v>
      </c>
      <c r="G153" s="42" t="s">
        <v>416</v>
      </c>
      <c r="H153" s="40" t="s">
        <v>414</v>
      </c>
      <c r="I153" s="42" t="s">
        <v>90</v>
      </c>
      <c r="J153" s="42"/>
      <c r="K153" s="39" t="s">
        <v>44</v>
      </c>
    </row>
    <row r="154" customFormat="false" ht="15" hidden="false" customHeight="true" outlineLevel="0" collapsed="false">
      <c r="A154" s="35" t="n">
        <v>153</v>
      </c>
      <c r="B154" s="36" t="s">
        <v>411</v>
      </c>
      <c r="C154" s="35" t="s">
        <v>17</v>
      </c>
      <c r="D154" s="36" t="s">
        <v>86</v>
      </c>
      <c r="E154" s="37" t="n">
        <v>5</v>
      </c>
      <c r="F154" s="38" t="s">
        <v>417</v>
      </c>
      <c r="G154" s="38" t="s">
        <v>418</v>
      </c>
      <c r="H154" s="36" t="s">
        <v>414</v>
      </c>
      <c r="I154" s="38" t="s">
        <v>90</v>
      </c>
      <c r="J154" s="38"/>
      <c r="K154" s="35" t="s">
        <v>44</v>
      </c>
    </row>
    <row r="155" customFormat="false" ht="15" hidden="false" customHeight="true" outlineLevel="0" collapsed="false">
      <c r="A155" s="39" t="n">
        <v>154</v>
      </c>
      <c r="B155" s="40" t="s">
        <v>411</v>
      </c>
      <c r="C155" s="39" t="s">
        <v>17</v>
      </c>
      <c r="D155" s="40" t="s">
        <v>86</v>
      </c>
      <c r="E155" s="41" t="n">
        <v>5</v>
      </c>
      <c r="F155" s="42" t="s">
        <v>419</v>
      </c>
      <c r="G155" s="42" t="s">
        <v>420</v>
      </c>
      <c r="H155" s="40" t="s">
        <v>414</v>
      </c>
      <c r="I155" s="42" t="s">
        <v>90</v>
      </c>
      <c r="J155" s="42"/>
      <c r="K155" s="39" t="s">
        <v>44</v>
      </c>
    </row>
    <row r="156" customFormat="false" ht="21.75" hidden="false" customHeight="true" outlineLevel="0" collapsed="false">
      <c r="A156" s="35" t="n">
        <v>155</v>
      </c>
      <c r="B156" s="36" t="s">
        <v>421</v>
      </c>
      <c r="C156" s="35" t="s">
        <v>17</v>
      </c>
      <c r="D156" s="36" t="s">
        <v>86</v>
      </c>
      <c r="E156" s="37" t="n">
        <v>5</v>
      </c>
      <c r="F156" s="38" t="s">
        <v>422</v>
      </c>
      <c r="G156" s="38" t="s">
        <v>423</v>
      </c>
      <c r="H156" s="36" t="s">
        <v>414</v>
      </c>
      <c r="I156" s="38" t="s">
        <v>90</v>
      </c>
      <c r="J156" s="38"/>
      <c r="K156" s="35" t="s">
        <v>44</v>
      </c>
    </row>
    <row r="157" customFormat="false" ht="21.75" hidden="false" customHeight="true" outlineLevel="0" collapsed="false">
      <c r="A157" s="39" t="n">
        <v>156</v>
      </c>
      <c r="B157" s="40" t="s">
        <v>421</v>
      </c>
      <c r="C157" s="39" t="s">
        <v>17</v>
      </c>
      <c r="D157" s="40" t="s">
        <v>86</v>
      </c>
      <c r="E157" s="41" t="n">
        <v>5</v>
      </c>
      <c r="F157" s="42" t="s">
        <v>424</v>
      </c>
      <c r="G157" s="42" t="s">
        <v>425</v>
      </c>
      <c r="H157" s="40" t="s">
        <v>414</v>
      </c>
      <c r="I157" s="42" t="s">
        <v>90</v>
      </c>
      <c r="J157" s="42"/>
      <c r="K157" s="39" t="s">
        <v>44</v>
      </c>
    </row>
    <row r="158" customFormat="false" ht="15" hidden="false" customHeight="true" outlineLevel="0" collapsed="false">
      <c r="A158" s="35" t="n">
        <v>157</v>
      </c>
      <c r="B158" s="36" t="s">
        <v>426</v>
      </c>
      <c r="C158" s="35" t="s">
        <v>17</v>
      </c>
      <c r="D158" s="36" t="s">
        <v>86</v>
      </c>
      <c r="E158" s="37" t="n">
        <v>5</v>
      </c>
      <c r="F158" s="38" t="s">
        <v>427</v>
      </c>
      <c r="G158" s="38" t="s">
        <v>428</v>
      </c>
      <c r="H158" s="36" t="s">
        <v>414</v>
      </c>
      <c r="I158" s="38" t="s">
        <v>90</v>
      </c>
      <c r="J158" s="38"/>
      <c r="K158" s="35" t="s">
        <v>44</v>
      </c>
    </row>
    <row r="159" customFormat="false" ht="21.75" hidden="false" customHeight="true" outlineLevel="0" collapsed="false">
      <c r="A159" s="39" t="n">
        <v>158</v>
      </c>
      <c r="B159" s="40" t="s">
        <v>421</v>
      </c>
      <c r="C159" s="39" t="s">
        <v>17</v>
      </c>
      <c r="D159" s="40" t="s">
        <v>86</v>
      </c>
      <c r="E159" s="41" t="n">
        <v>5</v>
      </c>
      <c r="F159" s="42" t="s">
        <v>429</v>
      </c>
      <c r="G159" s="42" t="s">
        <v>430</v>
      </c>
      <c r="H159" s="40" t="s">
        <v>414</v>
      </c>
      <c r="I159" s="42" t="s">
        <v>90</v>
      </c>
      <c r="J159" s="42"/>
      <c r="K159" s="39" t="s">
        <v>44</v>
      </c>
    </row>
    <row r="160" customFormat="false" ht="15" hidden="false" customHeight="true" outlineLevel="0" collapsed="false">
      <c r="A160" s="35" t="n">
        <v>159</v>
      </c>
      <c r="B160" s="36" t="s">
        <v>431</v>
      </c>
      <c r="C160" s="35" t="s">
        <v>17</v>
      </c>
      <c r="D160" s="36" t="s">
        <v>86</v>
      </c>
      <c r="E160" s="37" t="n">
        <v>5</v>
      </c>
      <c r="F160" s="38" t="s">
        <v>432</v>
      </c>
      <c r="G160" s="38" t="s">
        <v>433</v>
      </c>
      <c r="H160" s="36" t="s">
        <v>414</v>
      </c>
      <c r="I160" s="38" t="s">
        <v>90</v>
      </c>
      <c r="J160" s="38"/>
      <c r="K160" s="35" t="s">
        <v>44</v>
      </c>
    </row>
    <row r="161" customFormat="false" ht="15" hidden="false" customHeight="true" outlineLevel="0" collapsed="false">
      <c r="A161" s="39" t="n">
        <v>160</v>
      </c>
      <c r="B161" s="40" t="s">
        <v>431</v>
      </c>
      <c r="C161" s="39" t="s">
        <v>17</v>
      </c>
      <c r="D161" s="40" t="s">
        <v>86</v>
      </c>
      <c r="E161" s="41" t="n">
        <v>5</v>
      </c>
      <c r="F161" s="42" t="s">
        <v>434</v>
      </c>
      <c r="G161" s="42" t="s">
        <v>435</v>
      </c>
      <c r="H161" s="40" t="s">
        <v>414</v>
      </c>
      <c r="I161" s="42" t="s">
        <v>90</v>
      </c>
      <c r="J161" s="42"/>
      <c r="K161" s="39" t="s">
        <v>44</v>
      </c>
    </row>
    <row r="162" customFormat="false" ht="15" hidden="false" customHeight="true" outlineLevel="0" collapsed="false">
      <c r="A162" s="35" t="n">
        <v>161</v>
      </c>
      <c r="B162" s="36" t="s">
        <v>431</v>
      </c>
      <c r="C162" s="35" t="s">
        <v>17</v>
      </c>
      <c r="D162" s="36" t="s">
        <v>86</v>
      </c>
      <c r="E162" s="37" t="n">
        <v>5</v>
      </c>
      <c r="F162" s="38" t="s">
        <v>436</v>
      </c>
      <c r="G162" s="38" t="s">
        <v>437</v>
      </c>
      <c r="H162" s="36" t="s">
        <v>414</v>
      </c>
      <c r="I162" s="38" t="s">
        <v>90</v>
      </c>
      <c r="J162" s="38"/>
      <c r="K162" s="35" t="s">
        <v>44</v>
      </c>
    </row>
    <row r="163" customFormat="false" ht="15" hidden="false" customHeight="true" outlineLevel="0" collapsed="false">
      <c r="A163" s="39" t="n">
        <v>162</v>
      </c>
      <c r="B163" s="40" t="s">
        <v>431</v>
      </c>
      <c r="C163" s="39" t="s">
        <v>17</v>
      </c>
      <c r="D163" s="40" t="s">
        <v>86</v>
      </c>
      <c r="E163" s="41" t="n">
        <v>5</v>
      </c>
      <c r="F163" s="42" t="s">
        <v>438</v>
      </c>
      <c r="G163" s="42" t="s">
        <v>439</v>
      </c>
      <c r="H163" s="40" t="s">
        <v>414</v>
      </c>
      <c r="I163" s="42" t="s">
        <v>90</v>
      </c>
      <c r="J163" s="42"/>
      <c r="K163" s="39" t="s">
        <v>44</v>
      </c>
    </row>
    <row r="164" customFormat="false" ht="15" hidden="false" customHeight="true" outlineLevel="0" collapsed="false">
      <c r="A164" s="35" t="n">
        <v>163</v>
      </c>
      <c r="B164" s="36" t="s">
        <v>431</v>
      </c>
      <c r="C164" s="35" t="s">
        <v>17</v>
      </c>
      <c r="D164" s="36" t="s">
        <v>86</v>
      </c>
      <c r="E164" s="37" t="n">
        <v>5</v>
      </c>
      <c r="F164" s="38" t="s">
        <v>440</v>
      </c>
      <c r="G164" s="38" t="s">
        <v>441</v>
      </c>
      <c r="H164" s="36" t="s">
        <v>414</v>
      </c>
      <c r="I164" s="38" t="s">
        <v>90</v>
      </c>
      <c r="J164" s="38"/>
      <c r="K164" s="35" t="s">
        <v>44</v>
      </c>
    </row>
    <row r="165" customFormat="false" ht="15" hidden="false" customHeight="true" outlineLevel="0" collapsed="false">
      <c r="A165" s="39" t="n">
        <v>164</v>
      </c>
      <c r="B165" s="40" t="s">
        <v>431</v>
      </c>
      <c r="C165" s="39" t="s">
        <v>17</v>
      </c>
      <c r="D165" s="40" t="s">
        <v>86</v>
      </c>
      <c r="E165" s="41" t="n">
        <v>5</v>
      </c>
      <c r="F165" s="42" t="s">
        <v>442</v>
      </c>
      <c r="G165" s="42" t="s">
        <v>443</v>
      </c>
      <c r="H165" s="40" t="s">
        <v>414</v>
      </c>
      <c r="I165" s="42" t="s">
        <v>90</v>
      </c>
      <c r="J165" s="42"/>
      <c r="K165" s="39" t="s">
        <v>44</v>
      </c>
    </row>
    <row r="166" customFormat="false" ht="15" hidden="false" customHeight="true" outlineLevel="0" collapsed="false">
      <c r="A166" s="35" t="n">
        <v>165</v>
      </c>
      <c r="B166" s="36" t="s">
        <v>431</v>
      </c>
      <c r="C166" s="35" t="s">
        <v>17</v>
      </c>
      <c r="D166" s="36" t="s">
        <v>86</v>
      </c>
      <c r="E166" s="37" t="n">
        <v>5</v>
      </c>
      <c r="F166" s="38" t="s">
        <v>444</v>
      </c>
      <c r="G166" s="38" t="s">
        <v>445</v>
      </c>
      <c r="H166" s="36" t="s">
        <v>414</v>
      </c>
      <c r="I166" s="38" t="s">
        <v>90</v>
      </c>
      <c r="J166" s="38"/>
      <c r="K166" s="35" t="s">
        <v>44</v>
      </c>
    </row>
    <row r="167" customFormat="false" ht="15" hidden="false" customHeight="true" outlineLevel="0" collapsed="false">
      <c r="A167" s="39" t="n">
        <v>166</v>
      </c>
      <c r="B167" s="40" t="s">
        <v>431</v>
      </c>
      <c r="C167" s="39" t="s">
        <v>17</v>
      </c>
      <c r="D167" s="40" t="s">
        <v>86</v>
      </c>
      <c r="E167" s="41" t="n">
        <v>5</v>
      </c>
      <c r="F167" s="42" t="s">
        <v>446</v>
      </c>
      <c r="G167" s="42" t="s">
        <v>447</v>
      </c>
      <c r="H167" s="40" t="s">
        <v>414</v>
      </c>
      <c r="I167" s="42" t="s">
        <v>90</v>
      </c>
      <c r="J167" s="42"/>
      <c r="K167" s="39" t="s">
        <v>44</v>
      </c>
    </row>
    <row r="168" customFormat="false" ht="15" hidden="false" customHeight="true" outlineLevel="0" collapsed="false">
      <c r="A168" s="35" t="n">
        <v>167</v>
      </c>
      <c r="B168" s="36" t="s">
        <v>431</v>
      </c>
      <c r="C168" s="35" t="s">
        <v>17</v>
      </c>
      <c r="D168" s="36" t="s">
        <v>86</v>
      </c>
      <c r="E168" s="37" t="n">
        <v>5</v>
      </c>
      <c r="F168" s="38" t="s">
        <v>448</v>
      </c>
      <c r="G168" s="38" t="s">
        <v>449</v>
      </c>
      <c r="H168" s="36" t="s">
        <v>414</v>
      </c>
      <c r="I168" s="38" t="s">
        <v>90</v>
      </c>
      <c r="J168" s="38"/>
      <c r="K168" s="35" t="s">
        <v>44</v>
      </c>
    </row>
    <row r="169" customFormat="false" ht="15" hidden="false" customHeight="true" outlineLevel="0" collapsed="false">
      <c r="A169" s="39" t="n">
        <v>168</v>
      </c>
      <c r="B169" s="40" t="s">
        <v>431</v>
      </c>
      <c r="C169" s="39" t="s">
        <v>17</v>
      </c>
      <c r="D169" s="40" t="s">
        <v>86</v>
      </c>
      <c r="E169" s="41" t="n">
        <v>5</v>
      </c>
      <c r="F169" s="42" t="s">
        <v>450</v>
      </c>
      <c r="G169" s="42" t="s">
        <v>451</v>
      </c>
      <c r="H169" s="40" t="s">
        <v>414</v>
      </c>
      <c r="I169" s="42" t="s">
        <v>90</v>
      </c>
      <c r="J169" s="42"/>
      <c r="K169" s="39" t="s">
        <v>44</v>
      </c>
    </row>
    <row r="170" customFormat="false" ht="15" hidden="false" customHeight="true" outlineLevel="0" collapsed="false">
      <c r="A170" s="35" t="n">
        <v>169</v>
      </c>
      <c r="B170" s="36" t="s">
        <v>431</v>
      </c>
      <c r="C170" s="35" t="s">
        <v>17</v>
      </c>
      <c r="D170" s="36" t="s">
        <v>86</v>
      </c>
      <c r="E170" s="37" t="n">
        <v>5</v>
      </c>
      <c r="F170" s="38" t="s">
        <v>452</v>
      </c>
      <c r="G170" s="38" t="s">
        <v>453</v>
      </c>
      <c r="H170" s="36" t="s">
        <v>414</v>
      </c>
      <c r="I170" s="38" t="s">
        <v>90</v>
      </c>
      <c r="J170" s="38"/>
      <c r="K170" s="35" t="s">
        <v>44</v>
      </c>
    </row>
    <row r="171" customFormat="false" ht="15" hidden="false" customHeight="true" outlineLevel="0" collapsed="false">
      <c r="A171" s="39" t="n">
        <v>170</v>
      </c>
      <c r="B171" s="40" t="s">
        <v>431</v>
      </c>
      <c r="C171" s="39" t="s">
        <v>17</v>
      </c>
      <c r="D171" s="40" t="s">
        <v>86</v>
      </c>
      <c r="E171" s="41" t="n">
        <v>5</v>
      </c>
      <c r="F171" s="42" t="s">
        <v>454</v>
      </c>
      <c r="G171" s="42" t="s">
        <v>455</v>
      </c>
      <c r="H171" s="40" t="s">
        <v>414</v>
      </c>
      <c r="I171" s="42" t="s">
        <v>90</v>
      </c>
      <c r="J171" s="42"/>
      <c r="K171" s="39" t="s">
        <v>44</v>
      </c>
    </row>
    <row r="172" customFormat="false" ht="15" hidden="false" customHeight="true" outlineLevel="0" collapsed="false">
      <c r="A172" s="35" t="n">
        <v>171</v>
      </c>
      <c r="B172" s="36" t="s">
        <v>431</v>
      </c>
      <c r="C172" s="35" t="s">
        <v>17</v>
      </c>
      <c r="D172" s="36" t="s">
        <v>86</v>
      </c>
      <c r="E172" s="37" t="n">
        <v>5</v>
      </c>
      <c r="F172" s="38" t="s">
        <v>456</v>
      </c>
      <c r="G172" s="38" t="s">
        <v>457</v>
      </c>
      <c r="H172" s="36" t="s">
        <v>414</v>
      </c>
      <c r="I172" s="38" t="s">
        <v>90</v>
      </c>
      <c r="J172" s="38"/>
      <c r="K172" s="35" t="s">
        <v>44</v>
      </c>
    </row>
    <row r="173" customFormat="false" ht="15" hidden="false" customHeight="true" outlineLevel="0" collapsed="false">
      <c r="A173" s="39" t="n">
        <v>172</v>
      </c>
      <c r="B173" s="40" t="s">
        <v>431</v>
      </c>
      <c r="C173" s="39" t="s">
        <v>17</v>
      </c>
      <c r="D173" s="40" t="s">
        <v>86</v>
      </c>
      <c r="E173" s="41" t="n">
        <v>5</v>
      </c>
      <c r="F173" s="42" t="s">
        <v>458</v>
      </c>
      <c r="G173" s="42" t="s">
        <v>459</v>
      </c>
      <c r="H173" s="40" t="s">
        <v>414</v>
      </c>
      <c r="I173" s="42" t="s">
        <v>90</v>
      </c>
      <c r="J173" s="42"/>
      <c r="K173" s="39" t="s">
        <v>44</v>
      </c>
    </row>
    <row r="174" customFormat="false" ht="15" hidden="false" customHeight="true" outlineLevel="0" collapsed="false">
      <c r="A174" s="35" t="n">
        <v>173</v>
      </c>
      <c r="B174" s="36" t="s">
        <v>431</v>
      </c>
      <c r="C174" s="35" t="s">
        <v>17</v>
      </c>
      <c r="D174" s="36" t="s">
        <v>86</v>
      </c>
      <c r="E174" s="37" t="n">
        <v>5</v>
      </c>
      <c r="F174" s="38" t="s">
        <v>460</v>
      </c>
      <c r="G174" s="38" t="s">
        <v>461</v>
      </c>
      <c r="H174" s="36" t="s">
        <v>414</v>
      </c>
      <c r="I174" s="38" t="s">
        <v>90</v>
      </c>
      <c r="J174" s="38"/>
      <c r="K174" s="35" t="s">
        <v>44</v>
      </c>
    </row>
    <row r="175" customFormat="false" ht="15" hidden="false" customHeight="true" outlineLevel="0" collapsed="false">
      <c r="A175" s="39" t="n">
        <v>174</v>
      </c>
      <c r="B175" s="40" t="s">
        <v>431</v>
      </c>
      <c r="C175" s="39" t="s">
        <v>17</v>
      </c>
      <c r="D175" s="40" t="s">
        <v>86</v>
      </c>
      <c r="E175" s="41" t="n">
        <v>5</v>
      </c>
      <c r="F175" s="42" t="s">
        <v>462</v>
      </c>
      <c r="G175" s="42" t="s">
        <v>463</v>
      </c>
      <c r="H175" s="40" t="s">
        <v>414</v>
      </c>
      <c r="I175" s="42" t="s">
        <v>90</v>
      </c>
      <c r="J175" s="42"/>
      <c r="K175" s="39" t="s">
        <v>44</v>
      </c>
    </row>
    <row r="176" customFormat="false" ht="15" hidden="false" customHeight="true" outlineLevel="0" collapsed="false">
      <c r="A176" s="35" t="n">
        <v>175</v>
      </c>
      <c r="B176" s="36" t="s">
        <v>431</v>
      </c>
      <c r="C176" s="35" t="s">
        <v>17</v>
      </c>
      <c r="D176" s="36" t="s">
        <v>86</v>
      </c>
      <c r="E176" s="37" t="n">
        <v>5</v>
      </c>
      <c r="F176" s="38" t="s">
        <v>464</v>
      </c>
      <c r="G176" s="38" t="s">
        <v>465</v>
      </c>
      <c r="H176" s="36" t="s">
        <v>414</v>
      </c>
      <c r="I176" s="38" t="s">
        <v>90</v>
      </c>
      <c r="J176" s="38"/>
      <c r="K176" s="35" t="s">
        <v>44</v>
      </c>
    </row>
    <row r="177" customFormat="false" ht="15" hidden="false" customHeight="true" outlineLevel="0" collapsed="false">
      <c r="A177" s="39" t="n">
        <v>176</v>
      </c>
      <c r="B177" s="40" t="s">
        <v>466</v>
      </c>
      <c r="C177" s="39" t="s">
        <v>17</v>
      </c>
      <c r="D177" s="40" t="s">
        <v>86</v>
      </c>
      <c r="E177" s="41" t="n">
        <v>5</v>
      </c>
      <c r="F177" s="42" t="s">
        <v>467</v>
      </c>
      <c r="G177" s="42" t="s">
        <v>468</v>
      </c>
      <c r="H177" s="40" t="s">
        <v>414</v>
      </c>
      <c r="I177" s="42" t="s">
        <v>90</v>
      </c>
      <c r="J177" s="42"/>
      <c r="K177" s="39" t="s">
        <v>44</v>
      </c>
    </row>
    <row r="178" customFormat="false" ht="15" hidden="false" customHeight="true" outlineLevel="0" collapsed="false">
      <c r="A178" s="35" t="n">
        <v>177</v>
      </c>
      <c r="B178" s="36" t="s">
        <v>469</v>
      </c>
      <c r="C178" s="35" t="s">
        <v>17</v>
      </c>
      <c r="D178" s="36" t="s">
        <v>86</v>
      </c>
      <c r="E178" s="37" t="n">
        <v>5</v>
      </c>
      <c r="F178" s="38" t="s">
        <v>470</v>
      </c>
      <c r="G178" s="38" t="s">
        <v>471</v>
      </c>
      <c r="H178" s="36" t="s">
        <v>414</v>
      </c>
      <c r="I178" s="38" t="s">
        <v>90</v>
      </c>
      <c r="J178" s="38"/>
      <c r="K178" s="35" t="s">
        <v>44</v>
      </c>
    </row>
    <row r="179" customFormat="false" ht="15" hidden="false" customHeight="true" outlineLevel="0" collapsed="false">
      <c r="A179" s="39" t="n">
        <v>178</v>
      </c>
      <c r="B179" s="40" t="s">
        <v>472</v>
      </c>
      <c r="C179" s="39" t="s">
        <v>17</v>
      </c>
      <c r="D179" s="40" t="s">
        <v>86</v>
      </c>
      <c r="E179" s="41" t="n">
        <v>5</v>
      </c>
      <c r="F179" s="42" t="s">
        <v>473</v>
      </c>
      <c r="G179" s="42" t="s">
        <v>474</v>
      </c>
      <c r="H179" s="40" t="s">
        <v>414</v>
      </c>
      <c r="I179" s="42" t="s">
        <v>90</v>
      </c>
      <c r="J179" s="42"/>
      <c r="K179" s="39" t="s">
        <v>44</v>
      </c>
    </row>
    <row r="180" customFormat="false" ht="15" hidden="false" customHeight="true" outlineLevel="0" collapsed="false">
      <c r="A180" s="35" t="n">
        <v>179</v>
      </c>
      <c r="B180" s="36" t="s">
        <v>475</v>
      </c>
      <c r="C180" s="35" t="s">
        <v>17</v>
      </c>
      <c r="D180" s="36" t="s">
        <v>86</v>
      </c>
      <c r="E180" s="37" t="n">
        <v>5</v>
      </c>
      <c r="F180" s="38" t="s">
        <v>476</v>
      </c>
      <c r="G180" s="38" t="s">
        <v>477</v>
      </c>
      <c r="H180" s="36" t="s">
        <v>478</v>
      </c>
      <c r="I180" s="38" t="s">
        <v>90</v>
      </c>
      <c r="J180" s="38"/>
      <c r="K180" s="35" t="s">
        <v>44</v>
      </c>
    </row>
    <row r="181" customFormat="false" ht="15" hidden="false" customHeight="true" outlineLevel="0" collapsed="false">
      <c r="A181" s="39" t="n">
        <v>180</v>
      </c>
      <c r="B181" s="40" t="s">
        <v>475</v>
      </c>
      <c r="C181" s="39" t="s">
        <v>17</v>
      </c>
      <c r="D181" s="40" t="s">
        <v>86</v>
      </c>
      <c r="E181" s="41" t="n">
        <v>5</v>
      </c>
      <c r="F181" s="42" t="s">
        <v>479</v>
      </c>
      <c r="G181" s="42" t="s">
        <v>480</v>
      </c>
      <c r="H181" s="40" t="s">
        <v>478</v>
      </c>
      <c r="I181" s="42" t="s">
        <v>90</v>
      </c>
      <c r="J181" s="42"/>
      <c r="K181" s="39" t="s">
        <v>44</v>
      </c>
    </row>
    <row r="182" customFormat="false" ht="15" hidden="false" customHeight="true" outlineLevel="0" collapsed="false">
      <c r="A182" s="35" t="n">
        <v>181</v>
      </c>
      <c r="B182" s="36" t="s">
        <v>481</v>
      </c>
      <c r="C182" s="35" t="s">
        <v>17</v>
      </c>
      <c r="D182" s="36" t="s">
        <v>86</v>
      </c>
      <c r="E182" s="37" t="n">
        <v>5</v>
      </c>
      <c r="F182" s="38" t="s">
        <v>482</v>
      </c>
      <c r="G182" s="38" t="s">
        <v>483</v>
      </c>
      <c r="H182" s="36" t="s">
        <v>478</v>
      </c>
      <c r="I182" s="38" t="s">
        <v>90</v>
      </c>
      <c r="J182" s="38"/>
      <c r="K182" s="35" t="s">
        <v>44</v>
      </c>
    </row>
    <row r="183" customFormat="false" ht="15" hidden="false" customHeight="true" outlineLevel="0" collapsed="false">
      <c r="A183" s="39" t="n">
        <v>182</v>
      </c>
      <c r="B183" s="40" t="s">
        <v>484</v>
      </c>
      <c r="C183" s="39" t="s">
        <v>17</v>
      </c>
      <c r="D183" s="40" t="s">
        <v>86</v>
      </c>
      <c r="E183" s="41" t="n">
        <v>5</v>
      </c>
      <c r="F183" s="42" t="s">
        <v>485</v>
      </c>
      <c r="G183" s="42" t="s">
        <v>486</v>
      </c>
      <c r="H183" s="40" t="s">
        <v>478</v>
      </c>
      <c r="I183" s="42" t="s">
        <v>90</v>
      </c>
      <c r="J183" s="42"/>
      <c r="K183" s="39" t="s">
        <v>44</v>
      </c>
    </row>
    <row r="184" customFormat="false" ht="15" hidden="false" customHeight="true" outlineLevel="0" collapsed="false">
      <c r="A184" s="35" t="n">
        <v>183</v>
      </c>
      <c r="B184" s="36" t="s">
        <v>484</v>
      </c>
      <c r="C184" s="35" t="s">
        <v>17</v>
      </c>
      <c r="D184" s="36" t="s">
        <v>86</v>
      </c>
      <c r="E184" s="37" t="n">
        <v>5</v>
      </c>
      <c r="F184" s="38" t="s">
        <v>487</v>
      </c>
      <c r="G184" s="38" t="s">
        <v>488</v>
      </c>
      <c r="H184" s="36" t="s">
        <v>478</v>
      </c>
      <c r="I184" s="38" t="s">
        <v>90</v>
      </c>
      <c r="J184" s="38"/>
      <c r="K184" s="35" t="s">
        <v>44</v>
      </c>
    </row>
    <row r="185" customFormat="false" ht="15" hidden="false" customHeight="true" outlineLevel="0" collapsed="false">
      <c r="A185" s="39" t="n">
        <v>184</v>
      </c>
      <c r="B185" s="40" t="s">
        <v>489</v>
      </c>
      <c r="C185" s="39" t="s">
        <v>17</v>
      </c>
      <c r="D185" s="40" t="s">
        <v>86</v>
      </c>
      <c r="E185" s="41" t="n">
        <v>5</v>
      </c>
      <c r="F185" s="42" t="s">
        <v>490</v>
      </c>
      <c r="G185" s="42" t="s">
        <v>491</v>
      </c>
      <c r="H185" s="40" t="s">
        <v>478</v>
      </c>
      <c r="I185" s="42" t="s">
        <v>90</v>
      </c>
      <c r="J185" s="42"/>
      <c r="K185" s="39" t="s">
        <v>44</v>
      </c>
    </row>
    <row r="186" customFormat="false" ht="15" hidden="false" customHeight="true" outlineLevel="0" collapsed="false">
      <c r="A186" s="35" t="n">
        <v>185</v>
      </c>
      <c r="B186" s="36" t="s">
        <v>489</v>
      </c>
      <c r="C186" s="35" t="s">
        <v>17</v>
      </c>
      <c r="D186" s="36" t="s">
        <v>86</v>
      </c>
      <c r="E186" s="37" t="n">
        <v>5</v>
      </c>
      <c r="F186" s="38" t="s">
        <v>492</v>
      </c>
      <c r="G186" s="38" t="s">
        <v>493</v>
      </c>
      <c r="H186" s="36" t="s">
        <v>478</v>
      </c>
      <c r="I186" s="38" t="s">
        <v>90</v>
      </c>
      <c r="J186" s="38"/>
      <c r="K186" s="35" t="s">
        <v>44</v>
      </c>
    </row>
    <row r="187" customFormat="false" ht="15" hidden="false" customHeight="true" outlineLevel="0" collapsed="false">
      <c r="A187" s="39" t="n">
        <v>186</v>
      </c>
      <c r="B187" s="40" t="s">
        <v>484</v>
      </c>
      <c r="C187" s="39" t="s">
        <v>17</v>
      </c>
      <c r="D187" s="40" t="s">
        <v>86</v>
      </c>
      <c r="E187" s="41" t="n">
        <v>5</v>
      </c>
      <c r="F187" s="42" t="s">
        <v>494</v>
      </c>
      <c r="G187" s="42" t="s">
        <v>495</v>
      </c>
      <c r="H187" s="40" t="s">
        <v>478</v>
      </c>
      <c r="I187" s="42" t="s">
        <v>90</v>
      </c>
      <c r="J187" s="42"/>
      <c r="K187" s="39" t="s">
        <v>44</v>
      </c>
    </row>
    <row r="188" customFormat="false" ht="15" hidden="false" customHeight="true" outlineLevel="0" collapsed="false">
      <c r="A188" s="35" t="n">
        <v>187</v>
      </c>
      <c r="B188" s="36" t="s">
        <v>489</v>
      </c>
      <c r="C188" s="35" t="s">
        <v>17</v>
      </c>
      <c r="D188" s="36" t="s">
        <v>86</v>
      </c>
      <c r="E188" s="37" t="n">
        <v>5</v>
      </c>
      <c r="F188" s="38" t="s">
        <v>496</v>
      </c>
      <c r="G188" s="38" t="s">
        <v>497</v>
      </c>
      <c r="H188" s="36" t="s">
        <v>478</v>
      </c>
      <c r="I188" s="38" t="s">
        <v>90</v>
      </c>
      <c r="J188" s="38"/>
      <c r="K188" s="35" t="s">
        <v>44</v>
      </c>
    </row>
    <row r="189" customFormat="false" ht="15" hidden="false" customHeight="true" outlineLevel="0" collapsed="false">
      <c r="A189" s="39" t="n">
        <v>188</v>
      </c>
      <c r="B189" s="40" t="s">
        <v>489</v>
      </c>
      <c r="C189" s="39" t="s">
        <v>17</v>
      </c>
      <c r="D189" s="40" t="s">
        <v>86</v>
      </c>
      <c r="E189" s="41" t="n">
        <v>5</v>
      </c>
      <c r="F189" s="42" t="s">
        <v>498</v>
      </c>
      <c r="G189" s="42" t="s">
        <v>499</v>
      </c>
      <c r="H189" s="40" t="s">
        <v>478</v>
      </c>
      <c r="I189" s="42" t="s">
        <v>90</v>
      </c>
      <c r="J189" s="42"/>
      <c r="K189" s="39" t="s">
        <v>44</v>
      </c>
    </row>
    <row r="190" customFormat="false" ht="15" hidden="false" customHeight="true" outlineLevel="0" collapsed="false">
      <c r="A190" s="35" t="n">
        <v>189</v>
      </c>
      <c r="B190" s="36" t="s">
        <v>484</v>
      </c>
      <c r="C190" s="35" t="s">
        <v>17</v>
      </c>
      <c r="D190" s="36" t="s">
        <v>86</v>
      </c>
      <c r="E190" s="37" t="n">
        <v>5</v>
      </c>
      <c r="F190" s="38" t="s">
        <v>500</v>
      </c>
      <c r="G190" s="38" t="s">
        <v>501</v>
      </c>
      <c r="H190" s="36" t="s">
        <v>478</v>
      </c>
      <c r="I190" s="38" t="s">
        <v>90</v>
      </c>
      <c r="J190" s="38"/>
      <c r="K190" s="35" t="s">
        <v>44</v>
      </c>
    </row>
    <row r="191" customFormat="false" ht="15" hidden="false" customHeight="true" outlineLevel="0" collapsed="false">
      <c r="A191" s="39" t="n">
        <v>190</v>
      </c>
      <c r="B191" s="40" t="s">
        <v>484</v>
      </c>
      <c r="C191" s="39" t="s">
        <v>17</v>
      </c>
      <c r="D191" s="40" t="s">
        <v>86</v>
      </c>
      <c r="E191" s="41" t="n">
        <v>5</v>
      </c>
      <c r="F191" s="42" t="s">
        <v>498</v>
      </c>
      <c r="G191" s="42" t="s">
        <v>502</v>
      </c>
      <c r="H191" s="40" t="s">
        <v>478</v>
      </c>
      <c r="I191" s="42" t="s">
        <v>90</v>
      </c>
      <c r="J191" s="42"/>
      <c r="K191" s="39" t="s">
        <v>44</v>
      </c>
    </row>
    <row r="192" customFormat="false" ht="15" hidden="false" customHeight="true" outlineLevel="0" collapsed="false">
      <c r="A192" s="35" t="n">
        <v>191</v>
      </c>
      <c r="B192" s="36" t="s">
        <v>489</v>
      </c>
      <c r="C192" s="35" t="s">
        <v>17</v>
      </c>
      <c r="D192" s="36" t="s">
        <v>86</v>
      </c>
      <c r="E192" s="37" t="n">
        <v>5</v>
      </c>
      <c r="F192" s="38" t="s">
        <v>503</v>
      </c>
      <c r="G192" s="38" t="s">
        <v>504</v>
      </c>
      <c r="H192" s="36" t="s">
        <v>478</v>
      </c>
      <c r="I192" s="38" t="s">
        <v>90</v>
      </c>
      <c r="J192" s="38"/>
      <c r="K192" s="35" t="s">
        <v>44</v>
      </c>
    </row>
    <row r="193" customFormat="false" ht="15" hidden="false" customHeight="true" outlineLevel="0" collapsed="false">
      <c r="A193" s="39" t="n">
        <v>192</v>
      </c>
      <c r="B193" s="40" t="s">
        <v>489</v>
      </c>
      <c r="C193" s="39" t="s">
        <v>17</v>
      </c>
      <c r="D193" s="40" t="s">
        <v>86</v>
      </c>
      <c r="E193" s="41" t="n">
        <v>5</v>
      </c>
      <c r="F193" s="42" t="s">
        <v>503</v>
      </c>
      <c r="G193" s="42" t="s">
        <v>505</v>
      </c>
      <c r="H193" s="40" t="s">
        <v>478</v>
      </c>
      <c r="I193" s="42" t="s">
        <v>90</v>
      </c>
      <c r="J193" s="42"/>
      <c r="K193" s="39" t="s">
        <v>44</v>
      </c>
    </row>
    <row r="194" customFormat="false" ht="15" hidden="false" customHeight="true" outlineLevel="0" collapsed="false">
      <c r="A194" s="35" t="n">
        <v>193</v>
      </c>
      <c r="B194" s="36" t="s">
        <v>489</v>
      </c>
      <c r="C194" s="35" t="s">
        <v>17</v>
      </c>
      <c r="D194" s="36" t="s">
        <v>86</v>
      </c>
      <c r="E194" s="37" t="n">
        <v>5</v>
      </c>
      <c r="F194" s="38" t="s">
        <v>506</v>
      </c>
      <c r="G194" s="38" t="s">
        <v>507</v>
      </c>
      <c r="H194" s="36" t="s">
        <v>478</v>
      </c>
      <c r="I194" s="38" t="s">
        <v>90</v>
      </c>
      <c r="J194" s="38"/>
      <c r="K194" s="35" t="s">
        <v>44</v>
      </c>
    </row>
    <row r="195" customFormat="false" ht="15" hidden="false" customHeight="true" outlineLevel="0" collapsed="false">
      <c r="A195" s="39" t="n">
        <v>194</v>
      </c>
      <c r="B195" s="40" t="s">
        <v>508</v>
      </c>
      <c r="C195" s="39" t="s">
        <v>17</v>
      </c>
      <c r="D195" s="40" t="s">
        <v>86</v>
      </c>
      <c r="E195" s="41" t="n">
        <v>5</v>
      </c>
      <c r="F195" s="42" t="s">
        <v>509</v>
      </c>
      <c r="G195" s="42" t="s">
        <v>510</v>
      </c>
      <c r="H195" s="40" t="s">
        <v>478</v>
      </c>
      <c r="I195" s="42" t="s">
        <v>90</v>
      </c>
      <c r="J195" s="42"/>
      <c r="K195" s="39" t="s">
        <v>44</v>
      </c>
    </row>
    <row r="196" customFormat="false" ht="15" hidden="false" customHeight="true" outlineLevel="0" collapsed="false">
      <c r="A196" s="35" t="n">
        <v>195</v>
      </c>
      <c r="B196" s="36" t="s">
        <v>489</v>
      </c>
      <c r="C196" s="35" t="s">
        <v>17</v>
      </c>
      <c r="D196" s="36" t="s">
        <v>86</v>
      </c>
      <c r="E196" s="37" t="n">
        <v>5</v>
      </c>
      <c r="F196" s="38" t="s">
        <v>511</v>
      </c>
      <c r="G196" s="38" t="s">
        <v>512</v>
      </c>
      <c r="H196" s="36" t="s">
        <v>478</v>
      </c>
      <c r="I196" s="38" t="s">
        <v>90</v>
      </c>
      <c r="J196" s="38"/>
      <c r="K196" s="35" t="s">
        <v>44</v>
      </c>
    </row>
    <row r="197" customFormat="false" ht="15" hidden="false" customHeight="true" outlineLevel="0" collapsed="false">
      <c r="A197" s="39" t="n">
        <v>196</v>
      </c>
      <c r="B197" s="40" t="s">
        <v>513</v>
      </c>
      <c r="C197" s="39" t="s">
        <v>17</v>
      </c>
      <c r="D197" s="40" t="s">
        <v>86</v>
      </c>
      <c r="E197" s="41" t="n">
        <v>5</v>
      </c>
      <c r="F197" s="42" t="s">
        <v>514</v>
      </c>
      <c r="G197" s="42" t="s">
        <v>515</v>
      </c>
      <c r="H197" s="40" t="s">
        <v>478</v>
      </c>
      <c r="I197" s="42" t="s">
        <v>90</v>
      </c>
      <c r="J197" s="42"/>
      <c r="K197" s="39" t="s">
        <v>44</v>
      </c>
    </row>
    <row r="198" customFormat="false" ht="15" hidden="false" customHeight="true" outlineLevel="0" collapsed="false">
      <c r="A198" s="35" t="n">
        <v>197</v>
      </c>
      <c r="B198" s="36" t="s">
        <v>489</v>
      </c>
      <c r="C198" s="35" t="s">
        <v>17</v>
      </c>
      <c r="D198" s="36" t="s">
        <v>86</v>
      </c>
      <c r="E198" s="37" t="n">
        <v>5</v>
      </c>
      <c r="F198" s="38" t="s">
        <v>516</v>
      </c>
      <c r="G198" s="38" t="s">
        <v>517</v>
      </c>
      <c r="H198" s="36" t="s">
        <v>478</v>
      </c>
      <c r="I198" s="38" t="s">
        <v>90</v>
      </c>
      <c r="J198" s="38"/>
      <c r="K198" s="35" t="s">
        <v>44</v>
      </c>
    </row>
    <row r="199" customFormat="false" ht="15" hidden="false" customHeight="true" outlineLevel="0" collapsed="false">
      <c r="A199" s="39" t="n">
        <v>198</v>
      </c>
      <c r="B199" s="40" t="s">
        <v>489</v>
      </c>
      <c r="C199" s="39" t="s">
        <v>17</v>
      </c>
      <c r="D199" s="40" t="s">
        <v>86</v>
      </c>
      <c r="E199" s="41" t="n">
        <v>5</v>
      </c>
      <c r="F199" s="42" t="s">
        <v>500</v>
      </c>
      <c r="G199" s="42" t="s">
        <v>518</v>
      </c>
      <c r="H199" s="40" t="s">
        <v>478</v>
      </c>
      <c r="I199" s="42" t="s">
        <v>90</v>
      </c>
      <c r="J199" s="42"/>
      <c r="K199" s="39" t="s">
        <v>44</v>
      </c>
    </row>
    <row r="200" customFormat="false" ht="15" hidden="false" customHeight="true" outlineLevel="0" collapsed="false">
      <c r="A200" s="35" t="n">
        <v>199</v>
      </c>
      <c r="B200" s="36" t="s">
        <v>489</v>
      </c>
      <c r="C200" s="35" t="s">
        <v>17</v>
      </c>
      <c r="D200" s="36" t="s">
        <v>86</v>
      </c>
      <c r="E200" s="37" t="n">
        <v>5</v>
      </c>
      <c r="F200" s="38" t="s">
        <v>519</v>
      </c>
      <c r="G200" s="38" t="s">
        <v>520</v>
      </c>
      <c r="H200" s="36" t="s">
        <v>478</v>
      </c>
      <c r="I200" s="38" t="s">
        <v>90</v>
      </c>
      <c r="J200" s="38"/>
      <c r="K200" s="35" t="s">
        <v>44</v>
      </c>
    </row>
    <row r="201" customFormat="false" ht="15" hidden="false" customHeight="true" outlineLevel="0" collapsed="false">
      <c r="A201" s="39" t="n">
        <v>200</v>
      </c>
      <c r="B201" s="40" t="s">
        <v>489</v>
      </c>
      <c r="C201" s="39" t="s">
        <v>17</v>
      </c>
      <c r="D201" s="40" t="s">
        <v>86</v>
      </c>
      <c r="E201" s="41" t="n">
        <v>5</v>
      </c>
      <c r="F201" s="42" t="s">
        <v>521</v>
      </c>
      <c r="G201" s="42" t="s">
        <v>522</v>
      </c>
      <c r="H201" s="40" t="s">
        <v>478</v>
      </c>
      <c r="I201" s="42" t="s">
        <v>90</v>
      </c>
      <c r="J201" s="42"/>
      <c r="K201" s="39" t="s">
        <v>44</v>
      </c>
    </row>
    <row r="202" customFormat="false" ht="15" hidden="false" customHeight="true" outlineLevel="0" collapsed="false">
      <c r="A202" s="35" t="n">
        <v>201</v>
      </c>
      <c r="B202" s="36" t="s">
        <v>489</v>
      </c>
      <c r="C202" s="35" t="s">
        <v>17</v>
      </c>
      <c r="D202" s="36" t="s">
        <v>86</v>
      </c>
      <c r="E202" s="37" t="n">
        <v>5</v>
      </c>
      <c r="F202" s="38" t="s">
        <v>523</v>
      </c>
      <c r="G202" s="38" t="s">
        <v>524</v>
      </c>
      <c r="H202" s="36" t="s">
        <v>478</v>
      </c>
      <c r="I202" s="38" t="s">
        <v>90</v>
      </c>
      <c r="J202" s="38"/>
      <c r="K202" s="35" t="s">
        <v>44</v>
      </c>
    </row>
    <row r="203" customFormat="false" ht="15" hidden="false" customHeight="true" outlineLevel="0" collapsed="false">
      <c r="A203" s="39" t="n">
        <v>202</v>
      </c>
      <c r="B203" s="40" t="s">
        <v>489</v>
      </c>
      <c r="C203" s="39" t="s">
        <v>17</v>
      </c>
      <c r="D203" s="40" t="s">
        <v>86</v>
      </c>
      <c r="E203" s="41" t="n">
        <v>5</v>
      </c>
      <c r="F203" s="42" t="s">
        <v>525</v>
      </c>
      <c r="G203" s="42" t="s">
        <v>526</v>
      </c>
      <c r="H203" s="40" t="s">
        <v>478</v>
      </c>
      <c r="I203" s="42" t="s">
        <v>90</v>
      </c>
      <c r="J203" s="42"/>
      <c r="K203" s="39" t="s">
        <v>44</v>
      </c>
    </row>
    <row r="204" customFormat="false" ht="15" hidden="false" customHeight="true" outlineLevel="0" collapsed="false">
      <c r="A204" s="35" t="n">
        <v>203</v>
      </c>
      <c r="B204" s="36" t="s">
        <v>489</v>
      </c>
      <c r="C204" s="35" t="s">
        <v>17</v>
      </c>
      <c r="D204" s="36" t="s">
        <v>86</v>
      </c>
      <c r="E204" s="37" t="n">
        <v>5</v>
      </c>
      <c r="F204" s="38" t="s">
        <v>527</v>
      </c>
      <c r="G204" s="38" t="s">
        <v>528</v>
      </c>
      <c r="H204" s="36" t="s">
        <v>478</v>
      </c>
      <c r="I204" s="38" t="s">
        <v>90</v>
      </c>
      <c r="J204" s="38"/>
      <c r="K204" s="35" t="s">
        <v>44</v>
      </c>
    </row>
    <row r="205" customFormat="false" ht="15" hidden="false" customHeight="true" outlineLevel="0" collapsed="false">
      <c r="A205" s="39" t="n">
        <v>204</v>
      </c>
      <c r="B205" s="40" t="s">
        <v>489</v>
      </c>
      <c r="C205" s="39" t="s">
        <v>17</v>
      </c>
      <c r="D205" s="40" t="s">
        <v>86</v>
      </c>
      <c r="E205" s="41" t="n">
        <v>5</v>
      </c>
      <c r="F205" s="42" t="s">
        <v>529</v>
      </c>
      <c r="G205" s="42" t="s">
        <v>530</v>
      </c>
      <c r="H205" s="40" t="s">
        <v>478</v>
      </c>
      <c r="I205" s="42" t="s">
        <v>90</v>
      </c>
      <c r="J205" s="42"/>
      <c r="K205" s="39" t="s">
        <v>44</v>
      </c>
    </row>
    <row r="206" customFormat="false" ht="15" hidden="false" customHeight="true" outlineLevel="0" collapsed="false">
      <c r="A206" s="35" t="n">
        <v>205</v>
      </c>
      <c r="B206" s="36" t="s">
        <v>489</v>
      </c>
      <c r="C206" s="35" t="s">
        <v>17</v>
      </c>
      <c r="D206" s="36" t="s">
        <v>86</v>
      </c>
      <c r="E206" s="37" t="n">
        <v>5</v>
      </c>
      <c r="F206" s="38" t="s">
        <v>531</v>
      </c>
      <c r="G206" s="38" t="s">
        <v>532</v>
      </c>
      <c r="H206" s="36" t="s">
        <v>478</v>
      </c>
      <c r="I206" s="38" t="s">
        <v>90</v>
      </c>
      <c r="J206" s="38"/>
      <c r="K206" s="35" t="s">
        <v>44</v>
      </c>
    </row>
    <row r="207" customFormat="false" ht="15" hidden="false" customHeight="true" outlineLevel="0" collapsed="false">
      <c r="A207" s="39" t="n">
        <v>206</v>
      </c>
      <c r="B207" s="40" t="s">
        <v>489</v>
      </c>
      <c r="C207" s="39" t="s">
        <v>17</v>
      </c>
      <c r="D207" s="40" t="s">
        <v>86</v>
      </c>
      <c r="E207" s="41" t="n">
        <v>5</v>
      </c>
      <c r="F207" s="42" t="s">
        <v>533</v>
      </c>
      <c r="G207" s="42" t="s">
        <v>534</v>
      </c>
      <c r="H207" s="40" t="s">
        <v>478</v>
      </c>
      <c r="I207" s="42" t="s">
        <v>90</v>
      </c>
      <c r="J207" s="42"/>
      <c r="K207" s="39" t="s">
        <v>44</v>
      </c>
    </row>
    <row r="208" customFormat="false" ht="15" hidden="false" customHeight="true" outlineLevel="0" collapsed="false">
      <c r="A208" s="35" t="n">
        <v>207</v>
      </c>
      <c r="B208" s="36" t="s">
        <v>489</v>
      </c>
      <c r="C208" s="35" t="s">
        <v>17</v>
      </c>
      <c r="D208" s="36" t="s">
        <v>86</v>
      </c>
      <c r="E208" s="37" t="n">
        <v>5</v>
      </c>
      <c r="F208" s="38" t="s">
        <v>535</v>
      </c>
      <c r="G208" s="38" t="s">
        <v>536</v>
      </c>
      <c r="H208" s="36" t="s">
        <v>478</v>
      </c>
      <c r="I208" s="38" t="s">
        <v>90</v>
      </c>
      <c r="J208" s="38"/>
      <c r="K208" s="35" t="s">
        <v>44</v>
      </c>
    </row>
    <row r="209" customFormat="false" ht="15" hidden="false" customHeight="true" outlineLevel="0" collapsed="false">
      <c r="A209" s="39" t="n">
        <v>208</v>
      </c>
      <c r="B209" s="40" t="s">
        <v>489</v>
      </c>
      <c r="C209" s="39" t="s">
        <v>17</v>
      </c>
      <c r="D209" s="40" t="s">
        <v>86</v>
      </c>
      <c r="E209" s="41" t="n">
        <v>5</v>
      </c>
      <c r="F209" s="42" t="s">
        <v>537</v>
      </c>
      <c r="G209" s="42" t="s">
        <v>538</v>
      </c>
      <c r="H209" s="40" t="s">
        <v>478</v>
      </c>
      <c r="I209" s="42" t="s">
        <v>90</v>
      </c>
      <c r="J209" s="42"/>
      <c r="K209" s="39" t="s">
        <v>44</v>
      </c>
    </row>
    <row r="210" customFormat="false" ht="15" hidden="false" customHeight="true" outlineLevel="0" collapsed="false">
      <c r="A210" s="35" t="n">
        <v>209</v>
      </c>
      <c r="B210" s="36" t="s">
        <v>539</v>
      </c>
      <c r="C210" s="35" t="s">
        <v>22</v>
      </c>
      <c r="D210" s="36" t="s">
        <v>86</v>
      </c>
      <c r="E210" s="37" t="n">
        <v>5</v>
      </c>
      <c r="F210" s="38" t="s">
        <v>540</v>
      </c>
      <c r="G210" s="38" t="s">
        <v>541</v>
      </c>
      <c r="H210" s="38" t="s">
        <v>542</v>
      </c>
      <c r="I210" s="38" t="s">
        <v>543</v>
      </c>
      <c r="J210" s="38"/>
      <c r="K210" s="35" t="s">
        <v>44</v>
      </c>
    </row>
    <row r="211" customFormat="false" ht="15" hidden="false" customHeight="true" outlineLevel="0" collapsed="false">
      <c r="A211" s="39" t="n">
        <v>210</v>
      </c>
      <c r="B211" s="40" t="s">
        <v>539</v>
      </c>
      <c r="C211" s="39" t="s">
        <v>22</v>
      </c>
      <c r="D211" s="40" t="s">
        <v>86</v>
      </c>
      <c r="E211" s="41" t="n">
        <v>5</v>
      </c>
      <c r="F211" s="42" t="s">
        <v>544</v>
      </c>
      <c r="G211" s="42" t="s">
        <v>545</v>
      </c>
      <c r="H211" s="42" t="s">
        <v>542</v>
      </c>
      <c r="I211" s="42" t="s">
        <v>546</v>
      </c>
      <c r="J211" s="42"/>
      <c r="K211" s="39" t="s">
        <v>44</v>
      </c>
    </row>
    <row r="212" customFormat="false" ht="15" hidden="false" customHeight="true" outlineLevel="0" collapsed="false">
      <c r="A212" s="35" t="n">
        <v>211</v>
      </c>
      <c r="B212" s="36" t="s">
        <v>547</v>
      </c>
      <c r="C212" s="35" t="s">
        <v>22</v>
      </c>
      <c r="D212" s="36" t="s">
        <v>86</v>
      </c>
      <c r="E212" s="37" t="n">
        <v>5</v>
      </c>
      <c r="F212" s="38" t="s">
        <v>548</v>
      </c>
      <c r="G212" s="38" t="s">
        <v>549</v>
      </c>
      <c r="H212" s="38" t="s">
        <v>542</v>
      </c>
      <c r="I212" s="38" t="s">
        <v>550</v>
      </c>
      <c r="J212" s="38"/>
      <c r="K212" s="35" t="s">
        <v>44</v>
      </c>
    </row>
    <row r="213" customFormat="false" ht="15" hidden="false" customHeight="true" outlineLevel="0" collapsed="false">
      <c r="A213" s="39" t="n">
        <v>212</v>
      </c>
      <c r="B213" s="40" t="s">
        <v>551</v>
      </c>
      <c r="C213" s="39" t="s">
        <v>22</v>
      </c>
      <c r="D213" s="40" t="s">
        <v>86</v>
      </c>
      <c r="E213" s="41" t="n">
        <v>5</v>
      </c>
      <c r="F213" s="42" t="s">
        <v>552</v>
      </c>
      <c r="G213" s="42" t="s">
        <v>553</v>
      </c>
      <c r="H213" s="42" t="s">
        <v>542</v>
      </c>
      <c r="I213" s="42" t="s">
        <v>554</v>
      </c>
      <c r="J213" s="42"/>
      <c r="K213" s="39" t="s">
        <v>44</v>
      </c>
    </row>
    <row r="214" customFormat="false" ht="15" hidden="false" customHeight="true" outlineLevel="0" collapsed="false">
      <c r="A214" s="35" t="n">
        <v>213</v>
      </c>
      <c r="B214" s="36" t="s">
        <v>555</v>
      </c>
      <c r="C214" s="35" t="s">
        <v>22</v>
      </c>
      <c r="D214" s="36" t="s">
        <v>86</v>
      </c>
      <c r="E214" s="37" t="n">
        <v>5</v>
      </c>
      <c r="F214" s="38" t="s">
        <v>556</v>
      </c>
      <c r="G214" s="38" t="s">
        <v>557</v>
      </c>
      <c r="H214" s="38" t="s">
        <v>542</v>
      </c>
      <c r="I214" s="38" t="s">
        <v>558</v>
      </c>
      <c r="J214" s="38"/>
      <c r="K214" s="35" t="s">
        <v>44</v>
      </c>
    </row>
    <row r="215" customFormat="false" ht="15" hidden="false" customHeight="true" outlineLevel="0" collapsed="false">
      <c r="A215" s="39" t="n">
        <v>214</v>
      </c>
      <c r="B215" s="40" t="s">
        <v>559</v>
      </c>
      <c r="C215" s="39" t="s">
        <v>22</v>
      </c>
      <c r="D215" s="40" t="s">
        <v>86</v>
      </c>
      <c r="E215" s="41" t="n">
        <v>5</v>
      </c>
      <c r="F215" s="42" t="s">
        <v>560</v>
      </c>
      <c r="G215" s="42" t="s">
        <v>561</v>
      </c>
      <c r="H215" s="42" t="s">
        <v>542</v>
      </c>
      <c r="I215" s="42" t="s">
        <v>562</v>
      </c>
      <c r="J215" s="42"/>
      <c r="K215" s="39" t="s">
        <v>44</v>
      </c>
    </row>
    <row r="216" customFormat="false" ht="15" hidden="false" customHeight="true" outlineLevel="0" collapsed="false">
      <c r="A216" s="35" t="n">
        <v>215</v>
      </c>
      <c r="B216" s="36" t="s">
        <v>559</v>
      </c>
      <c r="C216" s="35" t="s">
        <v>22</v>
      </c>
      <c r="D216" s="36" t="s">
        <v>86</v>
      </c>
      <c r="E216" s="37" t="n">
        <v>5</v>
      </c>
      <c r="F216" s="38" t="s">
        <v>563</v>
      </c>
      <c r="G216" s="38" t="s">
        <v>564</v>
      </c>
      <c r="H216" s="38" t="s">
        <v>542</v>
      </c>
      <c r="I216" s="38" t="s">
        <v>565</v>
      </c>
      <c r="J216" s="38"/>
      <c r="K216" s="35" t="s">
        <v>44</v>
      </c>
    </row>
    <row r="217" customFormat="false" ht="15" hidden="false" customHeight="true" outlineLevel="0" collapsed="false">
      <c r="A217" s="39" t="n">
        <v>216</v>
      </c>
      <c r="B217" s="40" t="s">
        <v>566</v>
      </c>
      <c r="C217" s="39" t="s">
        <v>22</v>
      </c>
      <c r="D217" s="40" t="s">
        <v>86</v>
      </c>
      <c r="E217" s="41" t="n">
        <v>5</v>
      </c>
      <c r="F217" s="42" t="s">
        <v>567</v>
      </c>
      <c r="G217" s="42" t="s">
        <v>568</v>
      </c>
      <c r="H217" s="42" t="s">
        <v>542</v>
      </c>
      <c r="I217" s="42" t="s">
        <v>569</v>
      </c>
      <c r="J217" s="42"/>
      <c r="K217" s="39" t="s">
        <v>44</v>
      </c>
    </row>
    <row r="218" customFormat="false" ht="15" hidden="false" customHeight="true" outlineLevel="0" collapsed="false">
      <c r="A218" s="35" t="n">
        <v>217</v>
      </c>
      <c r="B218" s="36" t="s">
        <v>566</v>
      </c>
      <c r="C218" s="35" t="s">
        <v>22</v>
      </c>
      <c r="D218" s="36" t="s">
        <v>86</v>
      </c>
      <c r="E218" s="37" t="n">
        <v>5</v>
      </c>
      <c r="F218" s="38" t="s">
        <v>570</v>
      </c>
      <c r="G218" s="38" t="s">
        <v>571</v>
      </c>
      <c r="H218" s="38" t="s">
        <v>542</v>
      </c>
      <c r="I218" s="38" t="s">
        <v>572</v>
      </c>
      <c r="J218" s="38"/>
      <c r="K218" s="35" t="s">
        <v>44</v>
      </c>
    </row>
    <row r="219" customFormat="false" ht="15" hidden="false" customHeight="true" outlineLevel="0" collapsed="false">
      <c r="A219" s="39" t="n">
        <v>218</v>
      </c>
      <c r="B219" s="40" t="s">
        <v>566</v>
      </c>
      <c r="C219" s="39" t="s">
        <v>22</v>
      </c>
      <c r="D219" s="40" t="s">
        <v>86</v>
      </c>
      <c r="E219" s="41" t="n">
        <v>5</v>
      </c>
      <c r="F219" s="42" t="s">
        <v>573</v>
      </c>
      <c r="G219" s="42" t="s">
        <v>574</v>
      </c>
      <c r="H219" s="42" t="s">
        <v>542</v>
      </c>
      <c r="I219" s="42" t="s">
        <v>575</v>
      </c>
      <c r="J219" s="42"/>
      <c r="K219" s="39" t="s">
        <v>44</v>
      </c>
    </row>
    <row r="220" customFormat="false" ht="15" hidden="false" customHeight="true" outlineLevel="0" collapsed="false">
      <c r="A220" s="35" t="n">
        <v>219</v>
      </c>
      <c r="B220" s="36" t="s">
        <v>566</v>
      </c>
      <c r="C220" s="35" t="s">
        <v>22</v>
      </c>
      <c r="D220" s="36" t="s">
        <v>86</v>
      </c>
      <c r="E220" s="37" t="n">
        <v>5</v>
      </c>
      <c r="F220" s="38" t="s">
        <v>576</v>
      </c>
      <c r="G220" s="38" t="s">
        <v>577</v>
      </c>
      <c r="H220" s="38" t="s">
        <v>542</v>
      </c>
      <c r="I220" s="38" t="s">
        <v>578</v>
      </c>
      <c r="J220" s="38"/>
      <c r="K220" s="35" t="s">
        <v>44</v>
      </c>
    </row>
    <row r="221" customFormat="false" ht="15" hidden="false" customHeight="true" outlineLevel="0" collapsed="false">
      <c r="A221" s="39" t="n">
        <v>220</v>
      </c>
      <c r="B221" s="40" t="s">
        <v>566</v>
      </c>
      <c r="C221" s="39" t="s">
        <v>22</v>
      </c>
      <c r="D221" s="40" t="s">
        <v>86</v>
      </c>
      <c r="E221" s="41" t="n">
        <v>5</v>
      </c>
      <c r="F221" s="42" t="s">
        <v>579</v>
      </c>
      <c r="G221" s="42" t="s">
        <v>580</v>
      </c>
      <c r="H221" s="42" t="s">
        <v>542</v>
      </c>
      <c r="I221" s="42" t="s">
        <v>581</v>
      </c>
      <c r="J221" s="42"/>
      <c r="K221" s="39" t="s">
        <v>44</v>
      </c>
    </row>
    <row r="222" customFormat="false" ht="15" hidden="false" customHeight="true" outlineLevel="0" collapsed="false">
      <c r="A222" s="35" t="n">
        <v>221</v>
      </c>
      <c r="B222" s="36" t="s">
        <v>582</v>
      </c>
      <c r="C222" s="35" t="s">
        <v>22</v>
      </c>
      <c r="D222" s="36" t="s">
        <v>86</v>
      </c>
      <c r="E222" s="37" t="n">
        <v>5</v>
      </c>
      <c r="F222" s="38" t="s">
        <v>583</v>
      </c>
      <c r="G222" s="38" t="s">
        <v>584</v>
      </c>
      <c r="H222" s="38" t="s">
        <v>542</v>
      </c>
      <c r="I222" s="38" t="s">
        <v>585</v>
      </c>
      <c r="J222" s="38"/>
      <c r="K222" s="35" t="s">
        <v>44</v>
      </c>
    </row>
    <row r="223" customFormat="false" ht="15" hidden="false" customHeight="true" outlineLevel="0" collapsed="false">
      <c r="A223" s="39" t="n">
        <v>222</v>
      </c>
      <c r="B223" s="40" t="s">
        <v>586</v>
      </c>
      <c r="C223" s="39" t="s">
        <v>22</v>
      </c>
      <c r="D223" s="40" t="s">
        <v>86</v>
      </c>
      <c r="E223" s="41" t="n">
        <v>5</v>
      </c>
      <c r="F223" s="42" t="s">
        <v>587</v>
      </c>
      <c r="G223" s="42" t="s">
        <v>588</v>
      </c>
      <c r="H223" s="42" t="s">
        <v>542</v>
      </c>
      <c r="I223" s="42" t="s">
        <v>589</v>
      </c>
      <c r="J223" s="42"/>
      <c r="K223" s="39" t="s">
        <v>44</v>
      </c>
    </row>
    <row r="224" customFormat="false" ht="15" hidden="false" customHeight="true" outlineLevel="0" collapsed="false">
      <c r="A224" s="35" t="n">
        <v>223</v>
      </c>
      <c r="B224" s="36" t="s">
        <v>582</v>
      </c>
      <c r="C224" s="35" t="s">
        <v>22</v>
      </c>
      <c r="D224" s="36" t="s">
        <v>86</v>
      </c>
      <c r="E224" s="37" t="n">
        <v>5</v>
      </c>
      <c r="F224" s="38" t="s">
        <v>590</v>
      </c>
      <c r="G224" s="38" t="s">
        <v>591</v>
      </c>
      <c r="H224" s="38" t="s">
        <v>542</v>
      </c>
      <c r="I224" s="38" t="s">
        <v>592</v>
      </c>
      <c r="J224" s="38"/>
      <c r="K224" s="35" t="s">
        <v>44</v>
      </c>
    </row>
    <row r="225" customFormat="false" ht="15" hidden="false" customHeight="true" outlineLevel="0" collapsed="false">
      <c r="A225" s="39" t="n">
        <v>224</v>
      </c>
      <c r="B225" s="40" t="s">
        <v>582</v>
      </c>
      <c r="C225" s="39" t="s">
        <v>22</v>
      </c>
      <c r="D225" s="40" t="s">
        <v>86</v>
      </c>
      <c r="E225" s="41" t="n">
        <v>5</v>
      </c>
      <c r="F225" s="42" t="s">
        <v>593</v>
      </c>
      <c r="G225" s="42" t="s">
        <v>594</v>
      </c>
      <c r="H225" s="42" t="s">
        <v>542</v>
      </c>
      <c r="I225" s="42" t="s">
        <v>595</v>
      </c>
      <c r="J225" s="42"/>
      <c r="K225" s="39" t="s">
        <v>44</v>
      </c>
    </row>
    <row r="226" customFormat="false" ht="15" hidden="false" customHeight="true" outlineLevel="0" collapsed="false">
      <c r="A226" s="35" t="n">
        <v>225</v>
      </c>
      <c r="B226" s="36" t="s">
        <v>582</v>
      </c>
      <c r="C226" s="35" t="s">
        <v>22</v>
      </c>
      <c r="D226" s="36" t="s">
        <v>86</v>
      </c>
      <c r="E226" s="37" t="n">
        <v>5</v>
      </c>
      <c r="F226" s="38" t="s">
        <v>596</v>
      </c>
      <c r="G226" s="38" t="s">
        <v>597</v>
      </c>
      <c r="H226" s="38" t="s">
        <v>542</v>
      </c>
      <c r="I226" s="38" t="s">
        <v>598</v>
      </c>
      <c r="J226" s="38"/>
      <c r="K226" s="35" t="s">
        <v>44</v>
      </c>
    </row>
    <row r="227" customFormat="false" ht="15" hidden="false" customHeight="true" outlineLevel="0" collapsed="false">
      <c r="A227" s="39" t="n">
        <v>226</v>
      </c>
      <c r="B227" s="40" t="s">
        <v>582</v>
      </c>
      <c r="C227" s="39" t="s">
        <v>22</v>
      </c>
      <c r="D227" s="40" t="s">
        <v>86</v>
      </c>
      <c r="E227" s="41" t="n">
        <v>5</v>
      </c>
      <c r="F227" s="42" t="s">
        <v>599</v>
      </c>
      <c r="G227" s="42" t="s">
        <v>600</v>
      </c>
      <c r="H227" s="42" t="s">
        <v>542</v>
      </c>
      <c r="I227" s="42" t="s">
        <v>601</v>
      </c>
      <c r="J227" s="42"/>
      <c r="K227" s="39" t="s">
        <v>44</v>
      </c>
    </row>
    <row r="228" customFormat="false" ht="15" hidden="false" customHeight="true" outlineLevel="0" collapsed="false">
      <c r="A228" s="35" t="n">
        <v>227</v>
      </c>
      <c r="B228" s="36" t="s">
        <v>582</v>
      </c>
      <c r="C228" s="35" t="s">
        <v>22</v>
      </c>
      <c r="D228" s="36" t="s">
        <v>86</v>
      </c>
      <c r="E228" s="37" t="n">
        <v>5</v>
      </c>
      <c r="F228" s="38" t="s">
        <v>602</v>
      </c>
      <c r="G228" s="38" t="s">
        <v>603</v>
      </c>
      <c r="H228" s="38" t="s">
        <v>542</v>
      </c>
      <c r="I228" s="38" t="s">
        <v>604</v>
      </c>
      <c r="J228" s="38"/>
      <c r="K228" s="35" t="s">
        <v>44</v>
      </c>
    </row>
    <row r="229" customFormat="false" ht="15" hidden="false" customHeight="true" outlineLevel="0" collapsed="false">
      <c r="A229" s="39" t="n">
        <v>228</v>
      </c>
      <c r="B229" s="40" t="s">
        <v>605</v>
      </c>
      <c r="C229" s="39" t="s">
        <v>22</v>
      </c>
      <c r="D229" s="40" t="s">
        <v>86</v>
      </c>
      <c r="E229" s="41" t="n">
        <v>5</v>
      </c>
      <c r="F229" s="42" t="s">
        <v>606</v>
      </c>
      <c r="G229" s="42" t="s">
        <v>607</v>
      </c>
      <c r="H229" s="42" t="s">
        <v>542</v>
      </c>
      <c r="I229" s="42" t="s">
        <v>608</v>
      </c>
      <c r="J229" s="42"/>
      <c r="K229" s="39" t="s">
        <v>44</v>
      </c>
    </row>
    <row r="230" customFormat="false" ht="15" hidden="false" customHeight="true" outlineLevel="0" collapsed="false">
      <c r="A230" s="35" t="n">
        <v>229</v>
      </c>
      <c r="B230" s="36" t="s">
        <v>605</v>
      </c>
      <c r="C230" s="35" t="s">
        <v>22</v>
      </c>
      <c r="D230" s="36" t="s">
        <v>86</v>
      </c>
      <c r="E230" s="37" t="n">
        <v>5</v>
      </c>
      <c r="F230" s="38" t="s">
        <v>609</v>
      </c>
      <c r="G230" s="38" t="s">
        <v>610</v>
      </c>
      <c r="H230" s="38" t="s">
        <v>542</v>
      </c>
      <c r="I230" s="38" t="s">
        <v>611</v>
      </c>
      <c r="J230" s="38"/>
      <c r="K230" s="35" t="s">
        <v>44</v>
      </c>
    </row>
    <row r="231" customFormat="false" ht="15" hidden="false" customHeight="true" outlineLevel="0" collapsed="false">
      <c r="A231" s="39" t="n">
        <v>230</v>
      </c>
      <c r="B231" s="40" t="s">
        <v>605</v>
      </c>
      <c r="C231" s="39" t="s">
        <v>22</v>
      </c>
      <c r="D231" s="40" t="s">
        <v>86</v>
      </c>
      <c r="E231" s="41" t="n">
        <v>5</v>
      </c>
      <c r="F231" s="42" t="s">
        <v>612</v>
      </c>
      <c r="G231" s="42" t="s">
        <v>613</v>
      </c>
      <c r="H231" s="42" t="s">
        <v>542</v>
      </c>
      <c r="I231" s="42" t="s">
        <v>614</v>
      </c>
      <c r="J231" s="42"/>
      <c r="K231" s="39" t="s">
        <v>44</v>
      </c>
    </row>
    <row r="232" customFormat="false" ht="15" hidden="false" customHeight="true" outlineLevel="0" collapsed="false">
      <c r="A232" s="35" t="n">
        <v>231</v>
      </c>
      <c r="B232" s="36" t="s">
        <v>582</v>
      </c>
      <c r="C232" s="35" t="s">
        <v>22</v>
      </c>
      <c r="D232" s="36" t="s">
        <v>86</v>
      </c>
      <c r="E232" s="37" t="n">
        <v>5</v>
      </c>
      <c r="F232" s="38" t="s">
        <v>615</v>
      </c>
      <c r="G232" s="38" t="s">
        <v>616</v>
      </c>
      <c r="H232" s="38" t="s">
        <v>542</v>
      </c>
      <c r="I232" s="38" t="s">
        <v>617</v>
      </c>
      <c r="J232" s="38"/>
      <c r="K232" s="35" t="s">
        <v>44</v>
      </c>
    </row>
    <row r="233" customFormat="false" ht="15" hidden="false" customHeight="true" outlineLevel="0" collapsed="false">
      <c r="A233" s="39" t="n">
        <v>232</v>
      </c>
      <c r="B233" s="40" t="s">
        <v>582</v>
      </c>
      <c r="C233" s="39" t="s">
        <v>22</v>
      </c>
      <c r="D233" s="40" t="s">
        <v>86</v>
      </c>
      <c r="E233" s="41" t="n">
        <v>5</v>
      </c>
      <c r="F233" s="42" t="s">
        <v>618</v>
      </c>
      <c r="G233" s="42" t="s">
        <v>619</v>
      </c>
      <c r="H233" s="42" t="s">
        <v>542</v>
      </c>
      <c r="I233" s="42" t="s">
        <v>620</v>
      </c>
      <c r="J233" s="42"/>
      <c r="K233" s="39" t="s">
        <v>44</v>
      </c>
    </row>
    <row r="234" customFormat="false" ht="15" hidden="false" customHeight="true" outlineLevel="0" collapsed="false">
      <c r="A234" s="35" t="n">
        <v>233</v>
      </c>
      <c r="B234" s="36" t="s">
        <v>621</v>
      </c>
      <c r="C234" s="35" t="s">
        <v>17</v>
      </c>
      <c r="D234" s="36" t="s">
        <v>86</v>
      </c>
      <c r="E234" s="37" t="n">
        <v>5</v>
      </c>
      <c r="F234" s="38" t="s">
        <v>622</v>
      </c>
      <c r="G234" s="38" t="s">
        <v>623</v>
      </c>
      <c r="H234" s="36" t="s">
        <v>624</v>
      </c>
      <c r="I234" s="38" t="s">
        <v>90</v>
      </c>
      <c r="J234" s="38"/>
      <c r="K234" s="35" t="s">
        <v>44</v>
      </c>
    </row>
    <row r="235" customFormat="false" ht="15" hidden="false" customHeight="true" outlineLevel="0" collapsed="false">
      <c r="A235" s="39" t="n">
        <v>234</v>
      </c>
      <c r="B235" s="40" t="s">
        <v>621</v>
      </c>
      <c r="C235" s="39" t="s">
        <v>17</v>
      </c>
      <c r="D235" s="40" t="s">
        <v>86</v>
      </c>
      <c r="E235" s="41" t="n">
        <v>5</v>
      </c>
      <c r="F235" s="42" t="s">
        <v>625</v>
      </c>
      <c r="G235" s="42" t="s">
        <v>626</v>
      </c>
      <c r="H235" s="40" t="s">
        <v>624</v>
      </c>
      <c r="I235" s="42" t="s">
        <v>90</v>
      </c>
      <c r="J235" s="42"/>
      <c r="K235" s="39" t="s">
        <v>44</v>
      </c>
    </row>
    <row r="236" customFormat="false" ht="15" hidden="false" customHeight="true" outlineLevel="0" collapsed="false">
      <c r="A236" s="35" t="n">
        <v>235</v>
      </c>
      <c r="B236" s="36" t="s">
        <v>621</v>
      </c>
      <c r="C236" s="35" t="s">
        <v>17</v>
      </c>
      <c r="D236" s="36" t="s">
        <v>86</v>
      </c>
      <c r="E236" s="37" t="n">
        <v>5</v>
      </c>
      <c r="F236" s="38" t="s">
        <v>627</v>
      </c>
      <c r="G236" s="38" t="s">
        <v>628</v>
      </c>
      <c r="H236" s="36" t="s">
        <v>624</v>
      </c>
      <c r="I236" s="38" t="s">
        <v>90</v>
      </c>
      <c r="J236" s="38"/>
      <c r="K236" s="35" t="s">
        <v>44</v>
      </c>
    </row>
    <row r="237" customFormat="false" ht="15" hidden="false" customHeight="true" outlineLevel="0" collapsed="false">
      <c r="A237" s="39" t="n">
        <v>236</v>
      </c>
      <c r="B237" s="40" t="s">
        <v>621</v>
      </c>
      <c r="C237" s="39" t="s">
        <v>17</v>
      </c>
      <c r="D237" s="40" t="s">
        <v>86</v>
      </c>
      <c r="E237" s="41" t="n">
        <v>5</v>
      </c>
      <c r="F237" s="42" t="s">
        <v>629</v>
      </c>
      <c r="G237" s="42" t="s">
        <v>630</v>
      </c>
      <c r="H237" s="40" t="s">
        <v>624</v>
      </c>
      <c r="I237" s="42" t="s">
        <v>90</v>
      </c>
      <c r="J237" s="42"/>
      <c r="K237" s="39" t="s">
        <v>44</v>
      </c>
    </row>
    <row r="238" customFormat="false" ht="15" hidden="false" customHeight="true" outlineLevel="0" collapsed="false">
      <c r="A238" s="35" t="n">
        <v>237</v>
      </c>
      <c r="B238" s="36" t="s">
        <v>621</v>
      </c>
      <c r="C238" s="35" t="s">
        <v>17</v>
      </c>
      <c r="D238" s="36" t="s">
        <v>86</v>
      </c>
      <c r="E238" s="37" t="n">
        <v>5</v>
      </c>
      <c r="F238" s="38" t="s">
        <v>631</v>
      </c>
      <c r="G238" s="38" t="s">
        <v>632</v>
      </c>
      <c r="H238" s="36" t="s">
        <v>624</v>
      </c>
      <c r="I238" s="38" t="s">
        <v>90</v>
      </c>
      <c r="J238" s="38"/>
      <c r="K238" s="35" t="s">
        <v>44</v>
      </c>
    </row>
    <row r="239" customFormat="false" ht="15" hidden="false" customHeight="true" outlineLevel="0" collapsed="false">
      <c r="A239" s="39" t="n">
        <v>238</v>
      </c>
      <c r="B239" s="40" t="s">
        <v>633</v>
      </c>
      <c r="C239" s="39" t="s">
        <v>17</v>
      </c>
      <c r="D239" s="40" t="s">
        <v>86</v>
      </c>
      <c r="E239" s="41" t="n">
        <v>5</v>
      </c>
      <c r="F239" s="42" t="s">
        <v>634</v>
      </c>
      <c r="G239" s="42" t="s">
        <v>635</v>
      </c>
      <c r="H239" s="40" t="s">
        <v>624</v>
      </c>
      <c r="I239" s="42" t="s">
        <v>90</v>
      </c>
      <c r="J239" s="42"/>
      <c r="K239" s="39" t="s">
        <v>44</v>
      </c>
    </row>
    <row r="240" customFormat="false" ht="15" hidden="false" customHeight="true" outlineLevel="0" collapsed="false">
      <c r="A240" s="35" t="n">
        <v>239</v>
      </c>
      <c r="B240" s="36" t="s">
        <v>633</v>
      </c>
      <c r="C240" s="35" t="s">
        <v>17</v>
      </c>
      <c r="D240" s="36" t="s">
        <v>86</v>
      </c>
      <c r="E240" s="37" t="n">
        <v>5</v>
      </c>
      <c r="F240" s="38" t="s">
        <v>636</v>
      </c>
      <c r="G240" s="38" t="s">
        <v>637</v>
      </c>
      <c r="H240" s="36" t="s">
        <v>624</v>
      </c>
      <c r="I240" s="38" t="s">
        <v>90</v>
      </c>
      <c r="J240" s="38"/>
      <c r="K240" s="35" t="s">
        <v>44</v>
      </c>
    </row>
    <row r="241" customFormat="false" ht="15" hidden="false" customHeight="true" outlineLevel="0" collapsed="false">
      <c r="A241" s="39" t="n">
        <v>240</v>
      </c>
      <c r="B241" s="40" t="s">
        <v>633</v>
      </c>
      <c r="C241" s="39" t="s">
        <v>17</v>
      </c>
      <c r="D241" s="40" t="s">
        <v>86</v>
      </c>
      <c r="E241" s="41" t="n">
        <v>5</v>
      </c>
      <c r="F241" s="42" t="s">
        <v>638</v>
      </c>
      <c r="G241" s="42" t="s">
        <v>639</v>
      </c>
      <c r="H241" s="40" t="s">
        <v>624</v>
      </c>
      <c r="I241" s="42" t="s">
        <v>90</v>
      </c>
      <c r="J241" s="42"/>
      <c r="K241" s="39" t="s">
        <v>44</v>
      </c>
    </row>
    <row r="242" customFormat="false" ht="15" hidden="false" customHeight="true" outlineLevel="0" collapsed="false">
      <c r="A242" s="35" t="n">
        <v>241</v>
      </c>
      <c r="B242" s="36" t="s">
        <v>633</v>
      </c>
      <c r="C242" s="35" t="s">
        <v>17</v>
      </c>
      <c r="D242" s="36" t="s">
        <v>86</v>
      </c>
      <c r="E242" s="37" t="n">
        <v>5</v>
      </c>
      <c r="F242" s="38" t="s">
        <v>640</v>
      </c>
      <c r="G242" s="38" t="s">
        <v>641</v>
      </c>
      <c r="H242" s="36" t="s">
        <v>624</v>
      </c>
      <c r="I242" s="38" t="s">
        <v>90</v>
      </c>
      <c r="J242" s="38"/>
      <c r="K242" s="35" t="s">
        <v>44</v>
      </c>
    </row>
    <row r="243" customFormat="false" ht="15" hidden="false" customHeight="true" outlineLevel="0" collapsed="false">
      <c r="A243" s="39" t="n">
        <v>242</v>
      </c>
      <c r="B243" s="40" t="s">
        <v>633</v>
      </c>
      <c r="C243" s="39" t="s">
        <v>17</v>
      </c>
      <c r="D243" s="40" t="s">
        <v>86</v>
      </c>
      <c r="E243" s="41" t="n">
        <v>5</v>
      </c>
      <c r="F243" s="42" t="s">
        <v>642</v>
      </c>
      <c r="G243" s="42" t="s">
        <v>643</v>
      </c>
      <c r="H243" s="40" t="s">
        <v>624</v>
      </c>
      <c r="I243" s="42" t="s">
        <v>90</v>
      </c>
      <c r="J243" s="42"/>
      <c r="K243" s="39" t="s">
        <v>44</v>
      </c>
    </row>
    <row r="244" customFormat="false" ht="15" hidden="false" customHeight="true" outlineLevel="0" collapsed="false">
      <c r="A244" s="35" t="n">
        <v>243</v>
      </c>
      <c r="B244" s="36" t="s">
        <v>633</v>
      </c>
      <c r="C244" s="35" t="s">
        <v>17</v>
      </c>
      <c r="D244" s="36" t="s">
        <v>86</v>
      </c>
      <c r="E244" s="37" t="n">
        <v>5</v>
      </c>
      <c r="F244" s="38" t="s">
        <v>644</v>
      </c>
      <c r="G244" s="38" t="s">
        <v>645</v>
      </c>
      <c r="H244" s="36" t="s">
        <v>624</v>
      </c>
      <c r="I244" s="38" t="s">
        <v>90</v>
      </c>
      <c r="J244" s="38"/>
      <c r="K244" s="35" t="s">
        <v>44</v>
      </c>
    </row>
    <row r="245" customFormat="false" ht="15" hidden="false" customHeight="true" outlineLevel="0" collapsed="false">
      <c r="A245" s="39" t="n">
        <v>244</v>
      </c>
      <c r="B245" s="40" t="s">
        <v>633</v>
      </c>
      <c r="C245" s="39" t="s">
        <v>17</v>
      </c>
      <c r="D245" s="40" t="s">
        <v>86</v>
      </c>
      <c r="E245" s="41" t="n">
        <v>5</v>
      </c>
      <c r="F245" s="42" t="s">
        <v>646</v>
      </c>
      <c r="G245" s="42" t="s">
        <v>647</v>
      </c>
      <c r="H245" s="40" t="s">
        <v>624</v>
      </c>
      <c r="I245" s="42" t="s">
        <v>90</v>
      </c>
      <c r="J245" s="42"/>
      <c r="K245" s="39" t="s">
        <v>44</v>
      </c>
    </row>
    <row r="246" customFormat="false" ht="15" hidden="false" customHeight="true" outlineLevel="0" collapsed="false">
      <c r="A246" s="35" t="n">
        <v>245</v>
      </c>
      <c r="B246" s="36" t="s">
        <v>633</v>
      </c>
      <c r="C246" s="35" t="s">
        <v>17</v>
      </c>
      <c r="D246" s="36" t="s">
        <v>86</v>
      </c>
      <c r="E246" s="37" t="n">
        <v>5</v>
      </c>
      <c r="F246" s="38" t="s">
        <v>648</v>
      </c>
      <c r="G246" s="38" t="s">
        <v>649</v>
      </c>
      <c r="H246" s="36" t="s">
        <v>624</v>
      </c>
      <c r="I246" s="38" t="s">
        <v>90</v>
      </c>
      <c r="J246" s="38"/>
      <c r="K246" s="35" t="s">
        <v>44</v>
      </c>
    </row>
    <row r="247" customFormat="false" ht="15" hidden="false" customHeight="true" outlineLevel="0" collapsed="false">
      <c r="A247" s="39" t="n">
        <v>246</v>
      </c>
      <c r="B247" s="40" t="s">
        <v>633</v>
      </c>
      <c r="C247" s="39" t="s">
        <v>17</v>
      </c>
      <c r="D247" s="40" t="s">
        <v>86</v>
      </c>
      <c r="E247" s="41" t="n">
        <v>5</v>
      </c>
      <c r="F247" s="42" t="s">
        <v>650</v>
      </c>
      <c r="G247" s="42" t="s">
        <v>651</v>
      </c>
      <c r="H247" s="40" t="s">
        <v>624</v>
      </c>
      <c r="I247" s="42" t="s">
        <v>90</v>
      </c>
      <c r="J247" s="42"/>
      <c r="K247" s="39" t="s">
        <v>44</v>
      </c>
    </row>
    <row r="248" customFormat="false" ht="15" hidden="false" customHeight="true" outlineLevel="0" collapsed="false">
      <c r="A248" s="35" t="n">
        <v>247</v>
      </c>
      <c r="B248" s="36" t="s">
        <v>633</v>
      </c>
      <c r="C248" s="35" t="s">
        <v>17</v>
      </c>
      <c r="D248" s="36" t="s">
        <v>86</v>
      </c>
      <c r="E248" s="37" t="n">
        <v>5</v>
      </c>
      <c r="F248" s="38" t="s">
        <v>652</v>
      </c>
      <c r="G248" s="38" t="s">
        <v>653</v>
      </c>
      <c r="H248" s="36" t="s">
        <v>624</v>
      </c>
      <c r="I248" s="38" t="s">
        <v>90</v>
      </c>
      <c r="J248" s="38"/>
      <c r="K248" s="35" t="s">
        <v>44</v>
      </c>
    </row>
    <row r="249" customFormat="false" ht="21.75" hidden="false" customHeight="true" outlineLevel="0" collapsed="false">
      <c r="A249" s="39" t="n">
        <v>248</v>
      </c>
      <c r="B249" s="40" t="s">
        <v>654</v>
      </c>
      <c r="C249" s="39" t="s">
        <v>21</v>
      </c>
      <c r="D249" s="40" t="s">
        <v>655</v>
      </c>
      <c r="E249" s="41" t="n">
        <v>5</v>
      </c>
      <c r="F249" s="42" t="s">
        <v>656</v>
      </c>
      <c r="G249" s="42" t="s">
        <v>657</v>
      </c>
      <c r="H249" s="42" t="s">
        <v>658</v>
      </c>
      <c r="I249" s="42" t="s">
        <v>659</v>
      </c>
      <c r="J249" s="42"/>
      <c r="K249" s="39" t="s">
        <v>44</v>
      </c>
    </row>
    <row r="250" customFormat="false" ht="21.75" hidden="false" customHeight="true" outlineLevel="0" collapsed="false">
      <c r="A250" s="35" t="n">
        <v>249</v>
      </c>
      <c r="B250" s="36" t="s">
        <v>654</v>
      </c>
      <c r="C250" s="35" t="s">
        <v>21</v>
      </c>
      <c r="D250" s="36" t="s">
        <v>655</v>
      </c>
      <c r="E250" s="37" t="n">
        <v>5</v>
      </c>
      <c r="F250" s="38" t="s">
        <v>660</v>
      </c>
      <c r="G250" s="38" t="s">
        <v>661</v>
      </c>
      <c r="H250" s="38" t="s">
        <v>658</v>
      </c>
      <c r="I250" s="38" t="s">
        <v>659</v>
      </c>
      <c r="J250" s="38"/>
      <c r="K250" s="35" t="s">
        <v>44</v>
      </c>
    </row>
    <row r="251" customFormat="false" ht="21.75" hidden="false" customHeight="true" outlineLevel="0" collapsed="false">
      <c r="A251" s="39" t="n">
        <v>250</v>
      </c>
      <c r="B251" s="40" t="s">
        <v>654</v>
      </c>
      <c r="C251" s="39" t="s">
        <v>21</v>
      </c>
      <c r="D251" s="40" t="s">
        <v>655</v>
      </c>
      <c r="E251" s="41" t="n">
        <v>5</v>
      </c>
      <c r="F251" s="42" t="s">
        <v>662</v>
      </c>
      <c r="G251" s="42" t="s">
        <v>663</v>
      </c>
      <c r="H251" s="42" t="s">
        <v>658</v>
      </c>
      <c r="I251" s="42" t="s">
        <v>659</v>
      </c>
      <c r="J251" s="42"/>
      <c r="K251" s="39" t="s">
        <v>44</v>
      </c>
    </row>
    <row r="252" customFormat="false" ht="21.75" hidden="false" customHeight="true" outlineLevel="0" collapsed="false">
      <c r="A252" s="35" t="n">
        <v>251</v>
      </c>
      <c r="B252" s="36" t="s">
        <v>654</v>
      </c>
      <c r="C252" s="35" t="s">
        <v>21</v>
      </c>
      <c r="D252" s="36" t="s">
        <v>655</v>
      </c>
      <c r="E252" s="37" t="n">
        <v>5</v>
      </c>
      <c r="F252" s="38" t="s">
        <v>664</v>
      </c>
      <c r="G252" s="38" t="s">
        <v>665</v>
      </c>
      <c r="H252" s="38" t="s">
        <v>658</v>
      </c>
      <c r="I252" s="38" t="s">
        <v>659</v>
      </c>
      <c r="J252" s="38"/>
      <c r="K252" s="35" t="s">
        <v>44</v>
      </c>
    </row>
    <row r="253" customFormat="false" ht="21.75" hidden="false" customHeight="true" outlineLevel="0" collapsed="false">
      <c r="A253" s="39" t="n">
        <v>252</v>
      </c>
      <c r="B253" s="40" t="s">
        <v>654</v>
      </c>
      <c r="C253" s="39" t="s">
        <v>21</v>
      </c>
      <c r="D253" s="40" t="s">
        <v>655</v>
      </c>
      <c r="E253" s="41" t="n">
        <v>5</v>
      </c>
      <c r="F253" s="42" t="s">
        <v>666</v>
      </c>
      <c r="G253" s="42" t="s">
        <v>667</v>
      </c>
      <c r="H253" s="42" t="s">
        <v>658</v>
      </c>
      <c r="I253" s="42" t="s">
        <v>659</v>
      </c>
      <c r="J253" s="42"/>
      <c r="K253" s="39" t="s">
        <v>44</v>
      </c>
    </row>
    <row r="254" customFormat="false" ht="21.75" hidden="false" customHeight="true" outlineLevel="0" collapsed="false">
      <c r="A254" s="35" t="n">
        <v>253</v>
      </c>
      <c r="B254" s="36" t="s">
        <v>654</v>
      </c>
      <c r="C254" s="35" t="s">
        <v>21</v>
      </c>
      <c r="D254" s="36" t="s">
        <v>655</v>
      </c>
      <c r="E254" s="37" t="n">
        <v>5</v>
      </c>
      <c r="F254" s="38" t="s">
        <v>668</v>
      </c>
      <c r="G254" s="38" t="s">
        <v>669</v>
      </c>
      <c r="H254" s="38" t="s">
        <v>670</v>
      </c>
      <c r="I254" s="38" t="s">
        <v>659</v>
      </c>
      <c r="J254" s="38"/>
      <c r="K254" s="35" t="s">
        <v>44</v>
      </c>
    </row>
    <row r="255" customFormat="false" ht="21.75" hidden="false" customHeight="true" outlineLevel="0" collapsed="false">
      <c r="A255" s="39" t="n">
        <v>254</v>
      </c>
      <c r="B255" s="40" t="s">
        <v>654</v>
      </c>
      <c r="C255" s="39" t="s">
        <v>21</v>
      </c>
      <c r="D255" s="40" t="s">
        <v>655</v>
      </c>
      <c r="E255" s="41" t="n">
        <v>5</v>
      </c>
      <c r="F255" s="42" t="s">
        <v>671</v>
      </c>
      <c r="G255" s="42" t="s">
        <v>672</v>
      </c>
      <c r="H255" s="42" t="s">
        <v>673</v>
      </c>
      <c r="I255" s="42" t="s">
        <v>659</v>
      </c>
      <c r="J255" s="42"/>
      <c r="K255" s="39" t="s">
        <v>44</v>
      </c>
    </row>
    <row r="256" customFormat="false" ht="21.75" hidden="false" customHeight="true" outlineLevel="0" collapsed="false">
      <c r="A256" s="35" t="n">
        <v>255</v>
      </c>
      <c r="B256" s="36" t="s">
        <v>654</v>
      </c>
      <c r="C256" s="35" t="s">
        <v>21</v>
      </c>
      <c r="D256" s="36" t="s">
        <v>655</v>
      </c>
      <c r="E256" s="37" t="n">
        <v>5</v>
      </c>
      <c r="F256" s="38" t="s">
        <v>674</v>
      </c>
      <c r="G256" s="38" t="s">
        <v>675</v>
      </c>
      <c r="H256" s="38" t="s">
        <v>676</v>
      </c>
      <c r="I256" s="38" t="s">
        <v>659</v>
      </c>
      <c r="J256" s="38"/>
      <c r="K256" s="35" t="s">
        <v>44</v>
      </c>
    </row>
    <row r="257" customFormat="false" ht="21.75" hidden="false" customHeight="true" outlineLevel="0" collapsed="false">
      <c r="A257" s="39" t="n">
        <v>256</v>
      </c>
      <c r="B257" s="40" t="s">
        <v>654</v>
      </c>
      <c r="C257" s="39" t="s">
        <v>21</v>
      </c>
      <c r="D257" s="40" t="s">
        <v>655</v>
      </c>
      <c r="E257" s="41" t="n">
        <v>5</v>
      </c>
      <c r="F257" s="42" t="s">
        <v>677</v>
      </c>
      <c r="G257" s="42" t="s">
        <v>678</v>
      </c>
      <c r="H257" s="42" t="s">
        <v>679</v>
      </c>
      <c r="I257" s="42" t="s">
        <v>659</v>
      </c>
      <c r="J257" s="42"/>
      <c r="K257" s="39" t="s">
        <v>44</v>
      </c>
    </row>
    <row r="258" customFormat="false" ht="21.75" hidden="false" customHeight="true" outlineLevel="0" collapsed="false">
      <c r="A258" s="35" t="n">
        <v>257</v>
      </c>
      <c r="B258" s="36" t="s">
        <v>654</v>
      </c>
      <c r="C258" s="35" t="s">
        <v>21</v>
      </c>
      <c r="D258" s="36" t="s">
        <v>655</v>
      </c>
      <c r="E258" s="37" t="n">
        <v>5</v>
      </c>
      <c r="F258" s="38" t="s">
        <v>680</v>
      </c>
      <c r="G258" s="38" t="s">
        <v>681</v>
      </c>
      <c r="H258" s="38" t="s">
        <v>682</v>
      </c>
      <c r="I258" s="38" t="s">
        <v>659</v>
      </c>
      <c r="J258" s="38"/>
      <c r="K258" s="35" t="s">
        <v>44</v>
      </c>
    </row>
    <row r="259" customFormat="false" ht="15" hidden="false" customHeight="true" outlineLevel="0" collapsed="false">
      <c r="A259" s="39" t="n">
        <v>258</v>
      </c>
      <c r="B259" s="40" t="s">
        <v>683</v>
      </c>
      <c r="C259" s="39" t="s">
        <v>21</v>
      </c>
      <c r="D259" s="40" t="s">
        <v>684</v>
      </c>
      <c r="E259" s="41" t="n">
        <v>1</v>
      </c>
      <c r="F259" s="42" t="s">
        <v>656</v>
      </c>
      <c r="G259" s="42" t="s">
        <v>685</v>
      </c>
      <c r="H259" s="42" t="s">
        <v>686</v>
      </c>
      <c r="I259" s="42" t="s">
        <v>659</v>
      </c>
      <c r="J259" s="42"/>
      <c r="K259" s="39" t="s">
        <v>687</v>
      </c>
    </row>
    <row r="260" customFormat="false" ht="15" hidden="false" customHeight="true" outlineLevel="0" collapsed="false">
      <c r="A260" s="35" t="n">
        <v>259</v>
      </c>
      <c r="B260" s="36" t="s">
        <v>683</v>
      </c>
      <c r="C260" s="35" t="s">
        <v>21</v>
      </c>
      <c r="D260" s="36" t="s">
        <v>688</v>
      </c>
      <c r="E260" s="37" t="n">
        <v>1</v>
      </c>
      <c r="F260" s="38" t="s">
        <v>660</v>
      </c>
      <c r="G260" s="38" t="s">
        <v>689</v>
      </c>
      <c r="H260" s="38" t="s">
        <v>686</v>
      </c>
      <c r="I260" s="38" t="s">
        <v>659</v>
      </c>
      <c r="J260" s="38"/>
      <c r="K260" s="35" t="s">
        <v>687</v>
      </c>
    </row>
    <row r="261" customFormat="false" ht="15" hidden="false" customHeight="true" outlineLevel="0" collapsed="false">
      <c r="A261" s="39" t="n">
        <v>260</v>
      </c>
      <c r="B261" s="40" t="s">
        <v>683</v>
      </c>
      <c r="C261" s="39" t="s">
        <v>21</v>
      </c>
      <c r="D261" s="40" t="s">
        <v>690</v>
      </c>
      <c r="E261" s="41" t="n">
        <v>1</v>
      </c>
      <c r="F261" s="42" t="s">
        <v>662</v>
      </c>
      <c r="G261" s="42" t="s">
        <v>691</v>
      </c>
      <c r="H261" s="42" t="s">
        <v>686</v>
      </c>
      <c r="I261" s="42" t="s">
        <v>659</v>
      </c>
      <c r="J261" s="42"/>
      <c r="K261" s="39" t="s">
        <v>687</v>
      </c>
    </row>
    <row r="262" customFormat="false" ht="15" hidden="false" customHeight="true" outlineLevel="0" collapsed="false">
      <c r="A262" s="35" t="n">
        <v>261</v>
      </c>
      <c r="B262" s="36" t="s">
        <v>683</v>
      </c>
      <c r="C262" s="35" t="s">
        <v>21</v>
      </c>
      <c r="D262" s="36" t="s">
        <v>692</v>
      </c>
      <c r="E262" s="37" t="n">
        <v>1</v>
      </c>
      <c r="F262" s="38" t="s">
        <v>664</v>
      </c>
      <c r="G262" s="38" t="s">
        <v>693</v>
      </c>
      <c r="H262" s="38" t="s">
        <v>686</v>
      </c>
      <c r="I262" s="38" t="s">
        <v>659</v>
      </c>
      <c r="J262" s="38"/>
      <c r="K262" s="35" t="s">
        <v>687</v>
      </c>
    </row>
    <row r="263" customFormat="false" ht="15" hidden="false" customHeight="true" outlineLevel="0" collapsed="false">
      <c r="A263" s="39" t="n">
        <v>262</v>
      </c>
      <c r="B263" s="40" t="s">
        <v>683</v>
      </c>
      <c r="C263" s="39" t="s">
        <v>21</v>
      </c>
      <c r="D263" s="40" t="s">
        <v>694</v>
      </c>
      <c r="E263" s="41" t="n">
        <v>1</v>
      </c>
      <c r="F263" s="42" t="s">
        <v>666</v>
      </c>
      <c r="G263" s="42" t="s">
        <v>695</v>
      </c>
      <c r="H263" s="42" t="s">
        <v>686</v>
      </c>
      <c r="I263" s="42" t="s">
        <v>659</v>
      </c>
      <c r="J263" s="42"/>
      <c r="K263" s="39" t="s">
        <v>687</v>
      </c>
    </row>
    <row r="264" customFormat="false" ht="15" hidden="false" customHeight="true" outlineLevel="0" collapsed="false">
      <c r="A264" s="35" t="n">
        <v>263</v>
      </c>
      <c r="B264" s="36" t="s">
        <v>683</v>
      </c>
      <c r="C264" s="35" t="s">
        <v>21</v>
      </c>
      <c r="D264" s="36" t="s">
        <v>684</v>
      </c>
      <c r="E264" s="37" t="n">
        <v>1</v>
      </c>
      <c r="F264" s="38" t="s">
        <v>668</v>
      </c>
      <c r="G264" s="38" t="s">
        <v>696</v>
      </c>
      <c r="H264" s="38" t="s">
        <v>686</v>
      </c>
      <c r="I264" s="38" t="s">
        <v>659</v>
      </c>
      <c r="J264" s="38"/>
      <c r="K264" s="35" t="s">
        <v>687</v>
      </c>
    </row>
    <row r="265" customFormat="false" ht="15" hidden="false" customHeight="true" outlineLevel="0" collapsed="false">
      <c r="A265" s="39" t="n">
        <v>264</v>
      </c>
      <c r="B265" s="40" t="s">
        <v>683</v>
      </c>
      <c r="C265" s="39" t="s">
        <v>21</v>
      </c>
      <c r="D265" s="40" t="s">
        <v>688</v>
      </c>
      <c r="E265" s="41" t="n">
        <v>1</v>
      </c>
      <c r="F265" s="42" t="s">
        <v>671</v>
      </c>
      <c r="G265" s="42" t="s">
        <v>696</v>
      </c>
      <c r="H265" s="42" t="s">
        <v>686</v>
      </c>
      <c r="I265" s="42" t="s">
        <v>659</v>
      </c>
      <c r="J265" s="42"/>
      <c r="K265" s="39" t="s">
        <v>687</v>
      </c>
    </row>
    <row r="266" customFormat="false" ht="15" hidden="false" customHeight="true" outlineLevel="0" collapsed="false">
      <c r="A266" s="35" t="n">
        <v>265</v>
      </c>
      <c r="B266" s="36" t="s">
        <v>683</v>
      </c>
      <c r="C266" s="35" t="s">
        <v>21</v>
      </c>
      <c r="D266" s="36" t="s">
        <v>690</v>
      </c>
      <c r="E266" s="37" t="n">
        <v>1</v>
      </c>
      <c r="F266" s="38" t="s">
        <v>674</v>
      </c>
      <c r="G266" s="38" t="s">
        <v>696</v>
      </c>
      <c r="H266" s="38" t="s">
        <v>686</v>
      </c>
      <c r="I266" s="38" t="s">
        <v>659</v>
      </c>
      <c r="J266" s="38"/>
      <c r="K266" s="35" t="s">
        <v>687</v>
      </c>
    </row>
    <row r="267" customFormat="false" ht="15" hidden="false" customHeight="true" outlineLevel="0" collapsed="false">
      <c r="A267" s="39" t="n">
        <v>266</v>
      </c>
      <c r="B267" s="40" t="s">
        <v>683</v>
      </c>
      <c r="C267" s="39" t="s">
        <v>21</v>
      </c>
      <c r="D267" s="40" t="s">
        <v>692</v>
      </c>
      <c r="E267" s="41" t="n">
        <v>1</v>
      </c>
      <c r="F267" s="42" t="s">
        <v>677</v>
      </c>
      <c r="G267" s="42" t="s">
        <v>696</v>
      </c>
      <c r="H267" s="42" t="s">
        <v>686</v>
      </c>
      <c r="I267" s="42" t="s">
        <v>659</v>
      </c>
      <c r="J267" s="42"/>
      <c r="K267" s="39" t="s">
        <v>687</v>
      </c>
    </row>
    <row r="268" customFormat="false" ht="15" hidden="false" customHeight="true" outlineLevel="0" collapsed="false">
      <c r="A268" s="35" t="n">
        <v>267</v>
      </c>
      <c r="B268" s="36" t="s">
        <v>683</v>
      </c>
      <c r="C268" s="35" t="s">
        <v>21</v>
      </c>
      <c r="D268" s="36" t="s">
        <v>694</v>
      </c>
      <c r="E268" s="37" t="n">
        <v>1</v>
      </c>
      <c r="F268" s="38" t="s">
        <v>680</v>
      </c>
      <c r="G268" s="38" t="s">
        <v>696</v>
      </c>
      <c r="H268" s="38" t="s">
        <v>686</v>
      </c>
      <c r="I268" s="38" t="s">
        <v>659</v>
      </c>
      <c r="J268" s="38"/>
      <c r="K268" s="35" t="s">
        <v>687</v>
      </c>
    </row>
    <row r="269" customFormat="false" ht="15" hidden="false" customHeight="true" outlineLevel="0" collapsed="false">
      <c r="A269" s="39" t="n">
        <v>268</v>
      </c>
      <c r="B269" s="40" t="s">
        <v>697</v>
      </c>
      <c r="C269" s="39" t="s">
        <v>21</v>
      </c>
      <c r="D269" s="40" t="s">
        <v>684</v>
      </c>
      <c r="E269" s="41" t="n">
        <v>1</v>
      </c>
      <c r="F269" s="42" t="s">
        <v>698</v>
      </c>
      <c r="G269" s="42" t="s">
        <v>699</v>
      </c>
      <c r="H269" s="42" t="s">
        <v>686</v>
      </c>
      <c r="I269" s="42" t="s">
        <v>659</v>
      </c>
      <c r="J269" s="42"/>
      <c r="K269" s="39" t="s">
        <v>687</v>
      </c>
    </row>
    <row r="270" customFormat="false" ht="15" hidden="false" customHeight="true" outlineLevel="0" collapsed="false">
      <c r="A270" s="35" t="n">
        <v>269</v>
      </c>
      <c r="B270" s="36" t="s">
        <v>697</v>
      </c>
      <c r="C270" s="35" t="s">
        <v>21</v>
      </c>
      <c r="D270" s="36" t="s">
        <v>688</v>
      </c>
      <c r="E270" s="37" t="n">
        <v>1</v>
      </c>
      <c r="F270" s="38" t="s">
        <v>700</v>
      </c>
      <c r="G270" s="38" t="s">
        <v>701</v>
      </c>
      <c r="H270" s="38" t="s">
        <v>686</v>
      </c>
      <c r="I270" s="38" t="s">
        <v>659</v>
      </c>
      <c r="J270" s="38"/>
      <c r="K270" s="35" t="s">
        <v>687</v>
      </c>
    </row>
    <row r="271" customFormat="false" ht="15" hidden="false" customHeight="true" outlineLevel="0" collapsed="false">
      <c r="A271" s="39" t="n">
        <v>270</v>
      </c>
      <c r="B271" s="40" t="s">
        <v>697</v>
      </c>
      <c r="C271" s="39" t="s">
        <v>21</v>
      </c>
      <c r="D271" s="40" t="s">
        <v>690</v>
      </c>
      <c r="E271" s="41" t="n">
        <v>1</v>
      </c>
      <c r="F271" s="42" t="s">
        <v>702</v>
      </c>
      <c r="G271" s="42" t="s">
        <v>703</v>
      </c>
      <c r="H271" s="42" t="s">
        <v>686</v>
      </c>
      <c r="I271" s="42" t="s">
        <v>659</v>
      </c>
      <c r="J271" s="42"/>
      <c r="K271" s="39" t="s">
        <v>687</v>
      </c>
    </row>
    <row r="272" customFormat="false" ht="15" hidden="false" customHeight="true" outlineLevel="0" collapsed="false">
      <c r="A272" s="35" t="n">
        <v>271</v>
      </c>
      <c r="B272" s="36" t="s">
        <v>697</v>
      </c>
      <c r="C272" s="35" t="s">
        <v>21</v>
      </c>
      <c r="D272" s="36" t="s">
        <v>692</v>
      </c>
      <c r="E272" s="37" t="n">
        <v>1</v>
      </c>
      <c r="F272" s="38" t="s">
        <v>704</v>
      </c>
      <c r="G272" s="38" t="s">
        <v>705</v>
      </c>
      <c r="H272" s="38" t="s">
        <v>686</v>
      </c>
      <c r="I272" s="38" t="s">
        <v>659</v>
      </c>
      <c r="J272" s="38"/>
      <c r="K272" s="35" t="s">
        <v>687</v>
      </c>
    </row>
    <row r="273" customFormat="false" ht="15" hidden="false" customHeight="true" outlineLevel="0" collapsed="false">
      <c r="A273" s="39" t="n">
        <v>272</v>
      </c>
      <c r="B273" s="40" t="s">
        <v>697</v>
      </c>
      <c r="C273" s="39" t="s">
        <v>21</v>
      </c>
      <c r="D273" s="40" t="s">
        <v>694</v>
      </c>
      <c r="E273" s="41" t="n">
        <v>1</v>
      </c>
      <c r="F273" s="42" t="s">
        <v>706</v>
      </c>
      <c r="G273" s="42" t="s">
        <v>707</v>
      </c>
      <c r="H273" s="42" t="s">
        <v>686</v>
      </c>
      <c r="I273" s="42" t="s">
        <v>659</v>
      </c>
      <c r="J273" s="42"/>
      <c r="K273" s="39" t="s">
        <v>687</v>
      </c>
    </row>
    <row r="274" customFormat="false" ht="15" hidden="false" customHeight="true" outlineLevel="0" collapsed="false">
      <c r="A274" s="35" t="n">
        <v>273</v>
      </c>
      <c r="B274" s="36" t="s">
        <v>708</v>
      </c>
      <c r="C274" s="35" t="s">
        <v>21</v>
      </c>
      <c r="D274" s="36" t="s">
        <v>684</v>
      </c>
      <c r="E274" s="37" t="n">
        <v>1</v>
      </c>
      <c r="F274" s="38" t="s">
        <v>709</v>
      </c>
      <c r="G274" s="38" t="s">
        <v>710</v>
      </c>
      <c r="H274" s="38" t="s">
        <v>686</v>
      </c>
      <c r="I274" s="38" t="s">
        <v>659</v>
      </c>
      <c r="J274" s="38"/>
      <c r="K274" s="35" t="s">
        <v>687</v>
      </c>
    </row>
    <row r="275" customFormat="false" ht="15" hidden="false" customHeight="true" outlineLevel="0" collapsed="false">
      <c r="A275" s="39" t="n">
        <v>274</v>
      </c>
      <c r="B275" s="40" t="s">
        <v>708</v>
      </c>
      <c r="C275" s="39" t="s">
        <v>21</v>
      </c>
      <c r="D275" s="40" t="s">
        <v>688</v>
      </c>
      <c r="E275" s="41" t="n">
        <v>1</v>
      </c>
      <c r="F275" s="42" t="s">
        <v>711</v>
      </c>
      <c r="G275" s="42" t="s">
        <v>712</v>
      </c>
      <c r="H275" s="42" t="s">
        <v>686</v>
      </c>
      <c r="I275" s="42" t="s">
        <v>659</v>
      </c>
      <c r="J275" s="42"/>
      <c r="K275" s="39" t="s">
        <v>687</v>
      </c>
    </row>
    <row r="276" customFormat="false" ht="15" hidden="false" customHeight="true" outlineLevel="0" collapsed="false">
      <c r="A276" s="35" t="n">
        <v>275</v>
      </c>
      <c r="B276" s="36" t="s">
        <v>708</v>
      </c>
      <c r="C276" s="35" t="s">
        <v>21</v>
      </c>
      <c r="D276" s="36" t="s">
        <v>690</v>
      </c>
      <c r="E276" s="37" t="n">
        <v>1</v>
      </c>
      <c r="F276" s="38" t="s">
        <v>713</v>
      </c>
      <c r="G276" s="38" t="s">
        <v>714</v>
      </c>
      <c r="H276" s="38" t="s">
        <v>686</v>
      </c>
      <c r="I276" s="38" t="s">
        <v>659</v>
      </c>
      <c r="J276" s="38"/>
      <c r="K276" s="35" t="s">
        <v>687</v>
      </c>
    </row>
    <row r="277" customFormat="false" ht="15" hidden="false" customHeight="true" outlineLevel="0" collapsed="false">
      <c r="A277" s="39" t="n">
        <v>276</v>
      </c>
      <c r="B277" s="40" t="s">
        <v>708</v>
      </c>
      <c r="C277" s="39" t="s">
        <v>21</v>
      </c>
      <c r="D277" s="40" t="s">
        <v>692</v>
      </c>
      <c r="E277" s="41" t="n">
        <v>1</v>
      </c>
      <c r="F277" s="42" t="s">
        <v>715</v>
      </c>
      <c r="G277" s="42" t="s">
        <v>716</v>
      </c>
      <c r="H277" s="42" t="s">
        <v>686</v>
      </c>
      <c r="I277" s="42" t="s">
        <v>659</v>
      </c>
      <c r="J277" s="42"/>
      <c r="K277" s="39" t="s">
        <v>687</v>
      </c>
    </row>
    <row r="278" customFormat="false" ht="15" hidden="false" customHeight="true" outlineLevel="0" collapsed="false">
      <c r="A278" s="35" t="n">
        <v>277</v>
      </c>
      <c r="B278" s="36" t="s">
        <v>708</v>
      </c>
      <c r="C278" s="35" t="s">
        <v>21</v>
      </c>
      <c r="D278" s="36" t="s">
        <v>694</v>
      </c>
      <c r="E278" s="37" t="n">
        <v>1</v>
      </c>
      <c r="F278" s="38" t="s">
        <v>717</v>
      </c>
      <c r="G278" s="38" t="s">
        <v>718</v>
      </c>
      <c r="H278" s="38" t="s">
        <v>686</v>
      </c>
      <c r="I278" s="38" t="s">
        <v>659</v>
      </c>
      <c r="J278" s="38"/>
      <c r="K278" s="35" t="s">
        <v>687</v>
      </c>
    </row>
    <row r="279" customFormat="false" ht="15" hidden="false" customHeight="true" outlineLevel="0" collapsed="false">
      <c r="A279" s="39" t="n">
        <v>278</v>
      </c>
      <c r="B279" s="40" t="s">
        <v>708</v>
      </c>
      <c r="C279" s="39" t="s">
        <v>21</v>
      </c>
      <c r="D279" s="40" t="s">
        <v>684</v>
      </c>
      <c r="E279" s="41" t="n">
        <v>1</v>
      </c>
      <c r="F279" s="42" t="s">
        <v>719</v>
      </c>
      <c r="G279" s="42" t="s">
        <v>720</v>
      </c>
      <c r="H279" s="42" t="s">
        <v>686</v>
      </c>
      <c r="I279" s="42" t="s">
        <v>659</v>
      </c>
      <c r="J279" s="42"/>
      <c r="K279" s="39" t="s">
        <v>687</v>
      </c>
    </row>
    <row r="280" customFormat="false" ht="15" hidden="false" customHeight="true" outlineLevel="0" collapsed="false">
      <c r="A280" s="35" t="n">
        <v>279</v>
      </c>
      <c r="B280" s="36" t="s">
        <v>708</v>
      </c>
      <c r="C280" s="35" t="s">
        <v>21</v>
      </c>
      <c r="D280" s="36" t="s">
        <v>688</v>
      </c>
      <c r="E280" s="37" t="n">
        <v>1</v>
      </c>
      <c r="F280" s="38" t="s">
        <v>721</v>
      </c>
      <c r="G280" s="38" t="s">
        <v>722</v>
      </c>
      <c r="H280" s="38" t="s">
        <v>686</v>
      </c>
      <c r="I280" s="38" t="s">
        <v>659</v>
      </c>
      <c r="J280" s="38"/>
      <c r="K280" s="35" t="s">
        <v>687</v>
      </c>
    </row>
    <row r="281" customFormat="false" ht="15" hidden="false" customHeight="true" outlineLevel="0" collapsed="false">
      <c r="A281" s="39" t="n">
        <v>280</v>
      </c>
      <c r="B281" s="40" t="s">
        <v>708</v>
      </c>
      <c r="C281" s="39" t="s">
        <v>21</v>
      </c>
      <c r="D281" s="40" t="s">
        <v>690</v>
      </c>
      <c r="E281" s="41" t="n">
        <v>1</v>
      </c>
      <c r="F281" s="42" t="s">
        <v>723</v>
      </c>
      <c r="G281" s="42" t="s">
        <v>724</v>
      </c>
      <c r="H281" s="42" t="s">
        <v>686</v>
      </c>
      <c r="I281" s="42" t="s">
        <v>659</v>
      </c>
      <c r="J281" s="42"/>
      <c r="K281" s="39" t="s">
        <v>687</v>
      </c>
    </row>
    <row r="282" customFormat="false" ht="15" hidden="false" customHeight="true" outlineLevel="0" collapsed="false">
      <c r="A282" s="35" t="n">
        <v>281</v>
      </c>
      <c r="B282" s="36" t="s">
        <v>708</v>
      </c>
      <c r="C282" s="35" t="s">
        <v>21</v>
      </c>
      <c r="D282" s="36" t="s">
        <v>692</v>
      </c>
      <c r="E282" s="37" t="n">
        <v>1</v>
      </c>
      <c r="F282" s="38" t="s">
        <v>725</v>
      </c>
      <c r="G282" s="38" t="s">
        <v>726</v>
      </c>
      <c r="H282" s="38" t="s">
        <v>686</v>
      </c>
      <c r="I282" s="38" t="s">
        <v>659</v>
      </c>
      <c r="J282" s="38"/>
      <c r="K282" s="35" t="s">
        <v>687</v>
      </c>
    </row>
    <row r="283" customFormat="false" ht="15" hidden="false" customHeight="true" outlineLevel="0" collapsed="false">
      <c r="A283" s="39" t="n">
        <v>282</v>
      </c>
      <c r="B283" s="40" t="s">
        <v>708</v>
      </c>
      <c r="C283" s="39" t="s">
        <v>21</v>
      </c>
      <c r="D283" s="40" t="s">
        <v>694</v>
      </c>
      <c r="E283" s="41" t="n">
        <v>1</v>
      </c>
      <c r="F283" s="42" t="s">
        <v>727</v>
      </c>
      <c r="G283" s="42" t="s">
        <v>728</v>
      </c>
      <c r="H283" s="42" t="s">
        <v>686</v>
      </c>
      <c r="I283" s="42" t="s">
        <v>659</v>
      </c>
      <c r="J283" s="42"/>
      <c r="K283" s="39" t="s">
        <v>687</v>
      </c>
    </row>
    <row r="284" customFormat="false" ht="15" hidden="false" customHeight="true" outlineLevel="0" collapsed="false">
      <c r="A284" s="35" t="n">
        <v>283</v>
      </c>
      <c r="B284" s="36" t="s">
        <v>683</v>
      </c>
      <c r="C284" s="35" t="s">
        <v>21</v>
      </c>
      <c r="D284" s="36" t="s">
        <v>684</v>
      </c>
      <c r="E284" s="37" t="n">
        <v>1</v>
      </c>
      <c r="F284" s="38" t="s">
        <v>729</v>
      </c>
      <c r="G284" s="38" t="s">
        <v>730</v>
      </c>
      <c r="H284" s="38" t="s">
        <v>686</v>
      </c>
      <c r="I284" s="38" t="s">
        <v>659</v>
      </c>
      <c r="J284" s="38"/>
      <c r="K284" s="35" t="s">
        <v>687</v>
      </c>
    </row>
    <row r="285" customFormat="false" ht="15" hidden="false" customHeight="true" outlineLevel="0" collapsed="false">
      <c r="A285" s="39" t="n">
        <v>284</v>
      </c>
      <c r="B285" s="40" t="s">
        <v>683</v>
      </c>
      <c r="C285" s="39" t="s">
        <v>21</v>
      </c>
      <c r="D285" s="40" t="s">
        <v>688</v>
      </c>
      <c r="E285" s="41" t="n">
        <v>1</v>
      </c>
      <c r="F285" s="42" t="s">
        <v>731</v>
      </c>
      <c r="G285" s="42" t="s">
        <v>732</v>
      </c>
      <c r="H285" s="42" t="s">
        <v>686</v>
      </c>
      <c r="I285" s="42" t="s">
        <v>659</v>
      </c>
      <c r="J285" s="42"/>
      <c r="K285" s="39" t="s">
        <v>687</v>
      </c>
    </row>
    <row r="286" customFormat="false" ht="15" hidden="false" customHeight="true" outlineLevel="0" collapsed="false">
      <c r="A286" s="35" t="n">
        <v>285</v>
      </c>
      <c r="B286" s="36" t="s">
        <v>683</v>
      </c>
      <c r="C286" s="35" t="s">
        <v>21</v>
      </c>
      <c r="D286" s="36" t="s">
        <v>690</v>
      </c>
      <c r="E286" s="37" t="n">
        <v>1</v>
      </c>
      <c r="F286" s="38" t="s">
        <v>733</v>
      </c>
      <c r="G286" s="38" t="s">
        <v>734</v>
      </c>
      <c r="H286" s="38" t="s">
        <v>686</v>
      </c>
      <c r="I286" s="38" t="s">
        <v>659</v>
      </c>
      <c r="J286" s="38"/>
      <c r="K286" s="35" t="s">
        <v>687</v>
      </c>
    </row>
    <row r="287" customFormat="false" ht="15" hidden="false" customHeight="true" outlineLevel="0" collapsed="false">
      <c r="A287" s="39" t="n">
        <v>286</v>
      </c>
      <c r="B287" s="40" t="s">
        <v>683</v>
      </c>
      <c r="C287" s="39" t="s">
        <v>21</v>
      </c>
      <c r="D287" s="40" t="s">
        <v>692</v>
      </c>
      <c r="E287" s="41" t="n">
        <v>1</v>
      </c>
      <c r="F287" s="42" t="s">
        <v>735</v>
      </c>
      <c r="G287" s="42" t="s">
        <v>736</v>
      </c>
      <c r="H287" s="42" t="s">
        <v>686</v>
      </c>
      <c r="I287" s="42" t="s">
        <v>659</v>
      </c>
      <c r="J287" s="42"/>
      <c r="K287" s="39" t="s">
        <v>687</v>
      </c>
    </row>
    <row r="288" customFormat="false" ht="15" hidden="false" customHeight="true" outlineLevel="0" collapsed="false">
      <c r="A288" s="35" t="n">
        <v>287</v>
      </c>
      <c r="B288" s="36" t="s">
        <v>683</v>
      </c>
      <c r="C288" s="35" t="s">
        <v>21</v>
      </c>
      <c r="D288" s="36" t="s">
        <v>694</v>
      </c>
      <c r="E288" s="37" t="n">
        <v>1</v>
      </c>
      <c r="F288" s="38" t="s">
        <v>737</v>
      </c>
      <c r="G288" s="38" t="s">
        <v>738</v>
      </c>
      <c r="H288" s="38" t="s">
        <v>686</v>
      </c>
      <c r="I288" s="38" t="s">
        <v>659</v>
      </c>
      <c r="J288" s="38"/>
      <c r="K288" s="35" t="s">
        <v>687</v>
      </c>
    </row>
    <row r="289" customFormat="false" ht="15" hidden="false" customHeight="true" outlineLevel="0" collapsed="false">
      <c r="A289" s="39" t="n">
        <v>288</v>
      </c>
      <c r="B289" s="40" t="s">
        <v>708</v>
      </c>
      <c r="C289" s="39" t="s">
        <v>21</v>
      </c>
      <c r="D289" s="40" t="s">
        <v>684</v>
      </c>
      <c r="E289" s="41" t="n">
        <v>1</v>
      </c>
      <c r="F289" s="42" t="s">
        <v>739</v>
      </c>
      <c r="G289" s="42" t="s">
        <v>740</v>
      </c>
      <c r="H289" s="42" t="s">
        <v>686</v>
      </c>
      <c r="I289" s="42" t="s">
        <v>659</v>
      </c>
      <c r="J289" s="42"/>
      <c r="K289" s="39" t="s">
        <v>687</v>
      </c>
    </row>
    <row r="290" customFormat="false" ht="15" hidden="false" customHeight="true" outlineLevel="0" collapsed="false">
      <c r="A290" s="35" t="n">
        <v>289</v>
      </c>
      <c r="B290" s="36" t="s">
        <v>708</v>
      </c>
      <c r="C290" s="35" t="s">
        <v>21</v>
      </c>
      <c r="D290" s="36" t="s">
        <v>688</v>
      </c>
      <c r="E290" s="37" t="n">
        <v>1</v>
      </c>
      <c r="F290" s="38" t="s">
        <v>741</v>
      </c>
      <c r="G290" s="38" t="s">
        <v>742</v>
      </c>
      <c r="H290" s="38" t="s">
        <v>686</v>
      </c>
      <c r="I290" s="38" t="s">
        <v>659</v>
      </c>
      <c r="J290" s="38"/>
      <c r="K290" s="35" t="s">
        <v>687</v>
      </c>
    </row>
    <row r="291" customFormat="false" ht="15" hidden="false" customHeight="true" outlineLevel="0" collapsed="false">
      <c r="A291" s="39" t="n">
        <v>290</v>
      </c>
      <c r="B291" s="40" t="s">
        <v>708</v>
      </c>
      <c r="C291" s="39" t="s">
        <v>21</v>
      </c>
      <c r="D291" s="40" t="s">
        <v>690</v>
      </c>
      <c r="E291" s="41" t="n">
        <v>1</v>
      </c>
      <c r="F291" s="42" t="s">
        <v>743</v>
      </c>
      <c r="G291" s="42" t="s">
        <v>744</v>
      </c>
      <c r="H291" s="42" t="s">
        <v>686</v>
      </c>
      <c r="I291" s="42" t="s">
        <v>659</v>
      </c>
      <c r="J291" s="42"/>
      <c r="K291" s="39" t="s">
        <v>687</v>
      </c>
    </row>
    <row r="292" customFormat="false" ht="15" hidden="false" customHeight="true" outlineLevel="0" collapsed="false">
      <c r="A292" s="35" t="n">
        <v>291</v>
      </c>
      <c r="B292" s="36" t="s">
        <v>708</v>
      </c>
      <c r="C292" s="35" t="s">
        <v>21</v>
      </c>
      <c r="D292" s="36" t="s">
        <v>692</v>
      </c>
      <c r="E292" s="37" t="n">
        <v>1</v>
      </c>
      <c r="F292" s="38" t="s">
        <v>745</v>
      </c>
      <c r="G292" s="38" t="s">
        <v>746</v>
      </c>
      <c r="H292" s="38" t="s">
        <v>686</v>
      </c>
      <c r="I292" s="38" t="s">
        <v>659</v>
      </c>
      <c r="J292" s="38"/>
      <c r="K292" s="35" t="s">
        <v>687</v>
      </c>
    </row>
    <row r="293" customFormat="false" ht="15" hidden="false" customHeight="true" outlineLevel="0" collapsed="false">
      <c r="A293" s="39" t="n">
        <v>292</v>
      </c>
      <c r="B293" s="40" t="s">
        <v>708</v>
      </c>
      <c r="C293" s="39" t="s">
        <v>21</v>
      </c>
      <c r="D293" s="40" t="s">
        <v>694</v>
      </c>
      <c r="E293" s="41" t="n">
        <v>1</v>
      </c>
      <c r="F293" s="42" t="s">
        <v>747</v>
      </c>
      <c r="G293" s="42" t="s">
        <v>748</v>
      </c>
      <c r="H293" s="42" t="s">
        <v>686</v>
      </c>
      <c r="I293" s="42" t="s">
        <v>659</v>
      </c>
      <c r="J293" s="42"/>
      <c r="K293" s="39" t="s">
        <v>687</v>
      </c>
    </row>
    <row r="294" customFormat="false" ht="15" hidden="false" customHeight="true" outlineLevel="0" collapsed="false">
      <c r="A294" s="35" t="n">
        <v>293</v>
      </c>
      <c r="B294" s="36" t="s">
        <v>708</v>
      </c>
      <c r="C294" s="35" t="s">
        <v>21</v>
      </c>
      <c r="D294" s="36" t="s">
        <v>684</v>
      </c>
      <c r="E294" s="37" t="n">
        <v>1</v>
      </c>
      <c r="F294" s="38" t="s">
        <v>749</v>
      </c>
      <c r="G294" s="38" t="s">
        <v>750</v>
      </c>
      <c r="H294" s="38" t="s">
        <v>686</v>
      </c>
      <c r="I294" s="38" t="s">
        <v>659</v>
      </c>
      <c r="J294" s="38"/>
      <c r="K294" s="35" t="s">
        <v>687</v>
      </c>
    </row>
    <row r="295" customFormat="false" ht="15" hidden="false" customHeight="true" outlineLevel="0" collapsed="false">
      <c r="A295" s="39" t="n">
        <v>294</v>
      </c>
      <c r="B295" s="40" t="s">
        <v>708</v>
      </c>
      <c r="C295" s="39" t="s">
        <v>21</v>
      </c>
      <c r="D295" s="40" t="s">
        <v>688</v>
      </c>
      <c r="E295" s="41" t="n">
        <v>1</v>
      </c>
      <c r="F295" s="42" t="s">
        <v>751</v>
      </c>
      <c r="G295" s="42" t="s">
        <v>752</v>
      </c>
      <c r="H295" s="42" t="s">
        <v>686</v>
      </c>
      <c r="I295" s="42" t="s">
        <v>659</v>
      </c>
      <c r="J295" s="42"/>
      <c r="K295" s="39" t="s">
        <v>687</v>
      </c>
    </row>
    <row r="296" customFormat="false" ht="15" hidden="false" customHeight="true" outlineLevel="0" collapsed="false">
      <c r="A296" s="35" t="n">
        <v>295</v>
      </c>
      <c r="B296" s="36" t="s">
        <v>708</v>
      </c>
      <c r="C296" s="35" t="s">
        <v>21</v>
      </c>
      <c r="D296" s="36" t="s">
        <v>690</v>
      </c>
      <c r="E296" s="37" t="n">
        <v>1</v>
      </c>
      <c r="F296" s="38" t="s">
        <v>753</v>
      </c>
      <c r="G296" s="38" t="s">
        <v>754</v>
      </c>
      <c r="H296" s="38" t="s">
        <v>686</v>
      </c>
      <c r="I296" s="38" t="s">
        <v>659</v>
      </c>
      <c r="J296" s="38"/>
      <c r="K296" s="35" t="s">
        <v>687</v>
      </c>
    </row>
    <row r="297" customFormat="false" ht="15" hidden="false" customHeight="true" outlineLevel="0" collapsed="false">
      <c r="A297" s="39" t="n">
        <v>296</v>
      </c>
      <c r="B297" s="40" t="s">
        <v>708</v>
      </c>
      <c r="C297" s="39" t="s">
        <v>21</v>
      </c>
      <c r="D297" s="40" t="s">
        <v>692</v>
      </c>
      <c r="E297" s="41" t="n">
        <v>1</v>
      </c>
      <c r="F297" s="42" t="s">
        <v>755</v>
      </c>
      <c r="G297" s="42" t="s">
        <v>756</v>
      </c>
      <c r="H297" s="42" t="s">
        <v>686</v>
      </c>
      <c r="I297" s="42" t="s">
        <v>659</v>
      </c>
      <c r="J297" s="42"/>
      <c r="K297" s="39" t="s">
        <v>687</v>
      </c>
    </row>
    <row r="298" customFormat="false" ht="15" hidden="false" customHeight="true" outlineLevel="0" collapsed="false">
      <c r="A298" s="35" t="n">
        <v>297</v>
      </c>
      <c r="B298" s="36" t="s">
        <v>708</v>
      </c>
      <c r="C298" s="35" t="s">
        <v>21</v>
      </c>
      <c r="D298" s="36" t="s">
        <v>694</v>
      </c>
      <c r="E298" s="37" t="n">
        <v>1</v>
      </c>
      <c r="F298" s="38" t="s">
        <v>757</v>
      </c>
      <c r="G298" s="38" t="s">
        <v>758</v>
      </c>
      <c r="H298" s="38" t="s">
        <v>686</v>
      </c>
      <c r="I298" s="38" t="s">
        <v>659</v>
      </c>
      <c r="J298" s="38"/>
      <c r="K298" s="35" t="s">
        <v>687</v>
      </c>
    </row>
    <row r="299" customFormat="false" ht="15" hidden="false" customHeight="true" outlineLevel="0" collapsed="false">
      <c r="A299" s="39" t="n">
        <v>298</v>
      </c>
      <c r="B299" s="40" t="s">
        <v>708</v>
      </c>
      <c r="C299" s="39" t="s">
        <v>21</v>
      </c>
      <c r="D299" s="40" t="s">
        <v>684</v>
      </c>
      <c r="E299" s="41" t="n">
        <v>1</v>
      </c>
      <c r="F299" s="42" t="s">
        <v>759</v>
      </c>
      <c r="G299" s="42" t="s">
        <v>760</v>
      </c>
      <c r="H299" s="42" t="s">
        <v>686</v>
      </c>
      <c r="I299" s="42" t="s">
        <v>659</v>
      </c>
      <c r="J299" s="42"/>
      <c r="K299" s="39" t="s">
        <v>687</v>
      </c>
    </row>
    <row r="300" customFormat="false" ht="15" hidden="false" customHeight="true" outlineLevel="0" collapsed="false">
      <c r="A300" s="35" t="n">
        <v>299</v>
      </c>
      <c r="B300" s="36" t="s">
        <v>708</v>
      </c>
      <c r="C300" s="35" t="s">
        <v>21</v>
      </c>
      <c r="D300" s="36" t="s">
        <v>688</v>
      </c>
      <c r="E300" s="37" t="n">
        <v>1</v>
      </c>
      <c r="F300" s="38" t="s">
        <v>761</v>
      </c>
      <c r="G300" s="38" t="s">
        <v>762</v>
      </c>
      <c r="H300" s="38" t="s">
        <v>686</v>
      </c>
      <c r="I300" s="38" t="s">
        <v>659</v>
      </c>
      <c r="J300" s="38"/>
      <c r="K300" s="35" t="s">
        <v>687</v>
      </c>
    </row>
    <row r="301" customFormat="false" ht="15" hidden="false" customHeight="true" outlineLevel="0" collapsed="false">
      <c r="A301" s="39" t="n">
        <v>300</v>
      </c>
      <c r="B301" s="40" t="s">
        <v>708</v>
      </c>
      <c r="C301" s="39" t="s">
        <v>21</v>
      </c>
      <c r="D301" s="40" t="s">
        <v>690</v>
      </c>
      <c r="E301" s="41" t="n">
        <v>1</v>
      </c>
      <c r="F301" s="42" t="s">
        <v>763</v>
      </c>
      <c r="G301" s="42" t="s">
        <v>764</v>
      </c>
      <c r="H301" s="42" t="s">
        <v>686</v>
      </c>
      <c r="I301" s="42" t="s">
        <v>659</v>
      </c>
      <c r="J301" s="42"/>
      <c r="K301" s="39" t="s">
        <v>687</v>
      </c>
    </row>
    <row r="302" customFormat="false" ht="15" hidden="false" customHeight="true" outlineLevel="0" collapsed="false">
      <c r="A302" s="35" t="n">
        <v>301</v>
      </c>
      <c r="B302" s="36" t="s">
        <v>708</v>
      </c>
      <c r="C302" s="35" t="s">
        <v>21</v>
      </c>
      <c r="D302" s="36" t="s">
        <v>692</v>
      </c>
      <c r="E302" s="37" t="n">
        <v>1</v>
      </c>
      <c r="F302" s="38" t="s">
        <v>765</v>
      </c>
      <c r="G302" s="38" t="s">
        <v>766</v>
      </c>
      <c r="H302" s="38" t="s">
        <v>686</v>
      </c>
      <c r="I302" s="38" t="s">
        <v>659</v>
      </c>
      <c r="J302" s="38"/>
      <c r="K302" s="35" t="s">
        <v>687</v>
      </c>
    </row>
    <row r="303" customFormat="false" ht="15" hidden="false" customHeight="true" outlineLevel="0" collapsed="false">
      <c r="A303" s="39" t="n">
        <v>302</v>
      </c>
      <c r="B303" s="40" t="s">
        <v>708</v>
      </c>
      <c r="C303" s="39" t="s">
        <v>21</v>
      </c>
      <c r="D303" s="40" t="s">
        <v>694</v>
      </c>
      <c r="E303" s="41" t="n">
        <v>1</v>
      </c>
      <c r="F303" s="42" t="s">
        <v>767</v>
      </c>
      <c r="G303" s="42" t="s">
        <v>768</v>
      </c>
      <c r="H303" s="42" t="s">
        <v>686</v>
      </c>
      <c r="I303" s="42" t="s">
        <v>659</v>
      </c>
      <c r="J303" s="42"/>
      <c r="K303" s="39" t="s">
        <v>687</v>
      </c>
    </row>
    <row r="304" customFormat="false" ht="15" hidden="false" customHeight="true" outlineLevel="0" collapsed="false">
      <c r="A304" s="35" t="n">
        <v>303</v>
      </c>
      <c r="B304" s="36" t="s">
        <v>708</v>
      </c>
      <c r="C304" s="35" t="s">
        <v>21</v>
      </c>
      <c r="D304" s="36" t="s">
        <v>684</v>
      </c>
      <c r="E304" s="37" t="n">
        <v>1</v>
      </c>
      <c r="F304" s="38" t="s">
        <v>769</v>
      </c>
      <c r="G304" s="38" t="s">
        <v>770</v>
      </c>
      <c r="H304" s="38" t="s">
        <v>686</v>
      </c>
      <c r="I304" s="38" t="s">
        <v>659</v>
      </c>
      <c r="J304" s="38"/>
      <c r="K304" s="35" t="s">
        <v>687</v>
      </c>
    </row>
    <row r="305" customFormat="false" ht="15" hidden="false" customHeight="true" outlineLevel="0" collapsed="false">
      <c r="A305" s="39" t="n">
        <v>304</v>
      </c>
      <c r="B305" s="40" t="s">
        <v>708</v>
      </c>
      <c r="C305" s="39" t="s">
        <v>21</v>
      </c>
      <c r="D305" s="40" t="s">
        <v>688</v>
      </c>
      <c r="E305" s="41" t="n">
        <v>1</v>
      </c>
      <c r="F305" s="42" t="s">
        <v>771</v>
      </c>
      <c r="G305" s="42" t="s">
        <v>772</v>
      </c>
      <c r="H305" s="42" t="s">
        <v>686</v>
      </c>
      <c r="I305" s="42" t="s">
        <v>659</v>
      </c>
      <c r="J305" s="42"/>
      <c r="K305" s="39" t="s">
        <v>687</v>
      </c>
    </row>
    <row r="306" customFormat="false" ht="15" hidden="false" customHeight="true" outlineLevel="0" collapsed="false">
      <c r="A306" s="35" t="n">
        <v>305</v>
      </c>
      <c r="B306" s="36" t="s">
        <v>708</v>
      </c>
      <c r="C306" s="35" t="s">
        <v>21</v>
      </c>
      <c r="D306" s="36" t="s">
        <v>690</v>
      </c>
      <c r="E306" s="37" t="n">
        <v>1</v>
      </c>
      <c r="F306" s="38" t="s">
        <v>773</v>
      </c>
      <c r="G306" s="38" t="s">
        <v>774</v>
      </c>
      <c r="H306" s="38" t="s">
        <v>686</v>
      </c>
      <c r="I306" s="38" t="s">
        <v>659</v>
      </c>
      <c r="J306" s="38"/>
      <c r="K306" s="35" t="s">
        <v>687</v>
      </c>
    </row>
    <row r="307" customFormat="false" ht="15" hidden="false" customHeight="true" outlineLevel="0" collapsed="false">
      <c r="A307" s="39" t="n">
        <v>306</v>
      </c>
      <c r="B307" s="40" t="s">
        <v>708</v>
      </c>
      <c r="C307" s="39" t="s">
        <v>21</v>
      </c>
      <c r="D307" s="40" t="s">
        <v>692</v>
      </c>
      <c r="E307" s="41" t="n">
        <v>1</v>
      </c>
      <c r="F307" s="42" t="s">
        <v>775</v>
      </c>
      <c r="G307" s="42" t="s">
        <v>776</v>
      </c>
      <c r="H307" s="42" t="s">
        <v>686</v>
      </c>
      <c r="I307" s="42" t="s">
        <v>659</v>
      </c>
      <c r="J307" s="42"/>
      <c r="K307" s="39" t="s">
        <v>687</v>
      </c>
    </row>
    <row r="308" customFormat="false" ht="15" hidden="false" customHeight="true" outlineLevel="0" collapsed="false">
      <c r="A308" s="35" t="n">
        <v>307</v>
      </c>
      <c r="B308" s="36" t="s">
        <v>708</v>
      </c>
      <c r="C308" s="35" t="s">
        <v>21</v>
      </c>
      <c r="D308" s="36" t="s">
        <v>694</v>
      </c>
      <c r="E308" s="37" t="n">
        <v>1</v>
      </c>
      <c r="F308" s="38" t="s">
        <v>777</v>
      </c>
      <c r="G308" s="38" t="s">
        <v>778</v>
      </c>
      <c r="H308" s="38" t="s">
        <v>686</v>
      </c>
      <c r="I308" s="38" t="s">
        <v>659</v>
      </c>
      <c r="J308" s="38"/>
      <c r="K308" s="35" t="s">
        <v>687</v>
      </c>
    </row>
    <row r="309" customFormat="false" ht="15" hidden="false" customHeight="true" outlineLevel="0" collapsed="false">
      <c r="A309" s="39" t="n">
        <v>308</v>
      </c>
      <c r="B309" s="40" t="s">
        <v>708</v>
      </c>
      <c r="C309" s="39" t="s">
        <v>21</v>
      </c>
      <c r="D309" s="40" t="s">
        <v>684</v>
      </c>
      <c r="E309" s="41" t="n">
        <v>1</v>
      </c>
      <c r="F309" s="42" t="s">
        <v>779</v>
      </c>
      <c r="G309" s="42" t="s">
        <v>780</v>
      </c>
      <c r="H309" s="42" t="s">
        <v>686</v>
      </c>
      <c r="I309" s="42" t="s">
        <v>659</v>
      </c>
      <c r="J309" s="42"/>
      <c r="K309" s="39" t="s">
        <v>687</v>
      </c>
    </row>
    <row r="310" customFormat="false" ht="15" hidden="false" customHeight="true" outlineLevel="0" collapsed="false">
      <c r="A310" s="35" t="n">
        <v>309</v>
      </c>
      <c r="B310" s="36" t="s">
        <v>708</v>
      </c>
      <c r="C310" s="35" t="s">
        <v>21</v>
      </c>
      <c r="D310" s="36" t="s">
        <v>688</v>
      </c>
      <c r="E310" s="37" t="n">
        <v>1</v>
      </c>
      <c r="F310" s="38" t="s">
        <v>781</v>
      </c>
      <c r="G310" s="38" t="s">
        <v>782</v>
      </c>
      <c r="H310" s="38" t="s">
        <v>686</v>
      </c>
      <c r="I310" s="38" t="s">
        <v>659</v>
      </c>
      <c r="J310" s="38"/>
      <c r="K310" s="35" t="s">
        <v>687</v>
      </c>
    </row>
    <row r="311" customFormat="false" ht="15" hidden="false" customHeight="true" outlineLevel="0" collapsed="false">
      <c r="A311" s="39" t="n">
        <v>310</v>
      </c>
      <c r="B311" s="40" t="s">
        <v>708</v>
      </c>
      <c r="C311" s="39" t="s">
        <v>21</v>
      </c>
      <c r="D311" s="40" t="s">
        <v>690</v>
      </c>
      <c r="E311" s="41" t="n">
        <v>1</v>
      </c>
      <c r="F311" s="42" t="s">
        <v>783</v>
      </c>
      <c r="G311" s="42" t="s">
        <v>784</v>
      </c>
      <c r="H311" s="42" t="s">
        <v>686</v>
      </c>
      <c r="I311" s="42" t="s">
        <v>659</v>
      </c>
      <c r="J311" s="42"/>
      <c r="K311" s="39" t="s">
        <v>687</v>
      </c>
    </row>
    <row r="312" customFormat="false" ht="15" hidden="false" customHeight="true" outlineLevel="0" collapsed="false">
      <c r="A312" s="35" t="n">
        <v>311</v>
      </c>
      <c r="B312" s="36" t="s">
        <v>708</v>
      </c>
      <c r="C312" s="35" t="s">
        <v>21</v>
      </c>
      <c r="D312" s="36" t="s">
        <v>692</v>
      </c>
      <c r="E312" s="37" t="n">
        <v>1</v>
      </c>
      <c r="F312" s="38" t="s">
        <v>785</v>
      </c>
      <c r="G312" s="38" t="s">
        <v>786</v>
      </c>
      <c r="H312" s="38" t="s">
        <v>686</v>
      </c>
      <c r="I312" s="38" t="s">
        <v>659</v>
      </c>
      <c r="J312" s="38"/>
      <c r="K312" s="35" t="s">
        <v>687</v>
      </c>
    </row>
    <row r="313" customFormat="false" ht="15" hidden="false" customHeight="true" outlineLevel="0" collapsed="false">
      <c r="A313" s="39" t="n">
        <v>312</v>
      </c>
      <c r="B313" s="40" t="s">
        <v>708</v>
      </c>
      <c r="C313" s="39" t="s">
        <v>21</v>
      </c>
      <c r="D313" s="40" t="s">
        <v>694</v>
      </c>
      <c r="E313" s="41" t="n">
        <v>1</v>
      </c>
      <c r="F313" s="42" t="s">
        <v>787</v>
      </c>
      <c r="G313" s="42" t="s">
        <v>788</v>
      </c>
      <c r="H313" s="42" t="s">
        <v>686</v>
      </c>
      <c r="I313" s="42" t="s">
        <v>659</v>
      </c>
      <c r="J313" s="42"/>
      <c r="K313" s="39" t="s">
        <v>687</v>
      </c>
    </row>
    <row r="314" customFormat="false" ht="15" hidden="false" customHeight="true" outlineLevel="0" collapsed="false">
      <c r="A314" s="35" t="n">
        <v>313</v>
      </c>
      <c r="B314" s="36" t="s">
        <v>708</v>
      </c>
      <c r="C314" s="35" t="s">
        <v>21</v>
      </c>
      <c r="D314" s="36" t="s">
        <v>684</v>
      </c>
      <c r="E314" s="37" t="n">
        <v>1</v>
      </c>
      <c r="F314" s="38" t="s">
        <v>789</v>
      </c>
      <c r="G314" s="38" t="s">
        <v>790</v>
      </c>
      <c r="H314" s="38" t="s">
        <v>686</v>
      </c>
      <c r="I314" s="38" t="s">
        <v>659</v>
      </c>
      <c r="J314" s="38"/>
      <c r="K314" s="35" t="s">
        <v>687</v>
      </c>
    </row>
    <row r="315" customFormat="false" ht="15" hidden="false" customHeight="true" outlineLevel="0" collapsed="false">
      <c r="A315" s="39" t="n">
        <v>314</v>
      </c>
      <c r="B315" s="40" t="s">
        <v>708</v>
      </c>
      <c r="C315" s="39" t="s">
        <v>21</v>
      </c>
      <c r="D315" s="40" t="s">
        <v>688</v>
      </c>
      <c r="E315" s="41" t="n">
        <v>1</v>
      </c>
      <c r="F315" s="42" t="s">
        <v>791</v>
      </c>
      <c r="G315" s="42" t="s">
        <v>792</v>
      </c>
      <c r="H315" s="42" t="s">
        <v>686</v>
      </c>
      <c r="I315" s="42" t="s">
        <v>659</v>
      </c>
      <c r="J315" s="42"/>
      <c r="K315" s="39" t="s">
        <v>687</v>
      </c>
    </row>
    <row r="316" customFormat="false" ht="15" hidden="false" customHeight="true" outlineLevel="0" collapsed="false">
      <c r="A316" s="35" t="n">
        <v>315</v>
      </c>
      <c r="B316" s="36" t="s">
        <v>708</v>
      </c>
      <c r="C316" s="35" t="s">
        <v>21</v>
      </c>
      <c r="D316" s="36" t="s">
        <v>690</v>
      </c>
      <c r="E316" s="37" t="n">
        <v>1</v>
      </c>
      <c r="F316" s="38" t="s">
        <v>793</v>
      </c>
      <c r="G316" s="38" t="s">
        <v>794</v>
      </c>
      <c r="H316" s="38" t="s">
        <v>686</v>
      </c>
      <c r="I316" s="38" t="s">
        <v>659</v>
      </c>
      <c r="J316" s="38"/>
      <c r="K316" s="35" t="s">
        <v>687</v>
      </c>
    </row>
    <row r="317" customFormat="false" ht="15" hidden="false" customHeight="true" outlineLevel="0" collapsed="false">
      <c r="A317" s="39" t="n">
        <v>316</v>
      </c>
      <c r="B317" s="40" t="s">
        <v>708</v>
      </c>
      <c r="C317" s="39" t="s">
        <v>21</v>
      </c>
      <c r="D317" s="40" t="s">
        <v>692</v>
      </c>
      <c r="E317" s="41" t="n">
        <v>1</v>
      </c>
      <c r="F317" s="42" t="s">
        <v>795</v>
      </c>
      <c r="G317" s="42" t="s">
        <v>796</v>
      </c>
      <c r="H317" s="42" t="s">
        <v>686</v>
      </c>
      <c r="I317" s="42" t="s">
        <v>659</v>
      </c>
      <c r="J317" s="42"/>
      <c r="K317" s="39" t="s">
        <v>687</v>
      </c>
    </row>
    <row r="318" customFormat="false" ht="15" hidden="false" customHeight="true" outlineLevel="0" collapsed="false">
      <c r="A318" s="35" t="n">
        <v>317</v>
      </c>
      <c r="B318" s="36" t="s">
        <v>708</v>
      </c>
      <c r="C318" s="35" t="s">
        <v>21</v>
      </c>
      <c r="D318" s="36" t="s">
        <v>694</v>
      </c>
      <c r="E318" s="37" t="n">
        <v>1</v>
      </c>
      <c r="F318" s="38" t="s">
        <v>797</v>
      </c>
      <c r="G318" s="38" t="s">
        <v>798</v>
      </c>
      <c r="H318" s="38" t="s">
        <v>686</v>
      </c>
      <c r="I318" s="38" t="s">
        <v>659</v>
      </c>
      <c r="J318" s="38"/>
      <c r="K318" s="35" t="s">
        <v>687</v>
      </c>
    </row>
    <row r="319" customFormat="false" ht="15" hidden="false" customHeight="true" outlineLevel="0" collapsed="false">
      <c r="A319" s="39" t="n">
        <v>318</v>
      </c>
      <c r="B319" s="40" t="s">
        <v>708</v>
      </c>
      <c r="C319" s="39" t="s">
        <v>21</v>
      </c>
      <c r="D319" s="40" t="s">
        <v>684</v>
      </c>
      <c r="E319" s="41" t="n">
        <v>1</v>
      </c>
      <c r="F319" s="42" t="s">
        <v>799</v>
      </c>
      <c r="G319" s="42" t="s">
        <v>800</v>
      </c>
      <c r="H319" s="42" t="s">
        <v>686</v>
      </c>
      <c r="I319" s="42" t="s">
        <v>659</v>
      </c>
      <c r="J319" s="42"/>
      <c r="K319" s="39" t="s">
        <v>687</v>
      </c>
    </row>
    <row r="320" customFormat="false" ht="15" hidden="false" customHeight="true" outlineLevel="0" collapsed="false">
      <c r="A320" s="35" t="n">
        <v>319</v>
      </c>
      <c r="B320" s="36" t="s">
        <v>708</v>
      </c>
      <c r="C320" s="35" t="s">
        <v>21</v>
      </c>
      <c r="D320" s="36" t="s">
        <v>688</v>
      </c>
      <c r="E320" s="37" t="n">
        <v>1</v>
      </c>
      <c r="F320" s="38" t="s">
        <v>801</v>
      </c>
      <c r="G320" s="38" t="s">
        <v>802</v>
      </c>
      <c r="H320" s="38" t="s">
        <v>686</v>
      </c>
      <c r="I320" s="38" t="s">
        <v>659</v>
      </c>
      <c r="J320" s="38"/>
      <c r="K320" s="35" t="s">
        <v>687</v>
      </c>
    </row>
    <row r="321" customFormat="false" ht="15" hidden="false" customHeight="true" outlineLevel="0" collapsed="false">
      <c r="A321" s="39" t="n">
        <v>320</v>
      </c>
      <c r="B321" s="40" t="s">
        <v>708</v>
      </c>
      <c r="C321" s="39" t="s">
        <v>21</v>
      </c>
      <c r="D321" s="40" t="s">
        <v>690</v>
      </c>
      <c r="E321" s="41" t="n">
        <v>1</v>
      </c>
      <c r="F321" s="42" t="s">
        <v>803</v>
      </c>
      <c r="G321" s="42" t="s">
        <v>804</v>
      </c>
      <c r="H321" s="42" t="s">
        <v>686</v>
      </c>
      <c r="I321" s="42" t="s">
        <v>659</v>
      </c>
      <c r="J321" s="42"/>
      <c r="K321" s="39" t="s">
        <v>687</v>
      </c>
    </row>
    <row r="322" customFormat="false" ht="15" hidden="false" customHeight="true" outlineLevel="0" collapsed="false">
      <c r="A322" s="35" t="n">
        <v>321</v>
      </c>
      <c r="B322" s="36" t="s">
        <v>708</v>
      </c>
      <c r="C322" s="35" t="s">
        <v>21</v>
      </c>
      <c r="D322" s="36" t="s">
        <v>692</v>
      </c>
      <c r="E322" s="37" t="n">
        <v>1</v>
      </c>
      <c r="F322" s="38" t="s">
        <v>805</v>
      </c>
      <c r="G322" s="38" t="s">
        <v>806</v>
      </c>
      <c r="H322" s="38" t="s">
        <v>686</v>
      </c>
      <c r="I322" s="38" t="s">
        <v>659</v>
      </c>
      <c r="J322" s="38"/>
      <c r="K322" s="35" t="s">
        <v>687</v>
      </c>
    </row>
    <row r="323" customFormat="false" ht="15" hidden="false" customHeight="true" outlineLevel="0" collapsed="false">
      <c r="A323" s="39" t="n">
        <v>322</v>
      </c>
      <c r="B323" s="40" t="s">
        <v>708</v>
      </c>
      <c r="C323" s="39" t="s">
        <v>21</v>
      </c>
      <c r="D323" s="40" t="s">
        <v>694</v>
      </c>
      <c r="E323" s="41" t="n">
        <v>1</v>
      </c>
      <c r="F323" s="42" t="s">
        <v>807</v>
      </c>
      <c r="G323" s="42" t="s">
        <v>808</v>
      </c>
      <c r="H323" s="42" t="s">
        <v>686</v>
      </c>
      <c r="I323" s="42" t="s">
        <v>659</v>
      </c>
      <c r="J323" s="42"/>
      <c r="K323" s="39" t="s">
        <v>687</v>
      </c>
    </row>
    <row r="324" customFormat="false" ht="15" hidden="false" customHeight="true" outlineLevel="0" collapsed="false">
      <c r="A324" s="35" t="n">
        <v>323</v>
      </c>
      <c r="B324" s="36" t="s">
        <v>708</v>
      </c>
      <c r="C324" s="35" t="s">
        <v>21</v>
      </c>
      <c r="D324" s="36" t="s">
        <v>684</v>
      </c>
      <c r="E324" s="37" t="n">
        <v>1</v>
      </c>
      <c r="F324" s="38" t="s">
        <v>809</v>
      </c>
      <c r="G324" s="38" t="s">
        <v>810</v>
      </c>
      <c r="H324" s="38" t="s">
        <v>686</v>
      </c>
      <c r="I324" s="38" t="s">
        <v>659</v>
      </c>
      <c r="J324" s="38"/>
      <c r="K324" s="35" t="s">
        <v>687</v>
      </c>
    </row>
    <row r="325" customFormat="false" ht="15" hidden="false" customHeight="true" outlineLevel="0" collapsed="false">
      <c r="A325" s="39" t="n">
        <v>324</v>
      </c>
      <c r="B325" s="40" t="s">
        <v>708</v>
      </c>
      <c r="C325" s="39" t="s">
        <v>21</v>
      </c>
      <c r="D325" s="40" t="s">
        <v>688</v>
      </c>
      <c r="E325" s="41" t="n">
        <v>1</v>
      </c>
      <c r="F325" s="42" t="s">
        <v>811</v>
      </c>
      <c r="G325" s="42" t="s">
        <v>812</v>
      </c>
      <c r="H325" s="42" t="s">
        <v>686</v>
      </c>
      <c r="I325" s="42" t="s">
        <v>659</v>
      </c>
      <c r="J325" s="42"/>
      <c r="K325" s="39" t="s">
        <v>687</v>
      </c>
    </row>
    <row r="326" customFormat="false" ht="15" hidden="false" customHeight="true" outlineLevel="0" collapsed="false">
      <c r="A326" s="35" t="n">
        <v>325</v>
      </c>
      <c r="B326" s="36" t="s">
        <v>708</v>
      </c>
      <c r="C326" s="35" t="s">
        <v>21</v>
      </c>
      <c r="D326" s="36" t="s">
        <v>690</v>
      </c>
      <c r="E326" s="37" t="n">
        <v>1</v>
      </c>
      <c r="F326" s="38" t="s">
        <v>813</v>
      </c>
      <c r="G326" s="38" t="s">
        <v>814</v>
      </c>
      <c r="H326" s="38" t="s">
        <v>686</v>
      </c>
      <c r="I326" s="38" t="s">
        <v>659</v>
      </c>
      <c r="J326" s="38"/>
      <c r="K326" s="35" t="s">
        <v>687</v>
      </c>
    </row>
    <row r="327" customFormat="false" ht="15" hidden="false" customHeight="true" outlineLevel="0" collapsed="false">
      <c r="A327" s="39" t="n">
        <v>326</v>
      </c>
      <c r="B327" s="40" t="s">
        <v>708</v>
      </c>
      <c r="C327" s="39" t="s">
        <v>21</v>
      </c>
      <c r="D327" s="40" t="s">
        <v>692</v>
      </c>
      <c r="E327" s="41" t="n">
        <v>1</v>
      </c>
      <c r="F327" s="42" t="s">
        <v>815</v>
      </c>
      <c r="G327" s="42" t="s">
        <v>816</v>
      </c>
      <c r="H327" s="42" t="s">
        <v>686</v>
      </c>
      <c r="I327" s="42" t="s">
        <v>659</v>
      </c>
      <c r="J327" s="42"/>
      <c r="K327" s="39" t="s">
        <v>687</v>
      </c>
    </row>
    <row r="328" customFormat="false" ht="15" hidden="false" customHeight="true" outlineLevel="0" collapsed="false">
      <c r="A328" s="35" t="n">
        <v>327</v>
      </c>
      <c r="B328" s="36" t="s">
        <v>708</v>
      </c>
      <c r="C328" s="35" t="s">
        <v>21</v>
      </c>
      <c r="D328" s="36" t="s">
        <v>694</v>
      </c>
      <c r="E328" s="37" t="n">
        <v>1</v>
      </c>
      <c r="F328" s="38" t="s">
        <v>817</v>
      </c>
      <c r="G328" s="38" t="s">
        <v>818</v>
      </c>
      <c r="H328" s="38" t="s">
        <v>686</v>
      </c>
      <c r="I328" s="38" t="s">
        <v>659</v>
      </c>
      <c r="J328" s="38"/>
      <c r="K328" s="35" t="s">
        <v>687</v>
      </c>
    </row>
    <row r="329" customFormat="false" ht="15" hidden="false" customHeight="true" outlineLevel="0" collapsed="false">
      <c r="A329" s="39" t="n">
        <v>328</v>
      </c>
      <c r="B329" s="40" t="s">
        <v>708</v>
      </c>
      <c r="C329" s="39" t="s">
        <v>21</v>
      </c>
      <c r="D329" s="40" t="s">
        <v>684</v>
      </c>
      <c r="E329" s="41" t="n">
        <v>1</v>
      </c>
      <c r="F329" s="42" t="s">
        <v>819</v>
      </c>
      <c r="G329" s="42" t="s">
        <v>820</v>
      </c>
      <c r="H329" s="42" t="s">
        <v>686</v>
      </c>
      <c r="I329" s="42" t="s">
        <v>659</v>
      </c>
      <c r="J329" s="42"/>
      <c r="K329" s="39" t="s">
        <v>687</v>
      </c>
    </row>
    <row r="330" customFormat="false" ht="15" hidden="false" customHeight="true" outlineLevel="0" collapsed="false">
      <c r="A330" s="35" t="n">
        <v>329</v>
      </c>
      <c r="B330" s="36" t="s">
        <v>708</v>
      </c>
      <c r="C330" s="35" t="s">
        <v>21</v>
      </c>
      <c r="D330" s="36" t="s">
        <v>688</v>
      </c>
      <c r="E330" s="37" t="n">
        <v>1</v>
      </c>
      <c r="F330" s="38" t="s">
        <v>821</v>
      </c>
      <c r="G330" s="38" t="s">
        <v>822</v>
      </c>
      <c r="H330" s="38" t="s">
        <v>686</v>
      </c>
      <c r="I330" s="38" t="s">
        <v>659</v>
      </c>
      <c r="J330" s="38"/>
      <c r="K330" s="35" t="s">
        <v>687</v>
      </c>
    </row>
    <row r="331" customFormat="false" ht="15" hidden="false" customHeight="true" outlineLevel="0" collapsed="false">
      <c r="A331" s="39" t="n">
        <v>330</v>
      </c>
      <c r="B331" s="40" t="s">
        <v>708</v>
      </c>
      <c r="C331" s="39" t="s">
        <v>21</v>
      </c>
      <c r="D331" s="40" t="s">
        <v>690</v>
      </c>
      <c r="E331" s="41" t="n">
        <v>1</v>
      </c>
      <c r="F331" s="42" t="s">
        <v>823</v>
      </c>
      <c r="G331" s="42" t="s">
        <v>824</v>
      </c>
      <c r="H331" s="42" t="s">
        <v>686</v>
      </c>
      <c r="I331" s="42" t="s">
        <v>659</v>
      </c>
      <c r="J331" s="42"/>
      <c r="K331" s="39" t="s">
        <v>687</v>
      </c>
    </row>
    <row r="332" customFormat="false" ht="15" hidden="false" customHeight="true" outlineLevel="0" collapsed="false">
      <c r="A332" s="35" t="n">
        <v>331</v>
      </c>
      <c r="B332" s="36" t="s">
        <v>708</v>
      </c>
      <c r="C332" s="35" t="s">
        <v>21</v>
      </c>
      <c r="D332" s="36" t="s">
        <v>692</v>
      </c>
      <c r="E332" s="37" t="n">
        <v>1</v>
      </c>
      <c r="F332" s="38" t="s">
        <v>825</v>
      </c>
      <c r="G332" s="38" t="s">
        <v>826</v>
      </c>
      <c r="H332" s="38" t="s">
        <v>686</v>
      </c>
      <c r="I332" s="38" t="s">
        <v>659</v>
      </c>
      <c r="J332" s="38"/>
      <c r="K332" s="35" t="s">
        <v>687</v>
      </c>
    </row>
    <row r="333" customFormat="false" ht="15" hidden="false" customHeight="true" outlineLevel="0" collapsed="false">
      <c r="A333" s="39" t="n">
        <v>332</v>
      </c>
      <c r="B333" s="40" t="s">
        <v>708</v>
      </c>
      <c r="C333" s="39" t="s">
        <v>21</v>
      </c>
      <c r="D333" s="40" t="s">
        <v>694</v>
      </c>
      <c r="E333" s="41" t="n">
        <v>1</v>
      </c>
      <c r="F333" s="42" t="s">
        <v>827</v>
      </c>
      <c r="G333" s="42" t="s">
        <v>828</v>
      </c>
      <c r="H333" s="42" t="s">
        <v>686</v>
      </c>
      <c r="I333" s="42" t="s">
        <v>659</v>
      </c>
      <c r="J333" s="42"/>
      <c r="K333" s="39" t="s">
        <v>687</v>
      </c>
    </row>
    <row r="334" customFormat="false" ht="15" hidden="false" customHeight="true" outlineLevel="0" collapsed="false">
      <c r="A334" s="35" t="n">
        <v>333</v>
      </c>
      <c r="B334" s="36" t="s">
        <v>708</v>
      </c>
      <c r="C334" s="35" t="s">
        <v>21</v>
      </c>
      <c r="D334" s="36" t="s">
        <v>684</v>
      </c>
      <c r="E334" s="37" t="n">
        <v>1</v>
      </c>
      <c r="F334" s="38" t="s">
        <v>829</v>
      </c>
      <c r="G334" s="38" t="s">
        <v>830</v>
      </c>
      <c r="H334" s="38" t="s">
        <v>686</v>
      </c>
      <c r="I334" s="38" t="s">
        <v>659</v>
      </c>
      <c r="J334" s="38"/>
      <c r="K334" s="35" t="s">
        <v>687</v>
      </c>
    </row>
    <row r="335" customFormat="false" ht="15" hidden="false" customHeight="true" outlineLevel="0" collapsed="false">
      <c r="A335" s="39" t="n">
        <v>334</v>
      </c>
      <c r="B335" s="40" t="s">
        <v>708</v>
      </c>
      <c r="C335" s="39" t="s">
        <v>21</v>
      </c>
      <c r="D335" s="40" t="s">
        <v>688</v>
      </c>
      <c r="E335" s="41" t="n">
        <v>1</v>
      </c>
      <c r="F335" s="42" t="s">
        <v>831</v>
      </c>
      <c r="G335" s="42" t="s">
        <v>832</v>
      </c>
      <c r="H335" s="42" t="s">
        <v>686</v>
      </c>
      <c r="I335" s="42" t="s">
        <v>659</v>
      </c>
      <c r="J335" s="42"/>
      <c r="K335" s="39" t="s">
        <v>687</v>
      </c>
    </row>
    <row r="336" customFormat="false" ht="15" hidden="false" customHeight="true" outlineLevel="0" collapsed="false">
      <c r="A336" s="35" t="n">
        <v>335</v>
      </c>
      <c r="B336" s="36" t="s">
        <v>708</v>
      </c>
      <c r="C336" s="35" t="s">
        <v>21</v>
      </c>
      <c r="D336" s="36" t="s">
        <v>690</v>
      </c>
      <c r="E336" s="37" t="n">
        <v>1</v>
      </c>
      <c r="F336" s="38" t="s">
        <v>833</v>
      </c>
      <c r="G336" s="38" t="s">
        <v>834</v>
      </c>
      <c r="H336" s="38" t="s">
        <v>686</v>
      </c>
      <c r="I336" s="38" t="s">
        <v>659</v>
      </c>
      <c r="J336" s="38"/>
      <c r="K336" s="35" t="s">
        <v>687</v>
      </c>
    </row>
    <row r="337" customFormat="false" ht="15" hidden="false" customHeight="true" outlineLevel="0" collapsed="false">
      <c r="A337" s="39" t="n">
        <v>336</v>
      </c>
      <c r="B337" s="40" t="s">
        <v>708</v>
      </c>
      <c r="C337" s="39" t="s">
        <v>21</v>
      </c>
      <c r="D337" s="40" t="s">
        <v>692</v>
      </c>
      <c r="E337" s="41" t="n">
        <v>1</v>
      </c>
      <c r="F337" s="42" t="s">
        <v>835</v>
      </c>
      <c r="G337" s="42" t="s">
        <v>836</v>
      </c>
      <c r="H337" s="42" t="s">
        <v>686</v>
      </c>
      <c r="I337" s="42" t="s">
        <v>659</v>
      </c>
      <c r="J337" s="42"/>
      <c r="K337" s="39" t="s">
        <v>687</v>
      </c>
    </row>
    <row r="338" customFormat="false" ht="15" hidden="false" customHeight="true" outlineLevel="0" collapsed="false">
      <c r="A338" s="35" t="n">
        <v>337</v>
      </c>
      <c r="B338" s="36" t="s">
        <v>708</v>
      </c>
      <c r="C338" s="35" t="s">
        <v>21</v>
      </c>
      <c r="D338" s="36" t="s">
        <v>694</v>
      </c>
      <c r="E338" s="37" t="n">
        <v>1</v>
      </c>
      <c r="F338" s="38" t="s">
        <v>837</v>
      </c>
      <c r="G338" s="38" t="s">
        <v>838</v>
      </c>
      <c r="H338" s="38" t="s">
        <v>686</v>
      </c>
      <c r="I338" s="38" t="s">
        <v>659</v>
      </c>
      <c r="J338" s="38"/>
      <c r="K338" s="35" t="s">
        <v>687</v>
      </c>
    </row>
    <row r="339" customFormat="false" ht="15" hidden="false" customHeight="true" outlineLevel="0" collapsed="false">
      <c r="A339" s="39" t="n">
        <v>338</v>
      </c>
      <c r="B339" s="40" t="s">
        <v>683</v>
      </c>
      <c r="C339" s="39" t="s">
        <v>21</v>
      </c>
      <c r="D339" s="40" t="s">
        <v>684</v>
      </c>
      <c r="E339" s="41" t="n">
        <v>1</v>
      </c>
      <c r="F339" s="42" t="s">
        <v>839</v>
      </c>
      <c r="G339" s="42" t="s">
        <v>840</v>
      </c>
      <c r="H339" s="42" t="s">
        <v>686</v>
      </c>
      <c r="I339" s="42" t="s">
        <v>659</v>
      </c>
      <c r="J339" s="42"/>
      <c r="K339" s="39" t="s">
        <v>687</v>
      </c>
    </row>
    <row r="340" customFormat="false" ht="15" hidden="false" customHeight="true" outlineLevel="0" collapsed="false">
      <c r="A340" s="35" t="n">
        <v>339</v>
      </c>
      <c r="B340" s="36" t="s">
        <v>683</v>
      </c>
      <c r="C340" s="35" t="s">
        <v>21</v>
      </c>
      <c r="D340" s="36" t="s">
        <v>688</v>
      </c>
      <c r="E340" s="37" t="n">
        <v>1</v>
      </c>
      <c r="F340" s="38" t="s">
        <v>841</v>
      </c>
      <c r="G340" s="38" t="s">
        <v>842</v>
      </c>
      <c r="H340" s="38" t="s">
        <v>686</v>
      </c>
      <c r="I340" s="38" t="s">
        <v>659</v>
      </c>
      <c r="J340" s="38"/>
      <c r="K340" s="35" t="s">
        <v>687</v>
      </c>
    </row>
    <row r="341" customFormat="false" ht="15" hidden="false" customHeight="true" outlineLevel="0" collapsed="false">
      <c r="A341" s="39" t="n">
        <v>340</v>
      </c>
      <c r="B341" s="40" t="s">
        <v>683</v>
      </c>
      <c r="C341" s="39" t="s">
        <v>21</v>
      </c>
      <c r="D341" s="40" t="s">
        <v>690</v>
      </c>
      <c r="E341" s="41" t="n">
        <v>1</v>
      </c>
      <c r="F341" s="42" t="s">
        <v>843</v>
      </c>
      <c r="G341" s="42" t="s">
        <v>844</v>
      </c>
      <c r="H341" s="42" t="s">
        <v>686</v>
      </c>
      <c r="I341" s="42" t="s">
        <v>659</v>
      </c>
      <c r="J341" s="42"/>
      <c r="K341" s="39" t="s">
        <v>687</v>
      </c>
    </row>
    <row r="342" customFormat="false" ht="15" hidden="false" customHeight="true" outlineLevel="0" collapsed="false">
      <c r="A342" s="35" t="n">
        <v>341</v>
      </c>
      <c r="B342" s="36" t="s">
        <v>683</v>
      </c>
      <c r="C342" s="35" t="s">
        <v>21</v>
      </c>
      <c r="D342" s="36" t="s">
        <v>692</v>
      </c>
      <c r="E342" s="37" t="n">
        <v>1</v>
      </c>
      <c r="F342" s="38" t="s">
        <v>845</v>
      </c>
      <c r="G342" s="38" t="s">
        <v>846</v>
      </c>
      <c r="H342" s="38" t="s">
        <v>686</v>
      </c>
      <c r="I342" s="38" t="s">
        <v>659</v>
      </c>
      <c r="J342" s="38"/>
      <c r="K342" s="35" t="s">
        <v>687</v>
      </c>
    </row>
    <row r="343" customFormat="false" ht="15" hidden="false" customHeight="true" outlineLevel="0" collapsed="false">
      <c r="A343" s="39" t="n">
        <v>342</v>
      </c>
      <c r="B343" s="40" t="s">
        <v>683</v>
      </c>
      <c r="C343" s="39" t="s">
        <v>21</v>
      </c>
      <c r="D343" s="40" t="s">
        <v>694</v>
      </c>
      <c r="E343" s="41" t="n">
        <v>1</v>
      </c>
      <c r="F343" s="42" t="s">
        <v>847</v>
      </c>
      <c r="G343" s="42" t="s">
        <v>848</v>
      </c>
      <c r="H343" s="42" t="s">
        <v>686</v>
      </c>
      <c r="I343" s="42" t="s">
        <v>659</v>
      </c>
      <c r="J343" s="42"/>
      <c r="K343" s="39" t="s">
        <v>687</v>
      </c>
    </row>
    <row r="344" customFormat="false" ht="15" hidden="false" customHeight="true" outlineLevel="0" collapsed="false">
      <c r="A344" s="35" t="n">
        <v>343</v>
      </c>
      <c r="B344" s="36" t="s">
        <v>683</v>
      </c>
      <c r="C344" s="35" t="s">
        <v>21</v>
      </c>
      <c r="D344" s="36" t="s">
        <v>684</v>
      </c>
      <c r="E344" s="37" t="n">
        <v>1</v>
      </c>
      <c r="F344" s="38" t="s">
        <v>849</v>
      </c>
      <c r="G344" s="38" t="s">
        <v>850</v>
      </c>
      <c r="H344" s="38" t="s">
        <v>686</v>
      </c>
      <c r="I344" s="38" t="s">
        <v>659</v>
      </c>
      <c r="J344" s="38"/>
      <c r="K344" s="35" t="s">
        <v>687</v>
      </c>
    </row>
    <row r="345" customFormat="false" ht="15" hidden="false" customHeight="true" outlineLevel="0" collapsed="false">
      <c r="A345" s="39" t="n">
        <v>344</v>
      </c>
      <c r="B345" s="40" t="s">
        <v>683</v>
      </c>
      <c r="C345" s="39" t="s">
        <v>21</v>
      </c>
      <c r="D345" s="40" t="s">
        <v>688</v>
      </c>
      <c r="E345" s="41" t="n">
        <v>1</v>
      </c>
      <c r="F345" s="42" t="s">
        <v>851</v>
      </c>
      <c r="G345" s="42" t="s">
        <v>852</v>
      </c>
      <c r="H345" s="42" t="s">
        <v>686</v>
      </c>
      <c r="I345" s="42" t="s">
        <v>659</v>
      </c>
      <c r="J345" s="42"/>
      <c r="K345" s="39" t="s">
        <v>687</v>
      </c>
    </row>
    <row r="346" customFormat="false" ht="15" hidden="false" customHeight="true" outlineLevel="0" collapsed="false">
      <c r="A346" s="35" t="n">
        <v>345</v>
      </c>
      <c r="B346" s="36" t="s">
        <v>683</v>
      </c>
      <c r="C346" s="35" t="s">
        <v>21</v>
      </c>
      <c r="D346" s="36" t="s">
        <v>690</v>
      </c>
      <c r="E346" s="37" t="n">
        <v>1</v>
      </c>
      <c r="F346" s="38" t="s">
        <v>853</v>
      </c>
      <c r="G346" s="38" t="s">
        <v>854</v>
      </c>
      <c r="H346" s="38" t="s">
        <v>686</v>
      </c>
      <c r="I346" s="38" t="s">
        <v>659</v>
      </c>
      <c r="J346" s="38"/>
      <c r="K346" s="35" t="s">
        <v>687</v>
      </c>
    </row>
    <row r="347" customFormat="false" ht="15" hidden="false" customHeight="true" outlineLevel="0" collapsed="false">
      <c r="A347" s="39" t="n">
        <v>346</v>
      </c>
      <c r="B347" s="40" t="s">
        <v>683</v>
      </c>
      <c r="C347" s="39" t="s">
        <v>21</v>
      </c>
      <c r="D347" s="40" t="s">
        <v>692</v>
      </c>
      <c r="E347" s="41" t="n">
        <v>1</v>
      </c>
      <c r="F347" s="42" t="s">
        <v>855</v>
      </c>
      <c r="G347" s="42" t="s">
        <v>856</v>
      </c>
      <c r="H347" s="42" t="s">
        <v>686</v>
      </c>
      <c r="I347" s="42" t="s">
        <v>659</v>
      </c>
      <c r="J347" s="42"/>
      <c r="K347" s="39" t="s">
        <v>687</v>
      </c>
    </row>
    <row r="348" customFormat="false" ht="15" hidden="false" customHeight="true" outlineLevel="0" collapsed="false">
      <c r="A348" s="35" t="n">
        <v>347</v>
      </c>
      <c r="B348" s="36" t="s">
        <v>683</v>
      </c>
      <c r="C348" s="35" t="s">
        <v>21</v>
      </c>
      <c r="D348" s="36" t="s">
        <v>694</v>
      </c>
      <c r="E348" s="37" t="n">
        <v>1</v>
      </c>
      <c r="F348" s="38" t="s">
        <v>857</v>
      </c>
      <c r="G348" s="38" t="s">
        <v>858</v>
      </c>
      <c r="H348" s="38" t="s">
        <v>686</v>
      </c>
      <c r="I348" s="38" t="s">
        <v>659</v>
      </c>
      <c r="J348" s="38"/>
      <c r="K348" s="35" t="s">
        <v>687</v>
      </c>
    </row>
    <row r="349" customFormat="false" ht="15" hidden="false" customHeight="true" outlineLevel="0" collapsed="false">
      <c r="A349" s="39" t="n">
        <v>348</v>
      </c>
      <c r="B349" s="40" t="s">
        <v>697</v>
      </c>
      <c r="C349" s="39" t="s">
        <v>21</v>
      </c>
      <c r="D349" s="40" t="s">
        <v>684</v>
      </c>
      <c r="E349" s="41" t="n">
        <v>1</v>
      </c>
      <c r="F349" s="42" t="s">
        <v>859</v>
      </c>
      <c r="G349" s="42" t="s">
        <v>860</v>
      </c>
      <c r="H349" s="42" t="s">
        <v>686</v>
      </c>
      <c r="I349" s="42" t="s">
        <v>659</v>
      </c>
      <c r="J349" s="42"/>
      <c r="K349" s="39" t="s">
        <v>687</v>
      </c>
    </row>
    <row r="350" customFormat="false" ht="15" hidden="false" customHeight="true" outlineLevel="0" collapsed="false">
      <c r="A350" s="35" t="n">
        <v>349</v>
      </c>
      <c r="B350" s="36" t="s">
        <v>697</v>
      </c>
      <c r="C350" s="35" t="s">
        <v>21</v>
      </c>
      <c r="D350" s="36" t="s">
        <v>688</v>
      </c>
      <c r="E350" s="37" t="n">
        <v>1</v>
      </c>
      <c r="F350" s="38" t="s">
        <v>861</v>
      </c>
      <c r="G350" s="38" t="s">
        <v>862</v>
      </c>
      <c r="H350" s="38" t="s">
        <v>686</v>
      </c>
      <c r="I350" s="38" t="s">
        <v>659</v>
      </c>
      <c r="J350" s="38"/>
      <c r="K350" s="35" t="s">
        <v>687</v>
      </c>
    </row>
    <row r="351" customFormat="false" ht="15" hidden="false" customHeight="true" outlineLevel="0" collapsed="false">
      <c r="A351" s="39" t="n">
        <v>350</v>
      </c>
      <c r="B351" s="40" t="s">
        <v>697</v>
      </c>
      <c r="C351" s="39" t="s">
        <v>21</v>
      </c>
      <c r="D351" s="40" t="s">
        <v>690</v>
      </c>
      <c r="E351" s="41" t="n">
        <v>1</v>
      </c>
      <c r="F351" s="42" t="s">
        <v>863</v>
      </c>
      <c r="G351" s="42" t="s">
        <v>864</v>
      </c>
      <c r="H351" s="42" t="s">
        <v>686</v>
      </c>
      <c r="I351" s="42" t="s">
        <v>659</v>
      </c>
      <c r="J351" s="42"/>
      <c r="K351" s="39" t="s">
        <v>687</v>
      </c>
    </row>
    <row r="352" customFormat="false" ht="15" hidden="false" customHeight="true" outlineLevel="0" collapsed="false">
      <c r="A352" s="35" t="n">
        <v>351</v>
      </c>
      <c r="B352" s="36" t="s">
        <v>697</v>
      </c>
      <c r="C352" s="35" t="s">
        <v>21</v>
      </c>
      <c r="D352" s="36" t="s">
        <v>692</v>
      </c>
      <c r="E352" s="37" t="n">
        <v>1</v>
      </c>
      <c r="F352" s="38" t="s">
        <v>865</v>
      </c>
      <c r="G352" s="38" t="s">
        <v>866</v>
      </c>
      <c r="H352" s="38" t="s">
        <v>686</v>
      </c>
      <c r="I352" s="38" t="s">
        <v>659</v>
      </c>
      <c r="J352" s="38"/>
      <c r="K352" s="35" t="s">
        <v>687</v>
      </c>
    </row>
    <row r="353" customFormat="false" ht="15" hidden="false" customHeight="true" outlineLevel="0" collapsed="false">
      <c r="A353" s="39" t="n">
        <v>352</v>
      </c>
      <c r="B353" s="40" t="s">
        <v>697</v>
      </c>
      <c r="C353" s="39" t="s">
        <v>21</v>
      </c>
      <c r="D353" s="40" t="s">
        <v>694</v>
      </c>
      <c r="E353" s="41" t="n">
        <v>1</v>
      </c>
      <c r="F353" s="42" t="s">
        <v>867</v>
      </c>
      <c r="G353" s="42" t="s">
        <v>868</v>
      </c>
      <c r="H353" s="42" t="s">
        <v>686</v>
      </c>
      <c r="I353" s="42" t="s">
        <v>659</v>
      </c>
      <c r="J353" s="42"/>
      <c r="K353" s="39" t="s">
        <v>687</v>
      </c>
    </row>
    <row r="354" customFormat="false" ht="15" hidden="false" customHeight="true" outlineLevel="0" collapsed="false">
      <c r="A354" s="35" t="n">
        <v>353</v>
      </c>
      <c r="B354" s="36" t="s">
        <v>708</v>
      </c>
      <c r="C354" s="35" t="s">
        <v>21</v>
      </c>
      <c r="D354" s="36" t="s">
        <v>684</v>
      </c>
      <c r="E354" s="37" t="n">
        <v>1</v>
      </c>
      <c r="F354" s="38" t="s">
        <v>869</v>
      </c>
      <c r="G354" s="38" t="s">
        <v>870</v>
      </c>
      <c r="H354" s="38" t="s">
        <v>686</v>
      </c>
      <c r="I354" s="38" t="s">
        <v>659</v>
      </c>
      <c r="J354" s="38"/>
      <c r="K354" s="35" t="s">
        <v>687</v>
      </c>
    </row>
    <row r="355" customFormat="false" ht="15" hidden="false" customHeight="true" outlineLevel="0" collapsed="false">
      <c r="A355" s="39" t="n">
        <v>354</v>
      </c>
      <c r="B355" s="40" t="s">
        <v>708</v>
      </c>
      <c r="C355" s="39" t="s">
        <v>21</v>
      </c>
      <c r="D355" s="40" t="s">
        <v>688</v>
      </c>
      <c r="E355" s="41" t="n">
        <v>1</v>
      </c>
      <c r="F355" s="42" t="s">
        <v>871</v>
      </c>
      <c r="G355" s="42" t="s">
        <v>872</v>
      </c>
      <c r="H355" s="42" t="s">
        <v>686</v>
      </c>
      <c r="I355" s="42" t="s">
        <v>659</v>
      </c>
      <c r="J355" s="42"/>
      <c r="K355" s="39" t="s">
        <v>687</v>
      </c>
    </row>
    <row r="356" customFormat="false" ht="15" hidden="false" customHeight="true" outlineLevel="0" collapsed="false">
      <c r="A356" s="35" t="n">
        <v>355</v>
      </c>
      <c r="B356" s="36" t="s">
        <v>708</v>
      </c>
      <c r="C356" s="35" t="s">
        <v>21</v>
      </c>
      <c r="D356" s="36" t="s">
        <v>690</v>
      </c>
      <c r="E356" s="37" t="n">
        <v>1</v>
      </c>
      <c r="F356" s="38" t="s">
        <v>873</v>
      </c>
      <c r="G356" s="38" t="s">
        <v>874</v>
      </c>
      <c r="H356" s="38" t="s">
        <v>686</v>
      </c>
      <c r="I356" s="38" t="s">
        <v>659</v>
      </c>
      <c r="J356" s="38"/>
      <c r="K356" s="35" t="s">
        <v>687</v>
      </c>
    </row>
    <row r="357" customFormat="false" ht="15" hidden="false" customHeight="true" outlineLevel="0" collapsed="false">
      <c r="A357" s="39" t="n">
        <v>356</v>
      </c>
      <c r="B357" s="40" t="s">
        <v>708</v>
      </c>
      <c r="C357" s="39" t="s">
        <v>21</v>
      </c>
      <c r="D357" s="40" t="s">
        <v>692</v>
      </c>
      <c r="E357" s="41" t="n">
        <v>1</v>
      </c>
      <c r="F357" s="42" t="s">
        <v>875</v>
      </c>
      <c r="G357" s="42" t="s">
        <v>876</v>
      </c>
      <c r="H357" s="42" t="s">
        <v>686</v>
      </c>
      <c r="I357" s="42" t="s">
        <v>659</v>
      </c>
      <c r="J357" s="42"/>
      <c r="K357" s="39" t="s">
        <v>687</v>
      </c>
    </row>
    <row r="358" customFormat="false" ht="15" hidden="false" customHeight="true" outlineLevel="0" collapsed="false">
      <c r="A358" s="35" t="n">
        <v>357</v>
      </c>
      <c r="B358" s="36" t="s">
        <v>708</v>
      </c>
      <c r="C358" s="35" t="s">
        <v>21</v>
      </c>
      <c r="D358" s="36" t="s">
        <v>694</v>
      </c>
      <c r="E358" s="37" t="n">
        <v>1</v>
      </c>
      <c r="F358" s="38" t="s">
        <v>877</v>
      </c>
      <c r="G358" s="38" t="s">
        <v>878</v>
      </c>
      <c r="H358" s="38" t="s">
        <v>686</v>
      </c>
      <c r="I358" s="38" t="s">
        <v>659</v>
      </c>
      <c r="J358" s="38"/>
      <c r="K358" s="35" t="s">
        <v>687</v>
      </c>
    </row>
    <row r="359" customFormat="false" ht="21.75" hidden="false" customHeight="true" outlineLevel="0" collapsed="false">
      <c r="A359" s="39" t="n">
        <v>358</v>
      </c>
      <c r="B359" s="40" t="s">
        <v>879</v>
      </c>
      <c r="C359" s="39" t="s">
        <v>24</v>
      </c>
      <c r="D359" s="40" t="s">
        <v>880</v>
      </c>
      <c r="E359" s="41" t="n">
        <v>5</v>
      </c>
      <c r="F359" s="42" t="s">
        <v>881</v>
      </c>
      <c r="G359" s="42" t="s">
        <v>882</v>
      </c>
      <c r="H359" s="42" t="s">
        <v>883</v>
      </c>
      <c r="I359" s="42" t="s">
        <v>884</v>
      </c>
      <c r="J359" s="42"/>
      <c r="K359" s="39" t="s">
        <v>44</v>
      </c>
    </row>
    <row r="360" customFormat="false" ht="21.75" hidden="false" customHeight="true" outlineLevel="0" collapsed="false">
      <c r="A360" s="35" t="n">
        <v>359</v>
      </c>
      <c r="B360" s="36" t="s">
        <v>879</v>
      </c>
      <c r="C360" s="35" t="s">
        <v>24</v>
      </c>
      <c r="D360" s="36" t="s">
        <v>880</v>
      </c>
      <c r="E360" s="37" t="n">
        <v>5</v>
      </c>
      <c r="F360" s="38" t="s">
        <v>885</v>
      </c>
      <c r="G360" s="38" t="s">
        <v>886</v>
      </c>
      <c r="H360" s="38" t="s">
        <v>883</v>
      </c>
      <c r="I360" s="38" t="s">
        <v>884</v>
      </c>
      <c r="J360" s="38"/>
      <c r="K360" s="35" t="s">
        <v>44</v>
      </c>
    </row>
    <row r="361" customFormat="false" ht="21.75" hidden="false" customHeight="true" outlineLevel="0" collapsed="false">
      <c r="A361" s="39" t="n">
        <v>360</v>
      </c>
      <c r="B361" s="40" t="s">
        <v>879</v>
      </c>
      <c r="C361" s="39" t="s">
        <v>24</v>
      </c>
      <c r="D361" s="40" t="s">
        <v>880</v>
      </c>
      <c r="E361" s="41" t="n">
        <v>5</v>
      </c>
      <c r="F361" s="42" t="s">
        <v>887</v>
      </c>
      <c r="G361" s="42" t="s">
        <v>888</v>
      </c>
      <c r="H361" s="42" t="s">
        <v>883</v>
      </c>
      <c r="I361" s="42" t="s">
        <v>884</v>
      </c>
      <c r="J361" s="42"/>
      <c r="K361" s="39" t="s">
        <v>44</v>
      </c>
    </row>
    <row r="362" customFormat="false" ht="21.75" hidden="false" customHeight="true" outlineLevel="0" collapsed="false">
      <c r="A362" s="35" t="n">
        <v>361</v>
      </c>
      <c r="B362" s="36" t="s">
        <v>879</v>
      </c>
      <c r="C362" s="35" t="s">
        <v>24</v>
      </c>
      <c r="D362" s="36" t="s">
        <v>880</v>
      </c>
      <c r="E362" s="37" t="n">
        <v>5</v>
      </c>
      <c r="F362" s="38" t="s">
        <v>889</v>
      </c>
      <c r="G362" s="38" t="s">
        <v>890</v>
      </c>
      <c r="H362" s="38" t="s">
        <v>883</v>
      </c>
      <c r="I362" s="38" t="s">
        <v>884</v>
      </c>
      <c r="J362" s="38"/>
      <c r="K362" s="35" t="s">
        <v>44</v>
      </c>
    </row>
    <row r="363" customFormat="false" ht="21.75" hidden="false" customHeight="true" outlineLevel="0" collapsed="false">
      <c r="A363" s="39" t="n">
        <v>362</v>
      </c>
      <c r="B363" s="40" t="s">
        <v>879</v>
      </c>
      <c r="C363" s="39" t="s">
        <v>24</v>
      </c>
      <c r="D363" s="40" t="s">
        <v>880</v>
      </c>
      <c r="E363" s="41" t="n">
        <v>5</v>
      </c>
      <c r="F363" s="42" t="s">
        <v>891</v>
      </c>
      <c r="G363" s="42" t="s">
        <v>892</v>
      </c>
      <c r="H363" s="42" t="s">
        <v>883</v>
      </c>
      <c r="I363" s="42" t="s">
        <v>884</v>
      </c>
      <c r="J363" s="42"/>
      <c r="K363" s="39" t="s">
        <v>44</v>
      </c>
    </row>
    <row r="364" customFormat="false" ht="21.75" hidden="false" customHeight="true" outlineLevel="0" collapsed="false">
      <c r="A364" s="35" t="n">
        <v>363</v>
      </c>
      <c r="B364" s="36" t="s">
        <v>879</v>
      </c>
      <c r="C364" s="35" t="s">
        <v>24</v>
      </c>
      <c r="D364" s="36" t="s">
        <v>880</v>
      </c>
      <c r="E364" s="37" t="n">
        <v>5</v>
      </c>
      <c r="F364" s="38" t="s">
        <v>893</v>
      </c>
      <c r="G364" s="38" t="s">
        <v>894</v>
      </c>
      <c r="H364" s="38" t="s">
        <v>883</v>
      </c>
      <c r="I364" s="38" t="s">
        <v>884</v>
      </c>
      <c r="J364" s="38"/>
      <c r="K364" s="35" t="s">
        <v>44</v>
      </c>
    </row>
    <row r="365" customFormat="false" ht="21.75" hidden="false" customHeight="true" outlineLevel="0" collapsed="false">
      <c r="A365" s="39" t="n">
        <v>364</v>
      </c>
      <c r="B365" s="40" t="s">
        <v>895</v>
      </c>
      <c r="C365" s="39" t="s">
        <v>24</v>
      </c>
      <c r="D365" s="40" t="s">
        <v>880</v>
      </c>
      <c r="E365" s="41" t="n">
        <v>5</v>
      </c>
      <c r="F365" s="42" t="s">
        <v>896</v>
      </c>
      <c r="G365" s="42" t="s">
        <v>897</v>
      </c>
      <c r="H365" s="42" t="s">
        <v>883</v>
      </c>
      <c r="I365" s="42" t="s">
        <v>884</v>
      </c>
      <c r="J365" s="42"/>
      <c r="K365" s="39" t="s">
        <v>44</v>
      </c>
    </row>
    <row r="366" customFormat="false" ht="21.75" hidden="false" customHeight="true" outlineLevel="0" collapsed="false">
      <c r="A366" s="35" t="n">
        <v>365</v>
      </c>
      <c r="B366" s="36" t="s">
        <v>895</v>
      </c>
      <c r="C366" s="35" t="s">
        <v>24</v>
      </c>
      <c r="D366" s="36" t="s">
        <v>880</v>
      </c>
      <c r="E366" s="37" t="n">
        <v>5</v>
      </c>
      <c r="F366" s="38" t="s">
        <v>898</v>
      </c>
      <c r="G366" s="38" t="s">
        <v>899</v>
      </c>
      <c r="H366" s="38" t="s">
        <v>883</v>
      </c>
      <c r="I366" s="38" t="s">
        <v>884</v>
      </c>
      <c r="J366" s="38"/>
      <c r="K366" s="35" t="s">
        <v>44</v>
      </c>
    </row>
    <row r="367" customFormat="false" ht="21.75" hidden="false" customHeight="true" outlineLevel="0" collapsed="false">
      <c r="A367" s="39" t="n">
        <v>366</v>
      </c>
      <c r="B367" s="40" t="s">
        <v>895</v>
      </c>
      <c r="C367" s="39" t="s">
        <v>24</v>
      </c>
      <c r="D367" s="40" t="s">
        <v>880</v>
      </c>
      <c r="E367" s="41" t="n">
        <v>5</v>
      </c>
      <c r="F367" s="42" t="s">
        <v>900</v>
      </c>
      <c r="G367" s="42" t="s">
        <v>901</v>
      </c>
      <c r="H367" s="42" t="s">
        <v>883</v>
      </c>
      <c r="I367" s="42" t="s">
        <v>884</v>
      </c>
      <c r="J367" s="42"/>
      <c r="K367" s="39" t="s">
        <v>44</v>
      </c>
    </row>
    <row r="368" customFormat="false" ht="21.75" hidden="false" customHeight="true" outlineLevel="0" collapsed="false">
      <c r="A368" s="35" t="n">
        <v>367</v>
      </c>
      <c r="B368" s="36" t="s">
        <v>895</v>
      </c>
      <c r="C368" s="35" t="s">
        <v>24</v>
      </c>
      <c r="D368" s="36" t="s">
        <v>880</v>
      </c>
      <c r="E368" s="37" t="n">
        <v>5</v>
      </c>
      <c r="F368" s="38" t="s">
        <v>902</v>
      </c>
      <c r="G368" s="38" t="s">
        <v>903</v>
      </c>
      <c r="H368" s="38" t="s">
        <v>883</v>
      </c>
      <c r="I368" s="38" t="s">
        <v>884</v>
      </c>
      <c r="J368" s="38"/>
      <c r="K368" s="35" t="s">
        <v>44</v>
      </c>
    </row>
    <row r="369" customFormat="false" ht="21.75" hidden="false" customHeight="true" outlineLevel="0" collapsed="false">
      <c r="A369" s="39" t="n">
        <v>368</v>
      </c>
      <c r="B369" s="40" t="s">
        <v>904</v>
      </c>
      <c r="C369" s="39" t="s">
        <v>24</v>
      </c>
      <c r="D369" s="40" t="s">
        <v>880</v>
      </c>
      <c r="E369" s="41" t="n">
        <v>5</v>
      </c>
      <c r="F369" s="42" t="s">
        <v>905</v>
      </c>
      <c r="G369" s="42" t="s">
        <v>906</v>
      </c>
      <c r="H369" s="42" t="s">
        <v>907</v>
      </c>
      <c r="I369" s="42" t="s">
        <v>884</v>
      </c>
      <c r="J369" s="42"/>
      <c r="K369" s="39" t="s">
        <v>44</v>
      </c>
    </row>
    <row r="370" customFormat="false" ht="21.75" hidden="false" customHeight="true" outlineLevel="0" collapsed="false">
      <c r="A370" s="35" t="n">
        <v>369</v>
      </c>
      <c r="B370" s="36" t="s">
        <v>904</v>
      </c>
      <c r="C370" s="35" t="s">
        <v>24</v>
      </c>
      <c r="D370" s="36" t="s">
        <v>880</v>
      </c>
      <c r="E370" s="37" t="n">
        <v>5</v>
      </c>
      <c r="F370" s="38" t="s">
        <v>908</v>
      </c>
      <c r="G370" s="38" t="s">
        <v>909</v>
      </c>
      <c r="H370" s="38" t="s">
        <v>907</v>
      </c>
      <c r="I370" s="38" t="s">
        <v>884</v>
      </c>
      <c r="J370" s="38"/>
      <c r="K370" s="35" t="s">
        <v>44</v>
      </c>
    </row>
    <row r="371" customFormat="false" ht="21.75" hidden="false" customHeight="true" outlineLevel="0" collapsed="false">
      <c r="A371" s="39" t="n">
        <v>370</v>
      </c>
      <c r="B371" s="40" t="s">
        <v>904</v>
      </c>
      <c r="C371" s="39" t="s">
        <v>24</v>
      </c>
      <c r="D371" s="40" t="s">
        <v>880</v>
      </c>
      <c r="E371" s="41" t="n">
        <v>5</v>
      </c>
      <c r="F371" s="42" t="s">
        <v>910</v>
      </c>
      <c r="G371" s="42" t="s">
        <v>911</v>
      </c>
      <c r="H371" s="42" t="s">
        <v>907</v>
      </c>
      <c r="I371" s="42" t="s">
        <v>884</v>
      </c>
      <c r="J371" s="42"/>
      <c r="K371" s="39" t="s">
        <v>44</v>
      </c>
    </row>
    <row r="372" customFormat="false" ht="21.75" hidden="false" customHeight="true" outlineLevel="0" collapsed="false">
      <c r="A372" s="35" t="n">
        <v>371</v>
      </c>
      <c r="B372" s="36" t="s">
        <v>904</v>
      </c>
      <c r="C372" s="35" t="s">
        <v>24</v>
      </c>
      <c r="D372" s="36" t="s">
        <v>880</v>
      </c>
      <c r="E372" s="37" t="n">
        <v>5</v>
      </c>
      <c r="F372" s="38" t="s">
        <v>912</v>
      </c>
      <c r="G372" s="38" t="s">
        <v>913</v>
      </c>
      <c r="H372" s="38" t="s">
        <v>907</v>
      </c>
      <c r="I372" s="38" t="s">
        <v>884</v>
      </c>
      <c r="J372" s="38"/>
      <c r="K372" s="35" t="s">
        <v>44</v>
      </c>
    </row>
    <row r="373" customFormat="false" ht="21.75" hidden="false" customHeight="true" outlineLevel="0" collapsed="false">
      <c r="A373" s="39" t="n">
        <v>372</v>
      </c>
      <c r="B373" s="40" t="s">
        <v>904</v>
      </c>
      <c r="C373" s="39" t="s">
        <v>24</v>
      </c>
      <c r="D373" s="40" t="s">
        <v>880</v>
      </c>
      <c r="E373" s="41" t="n">
        <v>5</v>
      </c>
      <c r="F373" s="42" t="s">
        <v>914</v>
      </c>
      <c r="G373" s="42" t="s">
        <v>915</v>
      </c>
      <c r="H373" s="42" t="s">
        <v>907</v>
      </c>
      <c r="I373" s="42" t="s">
        <v>884</v>
      </c>
      <c r="J373" s="42"/>
      <c r="K373" s="39" t="s">
        <v>44</v>
      </c>
    </row>
    <row r="374" customFormat="false" ht="21.75" hidden="false" customHeight="true" outlineLevel="0" collapsed="false">
      <c r="A374" s="35" t="n">
        <v>373</v>
      </c>
      <c r="B374" s="36" t="s">
        <v>904</v>
      </c>
      <c r="C374" s="35" t="s">
        <v>24</v>
      </c>
      <c r="D374" s="36" t="s">
        <v>880</v>
      </c>
      <c r="E374" s="37" t="n">
        <v>5</v>
      </c>
      <c r="F374" s="38" t="s">
        <v>916</v>
      </c>
      <c r="G374" s="38" t="s">
        <v>917</v>
      </c>
      <c r="H374" s="38" t="s">
        <v>907</v>
      </c>
      <c r="I374" s="38" t="s">
        <v>884</v>
      </c>
      <c r="J374" s="38"/>
      <c r="K374" s="35" t="s">
        <v>44</v>
      </c>
    </row>
    <row r="375" customFormat="false" ht="21.75" hidden="false" customHeight="true" outlineLevel="0" collapsed="false">
      <c r="A375" s="39" t="n">
        <v>374</v>
      </c>
      <c r="B375" s="40" t="s">
        <v>904</v>
      </c>
      <c r="C375" s="39" t="s">
        <v>24</v>
      </c>
      <c r="D375" s="40" t="s">
        <v>880</v>
      </c>
      <c r="E375" s="41" t="n">
        <v>5</v>
      </c>
      <c r="F375" s="42" t="s">
        <v>918</v>
      </c>
      <c r="G375" s="42" t="s">
        <v>919</v>
      </c>
      <c r="H375" s="42" t="s">
        <v>907</v>
      </c>
      <c r="I375" s="42" t="s">
        <v>884</v>
      </c>
      <c r="J375" s="42"/>
      <c r="K375" s="39" t="s">
        <v>44</v>
      </c>
    </row>
    <row r="376" customFormat="false" ht="21.75" hidden="false" customHeight="true" outlineLevel="0" collapsed="false">
      <c r="A376" s="35" t="n">
        <v>375</v>
      </c>
      <c r="B376" s="36" t="s">
        <v>904</v>
      </c>
      <c r="C376" s="35" t="s">
        <v>24</v>
      </c>
      <c r="D376" s="36" t="s">
        <v>880</v>
      </c>
      <c r="E376" s="37" t="n">
        <v>5</v>
      </c>
      <c r="F376" s="38" t="s">
        <v>920</v>
      </c>
      <c r="G376" s="38" t="s">
        <v>921</v>
      </c>
      <c r="H376" s="38" t="s">
        <v>907</v>
      </c>
      <c r="I376" s="38" t="s">
        <v>884</v>
      </c>
      <c r="J376" s="38"/>
      <c r="K376" s="35" t="s">
        <v>44</v>
      </c>
    </row>
    <row r="377" customFormat="false" ht="21.75" hidden="false" customHeight="true" outlineLevel="0" collapsed="false">
      <c r="A377" s="39" t="n">
        <v>376</v>
      </c>
      <c r="B377" s="40" t="s">
        <v>904</v>
      </c>
      <c r="C377" s="39" t="s">
        <v>24</v>
      </c>
      <c r="D377" s="40" t="s">
        <v>880</v>
      </c>
      <c r="E377" s="41" t="n">
        <v>5</v>
      </c>
      <c r="F377" s="42" t="s">
        <v>922</v>
      </c>
      <c r="G377" s="42" t="s">
        <v>923</v>
      </c>
      <c r="H377" s="42" t="s">
        <v>907</v>
      </c>
      <c r="I377" s="42" t="s">
        <v>884</v>
      </c>
      <c r="J377" s="42"/>
      <c r="K377" s="39" t="s">
        <v>44</v>
      </c>
    </row>
    <row r="378" customFormat="false" ht="21.75" hidden="false" customHeight="true" outlineLevel="0" collapsed="false">
      <c r="A378" s="35" t="n">
        <v>377</v>
      </c>
      <c r="B378" s="36" t="s">
        <v>904</v>
      </c>
      <c r="C378" s="35" t="s">
        <v>24</v>
      </c>
      <c r="D378" s="36" t="s">
        <v>880</v>
      </c>
      <c r="E378" s="37" t="n">
        <v>5</v>
      </c>
      <c r="F378" s="38" t="s">
        <v>924</v>
      </c>
      <c r="G378" s="38" t="s">
        <v>925</v>
      </c>
      <c r="H378" s="38" t="s">
        <v>907</v>
      </c>
      <c r="I378" s="38" t="s">
        <v>884</v>
      </c>
      <c r="J378" s="38"/>
      <c r="K378" s="35" t="s">
        <v>44</v>
      </c>
    </row>
    <row r="379" customFormat="false" ht="21.75" hidden="false" customHeight="true" outlineLevel="0" collapsed="false">
      <c r="A379" s="39" t="n">
        <v>378</v>
      </c>
      <c r="B379" s="40" t="s">
        <v>926</v>
      </c>
      <c r="C379" s="39" t="s">
        <v>24</v>
      </c>
      <c r="D379" s="40" t="s">
        <v>880</v>
      </c>
      <c r="E379" s="41" t="n">
        <v>5</v>
      </c>
      <c r="F379" s="42" t="s">
        <v>927</v>
      </c>
      <c r="G379" s="42" t="s">
        <v>928</v>
      </c>
      <c r="H379" s="42" t="s">
        <v>929</v>
      </c>
      <c r="I379" s="42" t="s">
        <v>930</v>
      </c>
      <c r="J379" s="42"/>
      <c r="K379" s="39" t="s">
        <v>44</v>
      </c>
    </row>
    <row r="380" customFormat="false" ht="21.75" hidden="false" customHeight="true" outlineLevel="0" collapsed="false">
      <c r="A380" s="35" t="n">
        <v>379</v>
      </c>
      <c r="B380" s="36" t="s">
        <v>931</v>
      </c>
      <c r="C380" s="35" t="s">
        <v>24</v>
      </c>
      <c r="D380" s="36" t="s">
        <v>880</v>
      </c>
      <c r="E380" s="37" t="n">
        <v>5</v>
      </c>
      <c r="F380" s="38" t="s">
        <v>932</v>
      </c>
      <c r="G380" s="38" t="s">
        <v>933</v>
      </c>
      <c r="H380" s="38" t="s">
        <v>929</v>
      </c>
      <c r="I380" s="38" t="s">
        <v>930</v>
      </c>
      <c r="J380" s="38"/>
      <c r="K380" s="35" t="s">
        <v>44</v>
      </c>
    </row>
    <row r="381" customFormat="false" ht="21.75" hidden="false" customHeight="true" outlineLevel="0" collapsed="false">
      <c r="A381" s="39" t="n">
        <v>380</v>
      </c>
      <c r="B381" s="40" t="s">
        <v>934</v>
      </c>
      <c r="C381" s="39" t="s">
        <v>24</v>
      </c>
      <c r="D381" s="40" t="s">
        <v>880</v>
      </c>
      <c r="E381" s="41" t="n">
        <v>5</v>
      </c>
      <c r="F381" s="42" t="s">
        <v>935</v>
      </c>
      <c r="G381" s="42" t="s">
        <v>936</v>
      </c>
      <c r="H381" s="42" t="s">
        <v>929</v>
      </c>
      <c r="I381" s="42" t="s">
        <v>930</v>
      </c>
      <c r="J381" s="42"/>
      <c r="K381" s="39" t="s">
        <v>44</v>
      </c>
    </row>
    <row r="382" customFormat="false" ht="21.75" hidden="false" customHeight="true" outlineLevel="0" collapsed="false">
      <c r="A382" s="35" t="n">
        <v>381</v>
      </c>
      <c r="B382" s="36" t="s">
        <v>937</v>
      </c>
      <c r="C382" s="35" t="s">
        <v>24</v>
      </c>
      <c r="D382" s="36" t="s">
        <v>880</v>
      </c>
      <c r="E382" s="37" t="n">
        <v>5</v>
      </c>
      <c r="F382" s="38" t="s">
        <v>938</v>
      </c>
      <c r="G382" s="38" t="s">
        <v>939</v>
      </c>
      <c r="H382" s="38" t="s">
        <v>929</v>
      </c>
      <c r="I382" s="38" t="s">
        <v>930</v>
      </c>
      <c r="J382" s="38"/>
      <c r="K382" s="35" t="s">
        <v>44</v>
      </c>
    </row>
    <row r="383" customFormat="false" ht="21.75" hidden="false" customHeight="true" outlineLevel="0" collapsed="false">
      <c r="A383" s="39" t="n">
        <v>382</v>
      </c>
      <c r="B383" s="40" t="s">
        <v>937</v>
      </c>
      <c r="C383" s="39" t="s">
        <v>24</v>
      </c>
      <c r="D383" s="40" t="s">
        <v>880</v>
      </c>
      <c r="E383" s="41" t="n">
        <v>5</v>
      </c>
      <c r="F383" s="42" t="s">
        <v>940</v>
      </c>
      <c r="G383" s="42" t="s">
        <v>941</v>
      </c>
      <c r="H383" s="42" t="s">
        <v>929</v>
      </c>
      <c r="I383" s="42" t="s">
        <v>930</v>
      </c>
      <c r="J383" s="42"/>
      <c r="K383" s="39" t="s">
        <v>44</v>
      </c>
    </row>
    <row r="384" customFormat="false" ht="21.75" hidden="false" customHeight="true" outlineLevel="0" collapsed="false">
      <c r="A384" s="35" t="n">
        <v>383</v>
      </c>
      <c r="B384" s="36" t="s">
        <v>937</v>
      </c>
      <c r="C384" s="35" t="s">
        <v>24</v>
      </c>
      <c r="D384" s="36" t="s">
        <v>880</v>
      </c>
      <c r="E384" s="37" t="n">
        <v>5</v>
      </c>
      <c r="F384" s="38" t="s">
        <v>942</v>
      </c>
      <c r="G384" s="38" t="s">
        <v>943</v>
      </c>
      <c r="H384" s="38" t="s">
        <v>929</v>
      </c>
      <c r="I384" s="38" t="s">
        <v>930</v>
      </c>
      <c r="J384" s="38"/>
      <c r="K384" s="35" t="s">
        <v>44</v>
      </c>
    </row>
    <row r="385" customFormat="false" ht="21.75" hidden="false" customHeight="true" outlineLevel="0" collapsed="false">
      <c r="A385" s="39" t="n">
        <v>384</v>
      </c>
      <c r="B385" s="40" t="s">
        <v>944</v>
      </c>
      <c r="C385" s="39" t="s">
        <v>24</v>
      </c>
      <c r="D385" s="40" t="s">
        <v>880</v>
      </c>
      <c r="E385" s="41" t="n">
        <v>5</v>
      </c>
      <c r="F385" s="42" t="s">
        <v>945</v>
      </c>
      <c r="G385" s="42" t="s">
        <v>946</v>
      </c>
      <c r="H385" s="42" t="s">
        <v>929</v>
      </c>
      <c r="I385" s="42" t="s">
        <v>930</v>
      </c>
      <c r="J385" s="42"/>
      <c r="K385" s="39" t="s">
        <v>44</v>
      </c>
    </row>
    <row r="386" customFormat="false" ht="21.75" hidden="false" customHeight="true" outlineLevel="0" collapsed="false">
      <c r="A386" s="35" t="n">
        <v>385</v>
      </c>
      <c r="B386" s="36" t="s">
        <v>947</v>
      </c>
      <c r="C386" s="35" t="s">
        <v>24</v>
      </c>
      <c r="D386" s="36" t="s">
        <v>880</v>
      </c>
      <c r="E386" s="37" t="n">
        <v>5</v>
      </c>
      <c r="F386" s="38" t="s">
        <v>948</v>
      </c>
      <c r="G386" s="38" t="s">
        <v>949</v>
      </c>
      <c r="H386" s="38" t="s">
        <v>929</v>
      </c>
      <c r="I386" s="38" t="s">
        <v>930</v>
      </c>
      <c r="J386" s="38"/>
      <c r="K386" s="35" t="s">
        <v>44</v>
      </c>
    </row>
    <row r="387" customFormat="false" ht="21.75" hidden="false" customHeight="true" outlineLevel="0" collapsed="false">
      <c r="A387" s="39" t="n">
        <v>386</v>
      </c>
      <c r="B387" s="40" t="s">
        <v>947</v>
      </c>
      <c r="C387" s="39" t="s">
        <v>24</v>
      </c>
      <c r="D387" s="40" t="s">
        <v>880</v>
      </c>
      <c r="E387" s="41" t="n">
        <v>5</v>
      </c>
      <c r="F387" s="42" t="s">
        <v>950</v>
      </c>
      <c r="G387" s="42" t="s">
        <v>951</v>
      </c>
      <c r="H387" s="42" t="s">
        <v>929</v>
      </c>
      <c r="I387" s="42" t="s">
        <v>930</v>
      </c>
      <c r="J387" s="42"/>
      <c r="K387" s="39" t="s">
        <v>44</v>
      </c>
    </row>
    <row r="388" customFormat="false" ht="21.75" hidden="false" customHeight="true" outlineLevel="0" collapsed="false">
      <c r="A388" s="35" t="n">
        <v>387</v>
      </c>
      <c r="B388" s="36" t="s">
        <v>947</v>
      </c>
      <c r="C388" s="35" t="s">
        <v>24</v>
      </c>
      <c r="D388" s="36" t="s">
        <v>880</v>
      </c>
      <c r="E388" s="37" t="n">
        <v>5</v>
      </c>
      <c r="F388" s="38" t="s">
        <v>952</v>
      </c>
      <c r="G388" s="38" t="s">
        <v>953</v>
      </c>
      <c r="H388" s="38" t="s">
        <v>929</v>
      </c>
      <c r="I388" s="38" t="s">
        <v>930</v>
      </c>
      <c r="J388" s="38"/>
      <c r="K388" s="35" t="s">
        <v>44</v>
      </c>
    </row>
    <row r="389" customFormat="false" ht="21.75" hidden="false" customHeight="true" outlineLevel="0" collapsed="false">
      <c r="A389" s="39" t="n">
        <v>388</v>
      </c>
      <c r="B389" s="40" t="s">
        <v>904</v>
      </c>
      <c r="C389" s="39" t="s">
        <v>24</v>
      </c>
      <c r="D389" s="40" t="s">
        <v>880</v>
      </c>
      <c r="E389" s="41" t="n">
        <v>5</v>
      </c>
      <c r="F389" s="42" t="s">
        <v>954</v>
      </c>
      <c r="G389" s="42" t="s">
        <v>955</v>
      </c>
      <c r="H389" s="42" t="s">
        <v>907</v>
      </c>
      <c r="I389" s="42" t="s">
        <v>884</v>
      </c>
      <c r="J389" s="42"/>
      <c r="K389" s="39" t="s">
        <v>44</v>
      </c>
    </row>
    <row r="390" customFormat="false" ht="15" hidden="false" customHeight="true" outlineLevel="0" collapsed="false">
      <c r="A390" s="35" t="n">
        <v>389</v>
      </c>
      <c r="B390" s="36" t="s">
        <v>956</v>
      </c>
      <c r="C390" s="35" t="s">
        <v>23</v>
      </c>
      <c r="D390" s="36" t="s">
        <v>957</v>
      </c>
      <c r="E390" s="37" t="n">
        <v>5</v>
      </c>
      <c r="F390" s="38" t="s">
        <v>958</v>
      </c>
      <c r="G390" s="38" t="s">
        <v>959</v>
      </c>
      <c r="H390" s="38" t="s">
        <v>960</v>
      </c>
      <c r="I390" s="38"/>
      <c r="J390" s="38" t="s">
        <v>961</v>
      </c>
      <c r="K390" s="35" t="s">
        <v>44</v>
      </c>
    </row>
    <row r="391" customFormat="false" ht="15" hidden="false" customHeight="true" outlineLevel="0" collapsed="false">
      <c r="A391" s="39" t="n">
        <v>390</v>
      </c>
      <c r="B391" s="40" t="s">
        <v>956</v>
      </c>
      <c r="C391" s="39" t="s">
        <v>23</v>
      </c>
      <c r="D391" s="40" t="s">
        <v>957</v>
      </c>
      <c r="E391" s="41" t="n">
        <v>5</v>
      </c>
      <c r="F391" s="42" t="s">
        <v>962</v>
      </c>
      <c r="G391" s="42" t="s">
        <v>963</v>
      </c>
      <c r="H391" s="42" t="s">
        <v>960</v>
      </c>
      <c r="I391" s="42"/>
      <c r="J391" s="42" t="s">
        <v>961</v>
      </c>
      <c r="K391" s="39" t="s">
        <v>44</v>
      </c>
    </row>
    <row r="392" customFormat="false" ht="15" hidden="false" customHeight="true" outlineLevel="0" collapsed="false">
      <c r="A392" s="35" t="n">
        <v>391</v>
      </c>
      <c r="B392" s="36" t="s">
        <v>964</v>
      </c>
      <c r="C392" s="35" t="s">
        <v>23</v>
      </c>
      <c r="D392" s="36" t="s">
        <v>957</v>
      </c>
      <c r="E392" s="37" t="n">
        <v>5</v>
      </c>
      <c r="F392" s="38" t="s">
        <v>965</v>
      </c>
      <c r="G392" s="38" t="s">
        <v>966</v>
      </c>
      <c r="H392" s="38" t="s">
        <v>960</v>
      </c>
      <c r="I392" s="38"/>
      <c r="J392" s="38" t="s">
        <v>961</v>
      </c>
      <c r="K392" s="35" t="s">
        <v>44</v>
      </c>
    </row>
    <row r="393" customFormat="false" ht="15" hidden="false" customHeight="true" outlineLevel="0" collapsed="false">
      <c r="A393" s="39" t="n">
        <v>392</v>
      </c>
      <c r="B393" s="40" t="s">
        <v>967</v>
      </c>
      <c r="C393" s="39" t="s">
        <v>23</v>
      </c>
      <c r="D393" s="40" t="s">
        <v>957</v>
      </c>
      <c r="E393" s="41" t="n">
        <v>5</v>
      </c>
      <c r="F393" s="42" t="s">
        <v>968</v>
      </c>
      <c r="G393" s="42" t="s">
        <v>969</v>
      </c>
      <c r="H393" s="42" t="s">
        <v>960</v>
      </c>
      <c r="I393" s="42"/>
      <c r="J393" s="42" t="s">
        <v>961</v>
      </c>
      <c r="K393" s="39" t="s">
        <v>44</v>
      </c>
    </row>
    <row r="394" customFormat="false" ht="15" hidden="false" customHeight="true" outlineLevel="0" collapsed="false">
      <c r="A394" s="35" t="n">
        <v>393</v>
      </c>
      <c r="B394" s="36" t="s">
        <v>967</v>
      </c>
      <c r="C394" s="35" t="s">
        <v>23</v>
      </c>
      <c r="D394" s="36" t="s">
        <v>957</v>
      </c>
      <c r="E394" s="37" t="n">
        <v>5</v>
      </c>
      <c r="F394" s="38" t="s">
        <v>970</v>
      </c>
      <c r="G394" s="38" t="s">
        <v>971</v>
      </c>
      <c r="H394" s="38" t="s">
        <v>960</v>
      </c>
      <c r="I394" s="38"/>
      <c r="J394" s="38" t="s">
        <v>961</v>
      </c>
      <c r="K394" s="35" t="s">
        <v>44</v>
      </c>
    </row>
    <row r="395" customFormat="false" ht="15" hidden="false" customHeight="true" outlineLevel="0" collapsed="false">
      <c r="A395" s="39" t="n">
        <v>394</v>
      </c>
      <c r="B395" s="40" t="s">
        <v>972</v>
      </c>
      <c r="C395" s="39" t="s">
        <v>23</v>
      </c>
      <c r="D395" s="40" t="s">
        <v>957</v>
      </c>
      <c r="E395" s="41" t="n">
        <v>5</v>
      </c>
      <c r="F395" s="42" t="s">
        <v>973</v>
      </c>
      <c r="G395" s="42" t="s">
        <v>974</v>
      </c>
      <c r="H395" s="42" t="s">
        <v>960</v>
      </c>
      <c r="I395" s="42"/>
      <c r="J395" s="42" t="s">
        <v>961</v>
      </c>
      <c r="K395" s="39" t="s">
        <v>44</v>
      </c>
    </row>
    <row r="396" customFormat="false" ht="15" hidden="false" customHeight="true" outlineLevel="0" collapsed="false">
      <c r="A396" s="35" t="n">
        <v>395</v>
      </c>
      <c r="B396" s="36" t="s">
        <v>972</v>
      </c>
      <c r="C396" s="35" t="s">
        <v>23</v>
      </c>
      <c r="D396" s="36" t="s">
        <v>957</v>
      </c>
      <c r="E396" s="37" t="n">
        <v>5</v>
      </c>
      <c r="F396" s="38" t="s">
        <v>975</v>
      </c>
      <c r="G396" s="38" t="s">
        <v>976</v>
      </c>
      <c r="H396" s="38" t="s">
        <v>960</v>
      </c>
      <c r="I396" s="38"/>
      <c r="J396" s="38" t="s">
        <v>961</v>
      </c>
      <c r="K396" s="35" t="s">
        <v>44</v>
      </c>
    </row>
    <row r="397" customFormat="false" ht="15" hidden="false" customHeight="true" outlineLevel="0" collapsed="false">
      <c r="A397" s="39" t="n">
        <v>396</v>
      </c>
      <c r="B397" s="40" t="s">
        <v>964</v>
      </c>
      <c r="C397" s="39" t="s">
        <v>23</v>
      </c>
      <c r="D397" s="40" t="s">
        <v>957</v>
      </c>
      <c r="E397" s="41" t="n">
        <v>5</v>
      </c>
      <c r="F397" s="42" t="s">
        <v>977</v>
      </c>
      <c r="G397" s="42" t="s">
        <v>978</v>
      </c>
      <c r="H397" s="42" t="s">
        <v>960</v>
      </c>
      <c r="I397" s="42"/>
      <c r="J397" s="42" t="s">
        <v>961</v>
      </c>
      <c r="K397" s="39" t="s">
        <v>44</v>
      </c>
    </row>
    <row r="398" customFormat="false" ht="15" hidden="false" customHeight="true" outlineLevel="0" collapsed="false">
      <c r="A398" s="35" t="n">
        <v>397</v>
      </c>
      <c r="B398" s="36" t="s">
        <v>979</v>
      </c>
      <c r="C398" s="35" t="s">
        <v>23</v>
      </c>
      <c r="D398" s="36" t="s">
        <v>957</v>
      </c>
      <c r="E398" s="37" t="n">
        <v>5</v>
      </c>
      <c r="F398" s="38" t="s">
        <v>980</v>
      </c>
      <c r="G398" s="38" t="s">
        <v>981</v>
      </c>
      <c r="H398" s="38" t="s">
        <v>982</v>
      </c>
      <c r="I398" s="38"/>
      <c r="J398" s="38" t="s">
        <v>961</v>
      </c>
      <c r="K398" s="35" t="s">
        <v>44</v>
      </c>
    </row>
    <row r="399" customFormat="false" ht="15" hidden="false" customHeight="true" outlineLevel="0" collapsed="false">
      <c r="A399" s="39" t="n">
        <v>398</v>
      </c>
      <c r="B399" s="40" t="s">
        <v>964</v>
      </c>
      <c r="C399" s="39" t="s">
        <v>23</v>
      </c>
      <c r="D399" s="40" t="s">
        <v>957</v>
      </c>
      <c r="E399" s="41" t="n">
        <v>5</v>
      </c>
      <c r="F399" s="42" t="s">
        <v>983</v>
      </c>
      <c r="G399" s="42" t="s">
        <v>984</v>
      </c>
      <c r="H399" s="42" t="s">
        <v>960</v>
      </c>
      <c r="I399" s="42"/>
      <c r="J399" s="42" t="s">
        <v>961</v>
      </c>
      <c r="K399" s="39" t="s">
        <v>44</v>
      </c>
    </row>
    <row r="400" customFormat="false" ht="15" hidden="false" customHeight="true" outlineLevel="0" collapsed="false">
      <c r="A400" s="35" t="n">
        <v>399</v>
      </c>
      <c r="B400" s="36" t="s">
        <v>964</v>
      </c>
      <c r="C400" s="35" t="s">
        <v>23</v>
      </c>
      <c r="D400" s="36" t="s">
        <v>957</v>
      </c>
      <c r="E400" s="37" t="n">
        <v>5</v>
      </c>
      <c r="F400" s="38" t="s">
        <v>985</v>
      </c>
      <c r="G400" s="38" t="s">
        <v>986</v>
      </c>
      <c r="H400" s="38" t="s">
        <v>960</v>
      </c>
      <c r="I400" s="38"/>
      <c r="J400" s="38" t="s">
        <v>961</v>
      </c>
      <c r="K400" s="35" t="s">
        <v>44</v>
      </c>
    </row>
    <row r="401" customFormat="false" ht="15" hidden="false" customHeight="true" outlineLevel="0" collapsed="false">
      <c r="A401" s="39" t="n">
        <v>400</v>
      </c>
      <c r="B401" s="40" t="s">
        <v>964</v>
      </c>
      <c r="C401" s="39" t="s">
        <v>23</v>
      </c>
      <c r="D401" s="40" t="s">
        <v>957</v>
      </c>
      <c r="E401" s="41" t="n">
        <v>5</v>
      </c>
      <c r="F401" s="42" t="s">
        <v>987</v>
      </c>
      <c r="G401" s="42" t="s">
        <v>988</v>
      </c>
      <c r="H401" s="42" t="s">
        <v>960</v>
      </c>
      <c r="I401" s="42"/>
      <c r="J401" s="42" t="s">
        <v>961</v>
      </c>
      <c r="K401" s="39" t="s">
        <v>44</v>
      </c>
    </row>
    <row r="402" customFormat="false" ht="15" hidden="false" customHeight="true" outlineLevel="0" collapsed="false">
      <c r="A402" s="35" t="n">
        <v>401</v>
      </c>
      <c r="B402" s="36" t="s">
        <v>964</v>
      </c>
      <c r="C402" s="35" t="s">
        <v>23</v>
      </c>
      <c r="D402" s="36" t="s">
        <v>957</v>
      </c>
      <c r="E402" s="37" t="n">
        <v>5</v>
      </c>
      <c r="F402" s="38" t="s">
        <v>989</v>
      </c>
      <c r="G402" s="38" t="s">
        <v>990</v>
      </c>
      <c r="H402" s="38" t="s">
        <v>960</v>
      </c>
      <c r="I402" s="38"/>
      <c r="J402" s="38" t="s">
        <v>961</v>
      </c>
      <c r="K402" s="35" t="s">
        <v>44</v>
      </c>
    </row>
    <row r="403" customFormat="false" ht="15" hidden="false" customHeight="true" outlineLevel="0" collapsed="false">
      <c r="A403" s="39" t="n">
        <v>402</v>
      </c>
      <c r="B403" s="40" t="s">
        <v>964</v>
      </c>
      <c r="C403" s="39" t="s">
        <v>23</v>
      </c>
      <c r="D403" s="40" t="s">
        <v>957</v>
      </c>
      <c r="E403" s="41" t="n">
        <v>5</v>
      </c>
      <c r="F403" s="42" t="s">
        <v>991</v>
      </c>
      <c r="G403" s="42" t="s">
        <v>992</v>
      </c>
      <c r="H403" s="42" t="s">
        <v>960</v>
      </c>
      <c r="I403" s="42"/>
      <c r="J403" s="42" t="s">
        <v>961</v>
      </c>
      <c r="K403" s="39" t="s">
        <v>44</v>
      </c>
    </row>
    <row r="404" customFormat="false" ht="15" hidden="false" customHeight="true" outlineLevel="0" collapsed="false">
      <c r="A404" s="35" t="n">
        <v>403</v>
      </c>
      <c r="B404" s="36" t="s">
        <v>964</v>
      </c>
      <c r="C404" s="35" t="s">
        <v>23</v>
      </c>
      <c r="D404" s="36" t="s">
        <v>957</v>
      </c>
      <c r="E404" s="37" t="n">
        <v>5</v>
      </c>
      <c r="F404" s="38" t="s">
        <v>993</v>
      </c>
      <c r="G404" s="38" t="s">
        <v>994</v>
      </c>
      <c r="H404" s="38" t="s">
        <v>960</v>
      </c>
      <c r="I404" s="38"/>
      <c r="J404" s="38" t="s">
        <v>961</v>
      </c>
      <c r="K404" s="35" t="s">
        <v>44</v>
      </c>
    </row>
    <row r="405" customFormat="false" ht="15" hidden="false" customHeight="true" outlineLevel="0" collapsed="false">
      <c r="A405" s="39" t="n">
        <v>404</v>
      </c>
      <c r="B405" s="40" t="s">
        <v>995</v>
      </c>
      <c r="C405" s="39" t="s">
        <v>23</v>
      </c>
      <c r="D405" s="40" t="s">
        <v>957</v>
      </c>
      <c r="E405" s="41" t="n">
        <v>5</v>
      </c>
      <c r="F405" s="42" t="s">
        <v>996</v>
      </c>
      <c r="G405" s="42" t="s">
        <v>997</v>
      </c>
      <c r="H405" s="42" t="s">
        <v>982</v>
      </c>
      <c r="I405" s="42"/>
      <c r="J405" s="42" t="s">
        <v>961</v>
      </c>
      <c r="K405" s="39" t="s">
        <v>44</v>
      </c>
    </row>
    <row r="406" customFormat="false" ht="15" hidden="false" customHeight="true" outlineLevel="0" collapsed="false">
      <c r="A406" s="35" t="n">
        <v>405</v>
      </c>
      <c r="B406" s="36" t="s">
        <v>995</v>
      </c>
      <c r="C406" s="35" t="s">
        <v>23</v>
      </c>
      <c r="D406" s="36" t="s">
        <v>957</v>
      </c>
      <c r="E406" s="37" t="n">
        <v>5</v>
      </c>
      <c r="F406" s="38" t="s">
        <v>998</v>
      </c>
      <c r="G406" s="38" t="s">
        <v>999</v>
      </c>
      <c r="H406" s="38" t="s">
        <v>982</v>
      </c>
      <c r="I406" s="38"/>
      <c r="J406" s="38" t="s">
        <v>961</v>
      </c>
      <c r="K406" s="35" t="s">
        <v>44</v>
      </c>
    </row>
    <row r="407" customFormat="false" ht="15" hidden="false" customHeight="true" outlineLevel="0" collapsed="false">
      <c r="A407" s="39" t="n">
        <v>406</v>
      </c>
      <c r="B407" s="40" t="s">
        <v>995</v>
      </c>
      <c r="C407" s="39" t="s">
        <v>23</v>
      </c>
      <c r="D407" s="40" t="s">
        <v>957</v>
      </c>
      <c r="E407" s="41" t="n">
        <v>5</v>
      </c>
      <c r="F407" s="42" t="s">
        <v>1000</v>
      </c>
      <c r="G407" s="42" t="s">
        <v>1001</v>
      </c>
      <c r="H407" s="42" t="s">
        <v>982</v>
      </c>
      <c r="I407" s="42"/>
      <c r="J407" s="42" t="s">
        <v>961</v>
      </c>
      <c r="K407" s="39" t="s">
        <v>44</v>
      </c>
    </row>
    <row r="408" customFormat="false" ht="15" hidden="false" customHeight="true" outlineLevel="0" collapsed="false">
      <c r="A408" s="35" t="n">
        <v>407</v>
      </c>
      <c r="B408" s="36" t="s">
        <v>995</v>
      </c>
      <c r="C408" s="35" t="s">
        <v>23</v>
      </c>
      <c r="D408" s="36" t="s">
        <v>957</v>
      </c>
      <c r="E408" s="37" t="n">
        <v>5</v>
      </c>
      <c r="F408" s="38" t="s">
        <v>1002</v>
      </c>
      <c r="G408" s="38" t="s">
        <v>1003</v>
      </c>
      <c r="H408" s="38" t="s">
        <v>982</v>
      </c>
      <c r="I408" s="38"/>
      <c r="J408" s="38" t="s">
        <v>961</v>
      </c>
      <c r="K408" s="35" t="s">
        <v>44</v>
      </c>
    </row>
    <row r="409" customFormat="false" ht="15" hidden="false" customHeight="true" outlineLevel="0" collapsed="false">
      <c r="A409" s="39" t="n">
        <v>408</v>
      </c>
      <c r="B409" s="40" t="s">
        <v>1004</v>
      </c>
      <c r="C409" s="39" t="s">
        <v>23</v>
      </c>
      <c r="D409" s="40" t="s">
        <v>957</v>
      </c>
      <c r="E409" s="41" t="n">
        <v>5</v>
      </c>
      <c r="F409" s="42" t="s">
        <v>1005</v>
      </c>
      <c r="G409" s="42" t="s">
        <v>1006</v>
      </c>
      <c r="H409" s="42" t="s">
        <v>982</v>
      </c>
      <c r="I409" s="42"/>
      <c r="J409" s="42" t="s">
        <v>961</v>
      </c>
      <c r="K409" s="39" t="s">
        <v>44</v>
      </c>
    </row>
    <row r="410" customFormat="false" ht="15" hidden="false" customHeight="true" outlineLevel="0" collapsed="false">
      <c r="A410" s="35" t="n">
        <v>409</v>
      </c>
      <c r="B410" s="36" t="s">
        <v>1007</v>
      </c>
      <c r="C410" s="35" t="s">
        <v>23</v>
      </c>
      <c r="D410" s="36" t="s">
        <v>957</v>
      </c>
      <c r="E410" s="37" t="n">
        <v>5</v>
      </c>
      <c r="F410" s="38" t="s">
        <v>1008</v>
      </c>
      <c r="G410" s="38" t="s">
        <v>1009</v>
      </c>
      <c r="H410" s="38" t="s">
        <v>982</v>
      </c>
      <c r="I410" s="38"/>
      <c r="J410" s="38" t="s">
        <v>961</v>
      </c>
      <c r="K410" s="35" t="s">
        <v>44</v>
      </c>
    </row>
    <row r="411" customFormat="false" ht="15" hidden="false" customHeight="true" outlineLevel="0" collapsed="false">
      <c r="A411" s="39" t="n">
        <v>410</v>
      </c>
      <c r="B411" s="40" t="s">
        <v>1010</v>
      </c>
      <c r="C411" s="39" t="s">
        <v>23</v>
      </c>
      <c r="D411" s="40" t="s">
        <v>957</v>
      </c>
      <c r="E411" s="41" t="n">
        <v>5</v>
      </c>
      <c r="F411" s="42" t="s">
        <v>1011</v>
      </c>
      <c r="G411" s="42" t="s">
        <v>1012</v>
      </c>
      <c r="H411" s="42" t="s">
        <v>960</v>
      </c>
      <c r="I411" s="42"/>
      <c r="J411" s="42" t="s">
        <v>961</v>
      </c>
      <c r="K411" s="39" t="s">
        <v>44</v>
      </c>
    </row>
    <row r="412" customFormat="false" ht="15" hidden="false" customHeight="true" outlineLevel="0" collapsed="false">
      <c r="A412" s="35" t="n">
        <v>411</v>
      </c>
      <c r="B412" s="36" t="s">
        <v>1013</v>
      </c>
      <c r="C412" s="35" t="s">
        <v>23</v>
      </c>
      <c r="D412" s="36" t="s">
        <v>957</v>
      </c>
      <c r="E412" s="37" t="n">
        <v>5</v>
      </c>
      <c r="F412" s="38" t="s">
        <v>1014</v>
      </c>
      <c r="G412" s="38" t="s">
        <v>1015</v>
      </c>
      <c r="H412" s="38" t="s">
        <v>960</v>
      </c>
      <c r="I412" s="38"/>
      <c r="J412" s="38" t="s">
        <v>961</v>
      </c>
      <c r="K412" s="35" t="s">
        <v>44</v>
      </c>
    </row>
    <row r="413" customFormat="false" ht="15" hidden="false" customHeight="true" outlineLevel="0" collapsed="false">
      <c r="A413" s="39" t="n">
        <v>412</v>
      </c>
      <c r="B413" s="40" t="s">
        <v>1016</v>
      </c>
      <c r="C413" s="39" t="s">
        <v>23</v>
      </c>
      <c r="D413" s="40" t="s">
        <v>957</v>
      </c>
      <c r="E413" s="41" t="n">
        <v>5</v>
      </c>
      <c r="F413" s="42" t="s">
        <v>1017</v>
      </c>
      <c r="G413" s="42" t="s">
        <v>1018</v>
      </c>
      <c r="H413" s="42" t="s">
        <v>960</v>
      </c>
      <c r="I413" s="42"/>
      <c r="J413" s="42" t="s">
        <v>961</v>
      </c>
      <c r="K413" s="39" t="s">
        <v>44</v>
      </c>
    </row>
    <row r="414" customFormat="false" ht="15" hidden="false" customHeight="true" outlineLevel="0" collapsed="false">
      <c r="A414" s="35" t="n">
        <v>413</v>
      </c>
      <c r="B414" s="36" t="s">
        <v>1019</v>
      </c>
      <c r="C414" s="35" t="s">
        <v>23</v>
      </c>
      <c r="D414" s="36" t="s">
        <v>957</v>
      </c>
      <c r="E414" s="37" t="n">
        <v>5</v>
      </c>
      <c r="F414" s="38" t="s">
        <v>1020</v>
      </c>
      <c r="G414" s="38" t="s">
        <v>1021</v>
      </c>
      <c r="H414" s="38" t="s">
        <v>982</v>
      </c>
      <c r="I414" s="38"/>
      <c r="J414" s="38" t="s">
        <v>961</v>
      </c>
      <c r="K414" s="35" t="s">
        <v>44</v>
      </c>
    </row>
    <row r="415" customFormat="false" ht="15" hidden="false" customHeight="true" outlineLevel="0" collapsed="false">
      <c r="A415" s="39" t="n">
        <v>414</v>
      </c>
      <c r="B415" s="40" t="s">
        <v>1022</v>
      </c>
      <c r="C415" s="39" t="s">
        <v>23</v>
      </c>
      <c r="D415" s="40" t="s">
        <v>957</v>
      </c>
      <c r="E415" s="41" t="n">
        <v>5</v>
      </c>
      <c r="F415" s="42" t="s">
        <v>1023</v>
      </c>
      <c r="G415" s="42" t="s">
        <v>1024</v>
      </c>
      <c r="H415" s="42" t="s">
        <v>960</v>
      </c>
      <c r="I415" s="42"/>
      <c r="J415" s="42" t="s">
        <v>961</v>
      </c>
      <c r="K415" s="39" t="s">
        <v>44</v>
      </c>
    </row>
    <row r="416" customFormat="false" ht="15" hidden="false" customHeight="true" outlineLevel="0" collapsed="false">
      <c r="A416" s="35" t="n">
        <v>415</v>
      </c>
      <c r="B416" s="36" t="s">
        <v>1025</v>
      </c>
      <c r="C416" s="35" t="s">
        <v>23</v>
      </c>
      <c r="D416" s="36" t="s">
        <v>957</v>
      </c>
      <c r="E416" s="37" t="n">
        <v>5</v>
      </c>
      <c r="F416" s="38" t="s">
        <v>1026</v>
      </c>
      <c r="G416" s="38" t="s">
        <v>1027</v>
      </c>
      <c r="H416" s="38" t="s">
        <v>960</v>
      </c>
      <c r="I416" s="38"/>
      <c r="J416" s="38" t="s">
        <v>961</v>
      </c>
      <c r="K416" s="35" t="s">
        <v>44</v>
      </c>
    </row>
    <row r="417" customFormat="false" ht="15" hidden="false" customHeight="true" outlineLevel="0" collapsed="false">
      <c r="A417" s="39" t="n">
        <v>416</v>
      </c>
      <c r="B417" s="40" t="s">
        <v>1028</v>
      </c>
      <c r="C417" s="39" t="s">
        <v>23</v>
      </c>
      <c r="D417" s="40" t="s">
        <v>957</v>
      </c>
      <c r="E417" s="41" t="n">
        <v>5</v>
      </c>
      <c r="F417" s="42" t="s">
        <v>1029</v>
      </c>
      <c r="G417" s="42" t="s">
        <v>1030</v>
      </c>
      <c r="H417" s="42" t="s">
        <v>960</v>
      </c>
      <c r="I417" s="42"/>
      <c r="J417" s="42" t="s">
        <v>961</v>
      </c>
      <c r="K417" s="39" t="s">
        <v>44</v>
      </c>
    </row>
    <row r="418" customFormat="false" ht="15" hidden="false" customHeight="true" outlineLevel="0" collapsed="false">
      <c r="A418" s="35" t="n">
        <v>417</v>
      </c>
      <c r="B418" s="36" t="s">
        <v>964</v>
      </c>
      <c r="C418" s="35" t="s">
        <v>23</v>
      </c>
      <c r="D418" s="36" t="s">
        <v>957</v>
      </c>
      <c r="E418" s="37" t="n">
        <v>5</v>
      </c>
      <c r="F418" s="38" t="s">
        <v>1031</v>
      </c>
      <c r="G418" s="38" t="s">
        <v>1032</v>
      </c>
      <c r="H418" s="38" t="s">
        <v>960</v>
      </c>
      <c r="I418" s="38"/>
      <c r="J418" s="38" t="s">
        <v>961</v>
      </c>
      <c r="K418" s="35" t="s">
        <v>44</v>
      </c>
    </row>
    <row r="419" customFormat="false" ht="15" hidden="false" customHeight="true" outlineLevel="0" collapsed="false">
      <c r="A419" s="39" t="n">
        <v>418</v>
      </c>
      <c r="B419" s="40" t="s">
        <v>964</v>
      </c>
      <c r="C419" s="39" t="s">
        <v>23</v>
      </c>
      <c r="D419" s="40" t="s">
        <v>957</v>
      </c>
      <c r="E419" s="41" t="n">
        <v>5</v>
      </c>
      <c r="F419" s="42" t="s">
        <v>1033</v>
      </c>
      <c r="G419" s="42" t="s">
        <v>1034</v>
      </c>
      <c r="H419" s="42" t="s">
        <v>960</v>
      </c>
      <c r="I419" s="42"/>
      <c r="J419" s="42" t="s">
        <v>961</v>
      </c>
      <c r="K419" s="39" t="s">
        <v>44</v>
      </c>
    </row>
    <row r="420" customFormat="false" ht="15" hidden="false" customHeight="true" outlineLevel="0" collapsed="false">
      <c r="A420" s="35" t="n">
        <v>419</v>
      </c>
      <c r="B420" s="36" t="s">
        <v>1035</v>
      </c>
      <c r="C420" s="35" t="s">
        <v>18</v>
      </c>
      <c r="D420" s="36" t="s">
        <v>1036</v>
      </c>
      <c r="E420" s="37" t="n">
        <v>5</v>
      </c>
      <c r="F420" s="38" t="s">
        <v>1037</v>
      </c>
      <c r="G420" s="38" t="s">
        <v>1038</v>
      </c>
      <c r="H420" s="38" t="s">
        <v>1039</v>
      </c>
      <c r="I420" s="38" t="s">
        <v>1040</v>
      </c>
      <c r="J420" s="38"/>
      <c r="K420" s="35" t="s">
        <v>44</v>
      </c>
    </row>
    <row r="421" customFormat="false" ht="15" hidden="false" customHeight="true" outlineLevel="0" collapsed="false">
      <c r="A421" s="39" t="n">
        <v>420</v>
      </c>
      <c r="B421" s="40" t="s">
        <v>1041</v>
      </c>
      <c r="C421" s="39" t="s">
        <v>18</v>
      </c>
      <c r="D421" s="40" t="s">
        <v>1036</v>
      </c>
      <c r="E421" s="41" t="n">
        <v>5</v>
      </c>
      <c r="F421" s="42" t="s">
        <v>1042</v>
      </c>
      <c r="G421" s="42" t="s">
        <v>1043</v>
      </c>
      <c r="H421" s="42" t="s">
        <v>1039</v>
      </c>
      <c r="I421" s="42" t="s">
        <v>1044</v>
      </c>
      <c r="J421" s="42"/>
      <c r="K421" s="39" t="s">
        <v>44</v>
      </c>
    </row>
    <row r="422" customFormat="false" ht="15" hidden="false" customHeight="true" outlineLevel="0" collapsed="false">
      <c r="A422" s="35" t="n">
        <v>421</v>
      </c>
      <c r="B422" s="36" t="s">
        <v>1045</v>
      </c>
      <c r="C422" s="35" t="s">
        <v>18</v>
      </c>
      <c r="D422" s="36" t="s">
        <v>1036</v>
      </c>
      <c r="E422" s="37" t="n">
        <v>5</v>
      </c>
      <c r="F422" s="38" t="s">
        <v>1046</v>
      </c>
      <c r="G422" s="38" t="s">
        <v>1047</v>
      </c>
      <c r="H422" s="38" t="s">
        <v>1039</v>
      </c>
      <c r="I422" s="38" t="s">
        <v>1048</v>
      </c>
      <c r="J422" s="38"/>
      <c r="K422" s="35" t="s">
        <v>44</v>
      </c>
    </row>
    <row r="423" customFormat="false" ht="15" hidden="false" customHeight="true" outlineLevel="0" collapsed="false">
      <c r="A423" s="39" t="n">
        <v>422</v>
      </c>
      <c r="B423" s="40" t="s">
        <v>1041</v>
      </c>
      <c r="C423" s="39" t="s">
        <v>18</v>
      </c>
      <c r="D423" s="40" t="s">
        <v>1036</v>
      </c>
      <c r="E423" s="41" t="n">
        <v>5</v>
      </c>
      <c r="F423" s="42" t="s">
        <v>1049</v>
      </c>
      <c r="G423" s="42" t="s">
        <v>1050</v>
      </c>
      <c r="H423" s="42" t="s">
        <v>1039</v>
      </c>
      <c r="I423" s="42" t="s">
        <v>1051</v>
      </c>
      <c r="J423" s="42"/>
      <c r="K423" s="39" t="s">
        <v>44</v>
      </c>
    </row>
    <row r="424" customFormat="false" ht="15" hidden="false" customHeight="true" outlineLevel="0" collapsed="false">
      <c r="A424" s="35" t="n">
        <v>423</v>
      </c>
      <c r="B424" s="36" t="s">
        <v>1041</v>
      </c>
      <c r="C424" s="35" t="s">
        <v>18</v>
      </c>
      <c r="D424" s="36" t="s">
        <v>1036</v>
      </c>
      <c r="E424" s="37" t="n">
        <v>5</v>
      </c>
      <c r="F424" s="38" t="s">
        <v>1052</v>
      </c>
      <c r="G424" s="38" t="s">
        <v>1053</v>
      </c>
      <c r="H424" s="38" t="s">
        <v>1039</v>
      </c>
      <c r="I424" s="38" t="s">
        <v>1054</v>
      </c>
      <c r="J424" s="38"/>
      <c r="K424" s="35" t="s">
        <v>44</v>
      </c>
    </row>
    <row r="425" customFormat="false" ht="15" hidden="false" customHeight="true" outlineLevel="0" collapsed="false">
      <c r="A425" s="39" t="n">
        <v>424</v>
      </c>
      <c r="B425" s="40" t="s">
        <v>1041</v>
      </c>
      <c r="C425" s="39" t="s">
        <v>18</v>
      </c>
      <c r="D425" s="40" t="s">
        <v>1036</v>
      </c>
      <c r="E425" s="41" t="n">
        <v>5</v>
      </c>
      <c r="F425" s="42" t="s">
        <v>1055</v>
      </c>
      <c r="G425" s="42" t="s">
        <v>1056</v>
      </c>
      <c r="H425" s="42" t="s">
        <v>1039</v>
      </c>
      <c r="I425" s="42" t="s">
        <v>1057</v>
      </c>
      <c r="J425" s="42"/>
      <c r="K425" s="39" t="s">
        <v>44</v>
      </c>
    </row>
    <row r="426" customFormat="false" ht="15" hidden="false" customHeight="true" outlineLevel="0" collapsed="false">
      <c r="A426" s="35" t="n">
        <v>425</v>
      </c>
      <c r="B426" s="36" t="s">
        <v>1058</v>
      </c>
      <c r="C426" s="35" t="s">
        <v>18</v>
      </c>
      <c r="D426" s="36" t="s">
        <v>1036</v>
      </c>
      <c r="E426" s="37" t="n">
        <v>5</v>
      </c>
      <c r="F426" s="38" t="s">
        <v>1059</v>
      </c>
      <c r="G426" s="38" t="s">
        <v>1060</v>
      </c>
      <c r="H426" s="38" t="s">
        <v>1039</v>
      </c>
      <c r="I426" s="38" t="s">
        <v>1061</v>
      </c>
      <c r="J426" s="38"/>
      <c r="K426" s="35" t="s">
        <v>44</v>
      </c>
    </row>
    <row r="427" customFormat="false" ht="15" hidden="false" customHeight="true" outlineLevel="0" collapsed="false">
      <c r="A427" s="39" t="n">
        <v>426</v>
      </c>
      <c r="B427" s="40" t="s">
        <v>1058</v>
      </c>
      <c r="C427" s="39" t="s">
        <v>18</v>
      </c>
      <c r="D427" s="40" t="s">
        <v>1036</v>
      </c>
      <c r="E427" s="41" t="n">
        <v>5</v>
      </c>
      <c r="F427" s="42" t="s">
        <v>1062</v>
      </c>
      <c r="G427" s="42" t="s">
        <v>1063</v>
      </c>
      <c r="H427" s="42" t="s">
        <v>1039</v>
      </c>
      <c r="I427" s="42" t="s">
        <v>1064</v>
      </c>
      <c r="J427" s="42"/>
      <c r="K427" s="39" t="s">
        <v>44</v>
      </c>
    </row>
    <row r="428" customFormat="false" ht="15" hidden="false" customHeight="true" outlineLevel="0" collapsed="false">
      <c r="A428" s="35" t="n">
        <v>427</v>
      </c>
      <c r="B428" s="36" t="s">
        <v>1058</v>
      </c>
      <c r="C428" s="35" t="s">
        <v>18</v>
      </c>
      <c r="D428" s="36" t="s">
        <v>1036</v>
      </c>
      <c r="E428" s="37" t="n">
        <v>5</v>
      </c>
      <c r="F428" s="38" t="s">
        <v>1065</v>
      </c>
      <c r="G428" s="38" t="s">
        <v>1066</v>
      </c>
      <c r="H428" s="38" t="s">
        <v>1039</v>
      </c>
      <c r="I428" s="38" t="s">
        <v>1067</v>
      </c>
      <c r="J428" s="38"/>
      <c r="K428" s="35" t="s">
        <v>44</v>
      </c>
    </row>
    <row r="429" customFormat="false" ht="15" hidden="false" customHeight="true" outlineLevel="0" collapsed="false">
      <c r="A429" s="39" t="n">
        <v>428</v>
      </c>
      <c r="B429" s="40" t="s">
        <v>1058</v>
      </c>
      <c r="C429" s="39" t="s">
        <v>18</v>
      </c>
      <c r="D429" s="40" t="s">
        <v>1036</v>
      </c>
      <c r="E429" s="41" t="n">
        <v>5</v>
      </c>
      <c r="F429" s="42" t="s">
        <v>1068</v>
      </c>
      <c r="G429" s="42" t="s">
        <v>1069</v>
      </c>
      <c r="H429" s="42" t="s">
        <v>1039</v>
      </c>
      <c r="I429" s="42" t="s">
        <v>1070</v>
      </c>
      <c r="J429" s="42"/>
      <c r="K429" s="39" t="s">
        <v>44</v>
      </c>
    </row>
    <row r="430" customFormat="false" ht="15" hidden="false" customHeight="true" outlineLevel="0" collapsed="false">
      <c r="A430" s="35" t="n">
        <v>429</v>
      </c>
      <c r="B430" s="36" t="s">
        <v>1058</v>
      </c>
      <c r="C430" s="35" t="s">
        <v>18</v>
      </c>
      <c r="D430" s="36" t="s">
        <v>1036</v>
      </c>
      <c r="E430" s="37" t="n">
        <v>5</v>
      </c>
      <c r="F430" s="38" t="s">
        <v>1071</v>
      </c>
      <c r="G430" s="38" t="s">
        <v>1072</v>
      </c>
      <c r="H430" s="38" t="s">
        <v>1039</v>
      </c>
      <c r="I430" s="38" t="s">
        <v>1073</v>
      </c>
      <c r="J430" s="38"/>
      <c r="K430" s="35" t="s">
        <v>44</v>
      </c>
    </row>
    <row r="431" customFormat="false" ht="15" hidden="false" customHeight="true" outlineLevel="0" collapsed="false">
      <c r="A431" s="39" t="n">
        <v>430</v>
      </c>
      <c r="B431" s="40" t="s">
        <v>1074</v>
      </c>
      <c r="C431" s="39" t="s">
        <v>18</v>
      </c>
      <c r="D431" s="40" t="s">
        <v>1036</v>
      </c>
      <c r="E431" s="41" t="n">
        <v>5</v>
      </c>
      <c r="F431" s="42" t="s">
        <v>1075</v>
      </c>
      <c r="G431" s="42" t="s">
        <v>1076</v>
      </c>
      <c r="H431" s="42" t="s">
        <v>1039</v>
      </c>
      <c r="I431" s="42" t="s">
        <v>1077</v>
      </c>
      <c r="J431" s="42"/>
      <c r="K431" s="39" t="s">
        <v>44</v>
      </c>
    </row>
    <row r="432" customFormat="false" ht="15" hidden="false" customHeight="true" outlineLevel="0" collapsed="false">
      <c r="A432" s="35" t="n">
        <v>431</v>
      </c>
      <c r="B432" s="36" t="s">
        <v>1074</v>
      </c>
      <c r="C432" s="35" t="s">
        <v>18</v>
      </c>
      <c r="D432" s="36" t="s">
        <v>1036</v>
      </c>
      <c r="E432" s="37" t="n">
        <v>5</v>
      </c>
      <c r="F432" s="38" t="s">
        <v>1078</v>
      </c>
      <c r="G432" s="38" t="s">
        <v>1079</v>
      </c>
      <c r="H432" s="38" t="s">
        <v>1039</v>
      </c>
      <c r="I432" s="38" t="s">
        <v>1080</v>
      </c>
      <c r="J432" s="38"/>
      <c r="K432" s="35" t="s">
        <v>44</v>
      </c>
    </row>
    <row r="433" customFormat="false" ht="15" hidden="false" customHeight="true" outlineLevel="0" collapsed="false">
      <c r="A433" s="39" t="n">
        <v>432</v>
      </c>
      <c r="B433" s="40" t="s">
        <v>1074</v>
      </c>
      <c r="C433" s="39" t="s">
        <v>18</v>
      </c>
      <c r="D433" s="40" t="s">
        <v>1036</v>
      </c>
      <c r="E433" s="41" t="n">
        <v>5</v>
      </c>
      <c r="F433" s="42" t="s">
        <v>1081</v>
      </c>
      <c r="G433" s="42" t="s">
        <v>1082</v>
      </c>
      <c r="H433" s="42" t="s">
        <v>1039</v>
      </c>
      <c r="I433" s="42" t="s">
        <v>1044</v>
      </c>
      <c r="J433" s="42"/>
      <c r="K433" s="39" t="s">
        <v>44</v>
      </c>
    </row>
    <row r="434" customFormat="false" ht="15" hidden="false" customHeight="true" outlineLevel="0" collapsed="false">
      <c r="A434" s="35" t="n">
        <v>433</v>
      </c>
      <c r="B434" s="36" t="s">
        <v>1083</v>
      </c>
      <c r="C434" s="35" t="s">
        <v>18</v>
      </c>
      <c r="D434" s="36" t="s">
        <v>1036</v>
      </c>
      <c r="E434" s="37" t="n">
        <v>5</v>
      </c>
      <c r="F434" s="38" t="s">
        <v>1084</v>
      </c>
      <c r="G434" s="38" t="s">
        <v>1085</v>
      </c>
      <c r="H434" s="38" t="s">
        <v>1039</v>
      </c>
      <c r="I434" s="38" t="s">
        <v>1048</v>
      </c>
      <c r="J434" s="38"/>
      <c r="K434" s="35" t="s">
        <v>44</v>
      </c>
    </row>
    <row r="435" customFormat="false" ht="15" hidden="false" customHeight="true" outlineLevel="0" collapsed="false">
      <c r="A435" s="39" t="n">
        <v>434</v>
      </c>
      <c r="B435" s="40" t="s">
        <v>1074</v>
      </c>
      <c r="C435" s="39" t="s">
        <v>18</v>
      </c>
      <c r="D435" s="40" t="s">
        <v>1036</v>
      </c>
      <c r="E435" s="41" t="n">
        <v>5</v>
      </c>
      <c r="F435" s="42" t="s">
        <v>1086</v>
      </c>
      <c r="G435" s="42" t="s">
        <v>1087</v>
      </c>
      <c r="H435" s="42" t="s">
        <v>1039</v>
      </c>
      <c r="I435" s="42" t="s">
        <v>1051</v>
      </c>
      <c r="J435" s="42"/>
      <c r="K435" s="39" t="s">
        <v>44</v>
      </c>
    </row>
    <row r="436" customFormat="false" ht="15" hidden="false" customHeight="true" outlineLevel="0" collapsed="false">
      <c r="A436" s="35" t="n">
        <v>435</v>
      </c>
      <c r="B436" s="36" t="s">
        <v>1088</v>
      </c>
      <c r="C436" s="35" t="s">
        <v>18</v>
      </c>
      <c r="D436" s="36" t="s">
        <v>1036</v>
      </c>
      <c r="E436" s="37" t="n">
        <v>5</v>
      </c>
      <c r="F436" s="38" t="s">
        <v>1089</v>
      </c>
      <c r="G436" s="38" t="s">
        <v>1090</v>
      </c>
      <c r="H436" s="38" t="s">
        <v>1039</v>
      </c>
      <c r="I436" s="38" t="s">
        <v>1054</v>
      </c>
      <c r="J436" s="38"/>
      <c r="K436" s="35" t="s">
        <v>44</v>
      </c>
    </row>
    <row r="437" customFormat="false" ht="15" hidden="false" customHeight="true" outlineLevel="0" collapsed="false">
      <c r="A437" s="39" t="n">
        <v>436</v>
      </c>
      <c r="B437" s="40" t="s">
        <v>1088</v>
      </c>
      <c r="C437" s="39" t="s">
        <v>18</v>
      </c>
      <c r="D437" s="40" t="s">
        <v>1036</v>
      </c>
      <c r="E437" s="41" t="n">
        <v>5</v>
      </c>
      <c r="F437" s="42" t="s">
        <v>1091</v>
      </c>
      <c r="G437" s="42" t="s">
        <v>1092</v>
      </c>
      <c r="H437" s="42" t="s">
        <v>1039</v>
      </c>
      <c r="I437" s="42" t="s">
        <v>1057</v>
      </c>
      <c r="J437" s="42"/>
      <c r="K437" s="39" t="s">
        <v>44</v>
      </c>
    </row>
    <row r="438" customFormat="false" ht="15" hidden="false" customHeight="true" outlineLevel="0" collapsed="false">
      <c r="A438" s="35" t="n">
        <v>437</v>
      </c>
      <c r="B438" s="36" t="s">
        <v>1088</v>
      </c>
      <c r="C438" s="35" t="s">
        <v>18</v>
      </c>
      <c r="D438" s="36" t="s">
        <v>1036</v>
      </c>
      <c r="E438" s="37" t="n">
        <v>5</v>
      </c>
      <c r="F438" s="38" t="s">
        <v>1093</v>
      </c>
      <c r="G438" s="38" t="s">
        <v>1094</v>
      </c>
      <c r="H438" s="38" t="s">
        <v>1039</v>
      </c>
      <c r="I438" s="38" t="s">
        <v>1061</v>
      </c>
      <c r="J438" s="38"/>
      <c r="K438" s="35" t="s">
        <v>44</v>
      </c>
    </row>
    <row r="439" customFormat="false" ht="15" hidden="false" customHeight="true" outlineLevel="0" collapsed="false">
      <c r="A439" s="39" t="n">
        <v>438</v>
      </c>
      <c r="B439" s="40" t="s">
        <v>1074</v>
      </c>
      <c r="C439" s="39" t="s">
        <v>18</v>
      </c>
      <c r="D439" s="40" t="s">
        <v>1036</v>
      </c>
      <c r="E439" s="41" t="n">
        <v>5</v>
      </c>
      <c r="F439" s="42" t="s">
        <v>1095</v>
      </c>
      <c r="G439" s="42" t="s">
        <v>1096</v>
      </c>
      <c r="H439" s="42" t="s">
        <v>1039</v>
      </c>
      <c r="I439" s="42" t="s">
        <v>1064</v>
      </c>
      <c r="J439" s="42"/>
      <c r="K439" s="39" t="s">
        <v>44</v>
      </c>
    </row>
    <row r="440" customFormat="false" ht="15" hidden="false" customHeight="true" outlineLevel="0" collapsed="false">
      <c r="A440" s="35" t="n">
        <v>439</v>
      </c>
      <c r="B440" s="36" t="s">
        <v>1074</v>
      </c>
      <c r="C440" s="35" t="s">
        <v>18</v>
      </c>
      <c r="D440" s="36" t="s">
        <v>1036</v>
      </c>
      <c r="E440" s="37" t="n">
        <v>5</v>
      </c>
      <c r="F440" s="38" t="s">
        <v>1097</v>
      </c>
      <c r="G440" s="38" t="s">
        <v>1098</v>
      </c>
      <c r="H440" s="38" t="s">
        <v>1039</v>
      </c>
      <c r="I440" s="38" t="s">
        <v>1067</v>
      </c>
      <c r="J440" s="38"/>
      <c r="K440" s="35" t="s">
        <v>44</v>
      </c>
    </row>
    <row r="441" customFormat="false" ht="15" hidden="false" customHeight="true" outlineLevel="0" collapsed="false">
      <c r="A441" s="39" t="n">
        <v>440</v>
      </c>
      <c r="B441" s="40" t="s">
        <v>1099</v>
      </c>
      <c r="C441" s="39" t="s">
        <v>18</v>
      </c>
      <c r="D441" s="40" t="s">
        <v>1036</v>
      </c>
      <c r="E441" s="41" t="n">
        <v>5</v>
      </c>
      <c r="F441" s="42" t="s">
        <v>1100</v>
      </c>
      <c r="G441" s="42" t="s">
        <v>1101</v>
      </c>
      <c r="H441" s="42" t="s">
        <v>1039</v>
      </c>
      <c r="I441" s="42" t="s">
        <v>1070</v>
      </c>
      <c r="J441" s="42"/>
      <c r="K441" s="39" t="s">
        <v>44</v>
      </c>
    </row>
    <row r="442" customFormat="false" ht="15" hidden="false" customHeight="true" outlineLevel="0" collapsed="false">
      <c r="A442" s="35" t="n">
        <v>441</v>
      </c>
      <c r="B442" s="36" t="s">
        <v>1102</v>
      </c>
      <c r="C442" s="35" t="s">
        <v>18</v>
      </c>
      <c r="D442" s="36" t="s">
        <v>1036</v>
      </c>
      <c r="E442" s="37" t="n">
        <v>5</v>
      </c>
      <c r="F442" s="38" t="s">
        <v>1103</v>
      </c>
      <c r="G442" s="38" t="s">
        <v>1104</v>
      </c>
      <c r="H442" s="38" t="s">
        <v>1039</v>
      </c>
      <c r="I442" s="38" t="s">
        <v>1073</v>
      </c>
      <c r="J442" s="38"/>
      <c r="K442" s="35" t="s">
        <v>44</v>
      </c>
    </row>
    <row r="443" customFormat="false" ht="15" hidden="false" customHeight="true" outlineLevel="0" collapsed="false">
      <c r="A443" s="39" t="n">
        <v>442</v>
      </c>
      <c r="B443" s="40" t="s">
        <v>1102</v>
      </c>
      <c r="C443" s="39" t="s">
        <v>18</v>
      </c>
      <c r="D443" s="40" t="s">
        <v>1036</v>
      </c>
      <c r="E443" s="41" t="n">
        <v>5</v>
      </c>
      <c r="F443" s="42" t="s">
        <v>1105</v>
      </c>
      <c r="G443" s="42" t="s">
        <v>1106</v>
      </c>
      <c r="H443" s="42" t="s">
        <v>1039</v>
      </c>
      <c r="I443" s="42" t="s">
        <v>1077</v>
      </c>
      <c r="J443" s="42"/>
      <c r="K443" s="39" t="s">
        <v>44</v>
      </c>
    </row>
    <row r="444" customFormat="false" ht="15" hidden="false" customHeight="true" outlineLevel="0" collapsed="false">
      <c r="A444" s="35" t="n">
        <v>443</v>
      </c>
      <c r="B444" s="36" t="s">
        <v>1107</v>
      </c>
      <c r="C444" s="35" t="s">
        <v>18</v>
      </c>
      <c r="D444" s="36" t="s">
        <v>1036</v>
      </c>
      <c r="E444" s="37" t="n">
        <v>5</v>
      </c>
      <c r="F444" s="38" t="s">
        <v>1108</v>
      </c>
      <c r="G444" s="38" t="s">
        <v>1109</v>
      </c>
      <c r="H444" s="38" t="s">
        <v>1039</v>
      </c>
      <c r="I444" s="38" t="s">
        <v>1077</v>
      </c>
      <c r="J444" s="38"/>
      <c r="K444" s="35" t="s">
        <v>44</v>
      </c>
    </row>
    <row r="445" customFormat="false" ht="15" hidden="false" customHeight="true" outlineLevel="0" collapsed="false">
      <c r="A445" s="39" t="n">
        <v>444</v>
      </c>
      <c r="B445" s="40" t="s">
        <v>1107</v>
      </c>
      <c r="C445" s="39" t="s">
        <v>18</v>
      </c>
      <c r="D445" s="40" t="s">
        <v>1036</v>
      </c>
      <c r="E445" s="41" t="n">
        <v>5</v>
      </c>
      <c r="F445" s="42" t="s">
        <v>1110</v>
      </c>
      <c r="G445" s="42" t="s">
        <v>1111</v>
      </c>
      <c r="H445" s="42" t="s">
        <v>1039</v>
      </c>
      <c r="I445" s="42" t="s">
        <v>1077</v>
      </c>
      <c r="J445" s="42"/>
      <c r="K445" s="39" t="s">
        <v>44</v>
      </c>
    </row>
    <row r="446" customFormat="false" ht="15" hidden="false" customHeight="true" outlineLevel="0" collapsed="false">
      <c r="A446" s="35" t="n">
        <v>445</v>
      </c>
      <c r="B446" s="36" t="s">
        <v>1112</v>
      </c>
      <c r="C446" s="35" t="s">
        <v>18</v>
      </c>
      <c r="D446" s="36" t="s">
        <v>1036</v>
      </c>
      <c r="E446" s="37" t="n">
        <v>5</v>
      </c>
      <c r="F446" s="38" t="s">
        <v>1113</v>
      </c>
      <c r="G446" s="38" t="s">
        <v>1114</v>
      </c>
      <c r="H446" s="38" t="s">
        <v>1039</v>
      </c>
      <c r="I446" s="38" t="s">
        <v>1077</v>
      </c>
      <c r="J446" s="38"/>
      <c r="K446" s="35" t="s">
        <v>44</v>
      </c>
    </row>
    <row r="447" customFormat="false" ht="15" hidden="false" customHeight="true" outlineLevel="0" collapsed="false">
      <c r="A447" s="39" t="n">
        <v>446</v>
      </c>
      <c r="B447" s="40" t="s">
        <v>1107</v>
      </c>
      <c r="C447" s="39" t="s">
        <v>18</v>
      </c>
      <c r="D447" s="40" t="s">
        <v>1036</v>
      </c>
      <c r="E447" s="41" t="n">
        <v>5</v>
      </c>
      <c r="F447" s="42" t="s">
        <v>1115</v>
      </c>
      <c r="G447" s="42" t="s">
        <v>1116</v>
      </c>
      <c r="H447" s="42" t="s">
        <v>1039</v>
      </c>
      <c r="I447" s="42" t="s">
        <v>1077</v>
      </c>
      <c r="J447" s="42"/>
      <c r="K447" s="39" t="s">
        <v>44</v>
      </c>
    </row>
    <row r="448" customFormat="false" ht="15" hidden="false" customHeight="true" outlineLevel="0" collapsed="false">
      <c r="A448" s="35" t="n">
        <v>447</v>
      </c>
      <c r="B448" s="36" t="s">
        <v>1117</v>
      </c>
      <c r="C448" s="35" t="s">
        <v>18</v>
      </c>
      <c r="D448" s="36" t="s">
        <v>1036</v>
      </c>
      <c r="E448" s="37" t="n">
        <v>5</v>
      </c>
      <c r="F448" s="38" t="s">
        <v>1118</v>
      </c>
      <c r="G448" s="38" t="s">
        <v>1119</v>
      </c>
      <c r="H448" s="38" t="s">
        <v>1039</v>
      </c>
      <c r="I448" s="38" t="s">
        <v>1077</v>
      </c>
      <c r="J448" s="38"/>
      <c r="K448" s="35" t="s">
        <v>44</v>
      </c>
    </row>
    <row r="449" customFormat="false" ht="15" hidden="false" customHeight="true" outlineLevel="0" collapsed="false">
      <c r="A449" s="39" t="n">
        <v>448</v>
      </c>
      <c r="B449" s="40" t="s">
        <v>1107</v>
      </c>
      <c r="C449" s="39" t="s">
        <v>18</v>
      </c>
      <c r="D449" s="40" t="s">
        <v>1036</v>
      </c>
      <c r="E449" s="41" t="n">
        <v>5</v>
      </c>
      <c r="F449" s="42" t="s">
        <v>1120</v>
      </c>
      <c r="G449" s="42" t="s">
        <v>1121</v>
      </c>
      <c r="H449" s="42" t="s">
        <v>1039</v>
      </c>
      <c r="I449" s="42" t="s">
        <v>1077</v>
      </c>
      <c r="J449" s="42"/>
      <c r="K449" s="39" t="s">
        <v>44</v>
      </c>
    </row>
    <row r="450" customFormat="false" ht="15" hidden="false" customHeight="true" outlineLevel="0" collapsed="false">
      <c r="A450" s="35" t="n">
        <v>449</v>
      </c>
      <c r="B450" s="36" t="s">
        <v>1107</v>
      </c>
      <c r="C450" s="35" t="s">
        <v>18</v>
      </c>
      <c r="D450" s="36" t="s">
        <v>1036</v>
      </c>
      <c r="E450" s="37" t="n">
        <v>5</v>
      </c>
      <c r="F450" s="38" t="s">
        <v>1084</v>
      </c>
      <c r="G450" s="38" t="s">
        <v>1122</v>
      </c>
      <c r="H450" s="38" t="s">
        <v>1039</v>
      </c>
      <c r="I450" s="38" t="s">
        <v>1077</v>
      </c>
      <c r="J450" s="38"/>
      <c r="K450" s="35" t="s">
        <v>44</v>
      </c>
    </row>
    <row r="451" customFormat="false" ht="15" hidden="false" customHeight="true" outlineLevel="0" collapsed="false">
      <c r="A451" s="39" t="n">
        <v>450</v>
      </c>
      <c r="B451" s="40" t="s">
        <v>1107</v>
      </c>
      <c r="C451" s="39" t="s">
        <v>18</v>
      </c>
      <c r="D451" s="40" t="s">
        <v>1036</v>
      </c>
      <c r="E451" s="41" t="n">
        <v>5</v>
      </c>
      <c r="F451" s="42" t="s">
        <v>1123</v>
      </c>
      <c r="G451" s="42" t="s">
        <v>1124</v>
      </c>
      <c r="H451" s="42" t="s">
        <v>1039</v>
      </c>
      <c r="I451" s="42" t="s">
        <v>1077</v>
      </c>
      <c r="J451" s="42"/>
      <c r="K451" s="39" t="s">
        <v>44</v>
      </c>
    </row>
    <row r="452" customFormat="false" ht="15" hidden="false" customHeight="true" outlineLevel="0" collapsed="false">
      <c r="A452" s="35" t="n">
        <v>451</v>
      </c>
      <c r="B452" s="36" t="s">
        <v>1125</v>
      </c>
      <c r="C452" s="35" t="s">
        <v>18</v>
      </c>
      <c r="D452" s="36" t="s">
        <v>1036</v>
      </c>
      <c r="E452" s="37" t="n">
        <v>5</v>
      </c>
      <c r="F452" s="38" t="s">
        <v>1126</v>
      </c>
      <c r="G452" s="38" t="s">
        <v>1127</v>
      </c>
      <c r="H452" s="38" t="s">
        <v>1039</v>
      </c>
      <c r="I452" s="38" t="s">
        <v>1077</v>
      </c>
      <c r="J452" s="38"/>
      <c r="K452" s="35" t="s">
        <v>44</v>
      </c>
    </row>
    <row r="453" customFormat="false" ht="15" hidden="false" customHeight="true" outlineLevel="0" collapsed="false">
      <c r="A453" s="39" t="n">
        <v>452</v>
      </c>
      <c r="B453" s="40" t="s">
        <v>1128</v>
      </c>
      <c r="C453" s="39" t="s">
        <v>18</v>
      </c>
      <c r="D453" s="40" t="s">
        <v>1036</v>
      </c>
      <c r="E453" s="41" t="n">
        <v>5</v>
      </c>
      <c r="F453" s="42" t="s">
        <v>1129</v>
      </c>
      <c r="G453" s="42" t="s">
        <v>1130</v>
      </c>
      <c r="H453" s="42" t="s">
        <v>1039</v>
      </c>
      <c r="I453" s="42" t="s">
        <v>1077</v>
      </c>
      <c r="J453" s="42"/>
      <c r="K453" s="39" t="s">
        <v>44</v>
      </c>
    </row>
    <row r="454" customFormat="false" ht="15" hidden="false" customHeight="true" outlineLevel="0" collapsed="false">
      <c r="A454" s="35" t="n">
        <v>453</v>
      </c>
      <c r="B454" s="36" t="s">
        <v>1128</v>
      </c>
      <c r="C454" s="35" t="s">
        <v>18</v>
      </c>
      <c r="D454" s="36" t="s">
        <v>1036</v>
      </c>
      <c r="E454" s="37" t="n">
        <v>5</v>
      </c>
      <c r="F454" s="38" t="s">
        <v>1131</v>
      </c>
      <c r="G454" s="38" t="s">
        <v>1132</v>
      </c>
      <c r="H454" s="38" t="s">
        <v>1039</v>
      </c>
      <c r="I454" s="38" t="s">
        <v>1077</v>
      </c>
      <c r="J454" s="38"/>
      <c r="K454" s="35" t="s">
        <v>44</v>
      </c>
    </row>
    <row r="455" customFormat="false" ht="15" hidden="false" customHeight="true" outlineLevel="0" collapsed="false">
      <c r="A455" s="39" t="n">
        <v>454</v>
      </c>
      <c r="B455" s="40" t="s">
        <v>1133</v>
      </c>
      <c r="C455" s="39" t="s">
        <v>18</v>
      </c>
      <c r="D455" s="40" t="s">
        <v>1036</v>
      </c>
      <c r="E455" s="41" t="n">
        <v>5</v>
      </c>
      <c r="F455" s="42" t="s">
        <v>1134</v>
      </c>
      <c r="G455" s="42" t="s">
        <v>1135</v>
      </c>
      <c r="H455" s="42" t="s">
        <v>1039</v>
      </c>
      <c r="I455" s="42" t="s">
        <v>1077</v>
      </c>
      <c r="J455" s="42"/>
      <c r="K455" s="39" t="s">
        <v>44</v>
      </c>
    </row>
    <row r="456" customFormat="false" ht="15" hidden="false" customHeight="true" outlineLevel="0" collapsed="false">
      <c r="A456" s="35" t="n">
        <v>455</v>
      </c>
      <c r="B456" s="36" t="s">
        <v>1133</v>
      </c>
      <c r="C456" s="35" t="s">
        <v>18</v>
      </c>
      <c r="D456" s="36" t="s">
        <v>1036</v>
      </c>
      <c r="E456" s="37" t="n">
        <v>5</v>
      </c>
      <c r="F456" s="38" t="s">
        <v>1136</v>
      </c>
      <c r="G456" s="38" t="s">
        <v>1137</v>
      </c>
      <c r="H456" s="38" t="s">
        <v>1039</v>
      </c>
      <c r="I456" s="38" t="s">
        <v>1077</v>
      </c>
      <c r="J456" s="38"/>
      <c r="K456" s="35" t="s">
        <v>44</v>
      </c>
    </row>
    <row r="457" customFormat="false" ht="15" hidden="false" customHeight="true" outlineLevel="0" collapsed="false">
      <c r="A457" s="39" t="n">
        <v>456</v>
      </c>
      <c r="B457" s="40" t="s">
        <v>1133</v>
      </c>
      <c r="C457" s="39" t="s">
        <v>18</v>
      </c>
      <c r="D457" s="40" t="s">
        <v>1036</v>
      </c>
      <c r="E457" s="41" t="n">
        <v>5</v>
      </c>
      <c r="F457" s="42" t="s">
        <v>1138</v>
      </c>
      <c r="G457" s="42" t="s">
        <v>1139</v>
      </c>
      <c r="H457" s="42" t="s">
        <v>1039</v>
      </c>
      <c r="I457" s="42" t="s">
        <v>1077</v>
      </c>
      <c r="J457" s="42"/>
      <c r="K457" s="39" t="s">
        <v>44</v>
      </c>
    </row>
    <row r="458" customFormat="false" ht="15" hidden="false" customHeight="true" outlineLevel="0" collapsed="false">
      <c r="A458" s="35" t="n">
        <v>457</v>
      </c>
      <c r="B458" s="36" t="s">
        <v>1133</v>
      </c>
      <c r="C458" s="35" t="s">
        <v>18</v>
      </c>
      <c r="D458" s="36" t="s">
        <v>1036</v>
      </c>
      <c r="E458" s="37" t="n">
        <v>5</v>
      </c>
      <c r="F458" s="38" t="s">
        <v>1140</v>
      </c>
      <c r="G458" s="38" t="s">
        <v>1141</v>
      </c>
      <c r="H458" s="38" t="s">
        <v>1039</v>
      </c>
      <c r="I458" s="38" t="s">
        <v>1077</v>
      </c>
      <c r="J458" s="38"/>
      <c r="K458" s="35" t="s">
        <v>44</v>
      </c>
    </row>
    <row r="459" customFormat="false" ht="15" hidden="false" customHeight="true" outlineLevel="0" collapsed="false">
      <c r="A459" s="39" t="n">
        <v>458</v>
      </c>
      <c r="B459" s="40" t="s">
        <v>1133</v>
      </c>
      <c r="C459" s="39" t="s">
        <v>18</v>
      </c>
      <c r="D459" s="40" t="s">
        <v>1036</v>
      </c>
      <c r="E459" s="41" t="n">
        <v>5</v>
      </c>
      <c r="F459" s="42" t="s">
        <v>1142</v>
      </c>
      <c r="G459" s="42" t="s">
        <v>1143</v>
      </c>
      <c r="H459" s="42" t="s">
        <v>1039</v>
      </c>
      <c r="I459" s="42" t="s">
        <v>1077</v>
      </c>
      <c r="J459" s="42"/>
      <c r="K459" s="39" t="s">
        <v>44</v>
      </c>
    </row>
    <row r="460" customFormat="false" ht="15" hidden="false" customHeight="true" outlineLevel="0" collapsed="false">
      <c r="A460" s="35" t="n">
        <v>459</v>
      </c>
      <c r="B460" s="36" t="s">
        <v>1133</v>
      </c>
      <c r="C460" s="35" t="s">
        <v>18</v>
      </c>
      <c r="D460" s="36" t="s">
        <v>1036</v>
      </c>
      <c r="E460" s="37" t="n">
        <v>5</v>
      </c>
      <c r="F460" s="38" t="s">
        <v>1144</v>
      </c>
      <c r="G460" s="38" t="s">
        <v>1145</v>
      </c>
      <c r="H460" s="38" t="s">
        <v>1039</v>
      </c>
      <c r="I460" s="38" t="s">
        <v>1077</v>
      </c>
      <c r="J460" s="38"/>
      <c r="K460" s="35" t="s">
        <v>44</v>
      </c>
    </row>
    <row r="461" customFormat="false" ht="15" hidden="false" customHeight="true" outlineLevel="0" collapsed="false">
      <c r="A461" s="39" t="n">
        <v>460</v>
      </c>
      <c r="B461" s="40" t="s">
        <v>1133</v>
      </c>
      <c r="C461" s="39" t="s">
        <v>18</v>
      </c>
      <c r="D461" s="40" t="s">
        <v>1036</v>
      </c>
      <c r="E461" s="41" t="n">
        <v>5</v>
      </c>
      <c r="F461" s="42" t="s">
        <v>1146</v>
      </c>
      <c r="G461" s="42" t="s">
        <v>1147</v>
      </c>
      <c r="H461" s="42" t="s">
        <v>1039</v>
      </c>
      <c r="I461" s="42" t="s">
        <v>1077</v>
      </c>
      <c r="J461" s="42"/>
      <c r="K461" s="39" t="s">
        <v>44</v>
      </c>
    </row>
    <row r="462" customFormat="false" ht="15" hidden="false" customHeight="true" outlineLevel="0" collapsed="false">
      <c r="A462" s="35" t="n">
        <v>461</v>
      </c>
      <c r="B462" s="36" t="s">
        <v>1133</v>
      </c>
      <c r="C462" s="35" t="s">
        <v>18</v>
      </c>
      <c r="D462" s="36" t="s">
        <v>1036</v>
      </c>
      <c r="E462" s="37" t="n">
        <v>5</v>
      </c>
      <c r="F462" s="38" t="s">
        <v>1148</v>
      </c>
      <c r="G462" s="38" t="s">
        <v>1149</v>
      </c>
      <c r="H462" s="38" t="s">
        <v>1039</v>
      </c>
      <c r="I462" s="38" t="s">
        <v>1077</v>
      </c>
      <c r="J462" s="38"/>
      <c r="K462" s="35" t="s">
        <v>44</v>
      </c>
    </row>
    <row r="463" customFormat="false" ht="15" hidden="false" customHeight="true" outlineLevel="0" collapsed="false">
      <c r="A463" s="39" t="n">
        <v>462</v>
      </c>
      <c r="B463" s="40" t="s">
        <v>1133</v>
      </c>
      <c r="C463" s="39" t="s">
        <v>18</v>
      </c>
      <c r="D463" s="40" t="s">
        <v>1036</v>
      </c>
      <c r="E463" s="41" t="n">
        <v>5</v>
      </c>
      <c r="F463" s="42" t="s">
        <v>1150</v>
      </c>
      <c r="G463" s="42" t="s">
        <v>1151</v>
      </c>
      <c r="H463" s="42" t="s">
        <v>1039</v>
      </c>
      <c r="I463" s="42" t="s">
        <v>1077</v>
      </c>
      <c r="J463" s="42"/>
      <c r="K463" s="39" t="s">
        <v>44</v>
      </c>
    </row>
    <row r="464" customFormat="false" ht="15" hidden="false" customHeight="true" outlineLevel="0" collapsed="false">
      <c r="A464" s="35" t="n">
        <v>463</v>
      </c>
      <c r="B464" s="36" t="s">
        <v>1133</v>
      </c>
      <c r="C464" s="35" t="s">
        <v>18</v>
      </c>
      <c r="D464" s="36" t="s">
        <v>1036</v>
      </c>
      <c r="E464" s="37" t="n">
        <v>5</v>
      </c>
      <c r="F464" s="38" t="s">
        <v>1152</v>
      </c>
      <c r="G464" s="38" t="s">
        <v>1153</v>
      </c>
      <c r="H464" s="38" t="s">
        <v>1039</v>
      </c>
      <c r="I464" s="38" t="s">
        <v>1077</v>
      </c>
      <c r="J464" s="38"/>
      <c r="K464" s="35" t="s">
        <v>44</v>
      </c>
    </row>
    <row r="465" customFormat="false" ht="15" hidden="false" customHeight="true" outlineLevel="0" collapsed="false">
      <c r="A465" s="39" t="n">
        <v>464</v>
      </c>
      <c r="B465" s="40" t="s">
        <v>1133</v>
      </c>
      <c r="C465" s="39" t="s">
        <v>18</v>
      </c>
      <c r="D465" s="40" t="s">
        <v>1036</v>
      </c>
      <c r="E465" s="41" t="n">
        <v>5</v>
      </c>
      <c r="F465" s="42" t="s">
        <v>1154</v>
      </c>
      <c r="G465" s="42" t="s">
        <v>1155</v>
      </c>
      <c r="H465" s="42" t="s">
        <v>1039</v>
      </c>
      <c r="I465" s="42" t="s">
        <v>1077</v>
      </c>
      <c r="J465" s="42"/>
      <c r="K465" s="39" t="s">
        <v>44</v>
      </c>
    </row>
    <row r="466" customFormat="false" ht="15" hidden="false" customHeight="true" outlineLevel="0" collapsed="false">
      <c r="A466" s="35" t="n">
        <v>465</v>
      </c>
      <c r="B466" s="36" t="s">
        <v>1133</v>
      </c>
      <c r="C466" s="35" t="s">
        <v>18</v>
      </c>
      <c r="D466" s="36" t="s">
        <v>1036</v>
      </c>
      <c r="E466" s="37" t="n">
        <v>5</v>
      </c>
      <c r="F466" s="38" t="s">
        <v>1156</v>
      </c>
      <c r="G466" s="38" t="s">
        <v>1157</v>
      </c>
      <c r="H466" s="38" t="s">
        <v>1039</v>
      </c>
      <c r="I466" s="38" t="s">
        <v>1077</v>
      </c>
      <c r="J466" s="38"/>
      <c r="K466" s="35" t="s">
        <v>44</v>
      </c>
    </row>
    <row r="467" customFormat="false" ht="15" hidden="false" customHeight="true" outlineLevel="0" collapsed="false">
      <c r="A467" s="39" t="n">
        <v>466</v>
      </c>
      <c r="B467" s="40" t="s">
        <v>1133</v>
      </c>
      <c r="C467" s="39" t="s">
        <v>18</v>
      </c>
      <c r="D467" s="40" t="s">
        <v>1036</v>
      </c>
      <c r="E467" s="41" t="n">
        <v>5</v>
      </c>
      <c r="F467" s="42" t="s">
        <v>1158</v>
      </c>
      <c r="G467" s="42" t="s">
        <v>1159</v>
      </c>
      <c r="H467" s="42" t="s">
        <v>1039</v>
      </c>
      <c r="I467" s="42" t="s">
        <v>1077</v>
      </c>
      <c r="J467" s="42"/>
      <c r="K467" s="39" t="s">
        <v>44</v>
      </c>
    </row>
    <row r="468" customFormat="false" ht="15" hidden="false" customHeight="true" outlineLevel="0" collapsed="false">
      <c r="A468" s="35" t="n">
        <v>467</v>
      </c>
      <c r="B468" s="36" t="s">
        <v>1133</v>
      </c>
      <c r="C468" s="35" t="s">
        <v>18</v>
      </c>
      <c r="D468" s="36" t="s">
        <v>1036</v>
      </c>
      <c r="E468" s="37" t="n">
        <v>5</v>
      </c>
      <c r="F468" s="38" t="s">
        <v>1160</v>
      </c>
      <c r="G468" s="38" t="s">
        <v>1161</v>
      </c>
      <c r="H468" s="38" t="s">
        <v>1039</v>
      </c>
      <c r="I468" s="38" t="s">
        <v>1077</v>
      </c>
      <c r="J468" s="38"/>
      <c r="K468" s="35" t="s">
        <v>44</v>
      </c>
    </row>
    <row r="469" customFormat="false" ht="15" hidden="false" customHeight="true" outlineLevel="0" collapsed="false">
      <c r="A469" s="39" t="n">
        <v>468</v>
      </c>
      <c r="B469" s="40" t="s">
        <v>1133</v>
      </c>
      <c r="C469" s="39" t="s">
        <v>18</v>
      </c>
      <c r="D469" s="40" t="s">
        <v>1036</v>
      </c>
      <c r="E469" s="41" t="n">
        <v>5</v>
      </c>
      <c r="F469" s="42" t="s">
        <v>1162</v>
      </c>
      <c r="G469" s="42" t="s">
        <v>1163</v>
      </c>
      <c r="H469" s="42" t="s">
        <v>1039</v>
      </c>
      <c r="I469" s="42" t="s">
        <v>1077</v>
      </c>
      <c r="J469" s="42"/>
      <c r="K469" s="39" t="s">
        <v>44</v>
      </c>
    </row>
    <row r="470" customFormat="false" ht="15" hidden="false" customHeight="true" outlineLevel="0" collapsed="false">
      <c r="A470" s="35" t="n">
        <v>469</v>
      </c>
      <c r="B470" s="36" t="s">
        <v>1133</v>
      </c>
      <c r="C470" s="35" t="s">
        <v>18</v>
      </c>
      <c r="D470" s="36" t="s">
        <v>1036</v>
      </c>
      <c r="E470" s="37" t="n">
        <v>5</v>
      </c>
      <c r="F470" s="38" t="s">
        <v>1164</v>
      </c>
      <c r="G470" s="38" t="s">
        <v>1165</v>
      </c>
      <c r="H470" s="38" t="s">
        <v>1039</v>
      </c>
      <c r="I470" s="38" t="s">
        <v>1077</v>
      </c>
      <c r="J470" s="38"/>
      <c r="K470" s="35" t="s">
        <v>44</v>
      </c>
    </row>
    <row r="471" customFormat="false" ht="15" hidden="false" customHeight="true" outlineLevel="0" collapsed="false">
      <c r="A471" s="39" t="n">
        <v>470</v>
      </c>
      <c r="B471" s="40" t="s">
        <v>1133</v>
      </c>
      <c r="C471" s="39" t="s">
        <v>18</v>
      </c>
      <c r="D471" s="40" t="s">
        <v>1036</v>
      </c>
      <c r="E471" s="41" t="n">
        <v>5</v>
      </c>
      <c r="F471" s="42" t="s">
        <v>1166</v>
      </c>
      <c r="G471" s="42" t="s">
        <v>1167</v>
      </c>
      <c r="H471" s="42" t="s">
        <v>1039</v>
      </c>
      <c r="I471" s="42" t="s">
        <v>1077</v>
      </c>
      <c r="J471" s="42"/>
      <c r="K471" s="39" t="s">
        <v>44</v>
      </c>
    </row>
    <row r="472" customFormat="false" ht="15" hidden="false" customHeight="true" outlineLevel="0" collapsed="false">
      <c r="A472" s="35" t="n">
        <v>471</v>
      </c>
      <c r="B472" s="36" t="s">
        <v>1133</v>
      </c>
      <c r="C472" s="35" t="s">
        <v>18</v>
      </c>
      <c r="D472" s="36" t="s">
        <v>1036</v>
      </c>
      <c r="E472" s="37" t="n">
        <v>5</v>
      </c>
      <c r="F472" s="38" t="s">
        <v>1168</v>
      </c>
      <c r="G472" s="38" t="s">
        <v>1169</v>
      </c>
      <c r="H472" s="38" t="s">
        <v>1039</v>
      </c>
      <c r="I472" s="38" t="s">
        <v>1077</v>
      </c>
      <c r="J472" s="38"/>
      <c r="K472" s="35" t="s">
        <v>44</v>
      </c>
    </row>
    <row r="473" customFormat="false" ht="15" hidden="false" customHeight="true" outlineLevel="0" collapsed="false">
      <c r="A473" s="39" t="n">
        <v>472</v>
      </c>
      <c r="B473" s="40" t="s">
        <v>1133</v>
      </c>
      <c r="C473" s="39" t="s">
        <v>18</v>
      </c>
      <c r="D473" s="40" t="s">
        <v>1036</v>
      </c>
      <c r="E473" s="41" t="n">
        <v>5</v>
      </c>
      <c r="F473" s="42" t="s">
        <v>1170</v>
      </c>
      <c r="G473" s="42" t="s">
        <v>1171</v>
      </c>
      <c r="H473" s="42" t="s">
        <v>1039</v>
      </c>
      <c r="I473" s="42" t="s">
        <v>1077</v>
      </c>
      <c r="J473" s="42"/>
      <c r="K473" s="39" t="s">
        <v>44</v>
      </c>
    </row>
    <row r="474" customFormat="false" ht="15" hidden="false" customHeight="true" outlineLevel="0" collapsed="false">
      <c r="A474" s="35" t="n">
        <v>473</v>
      </c>
      <c r="B474" s="36" t="s">
        <v>1133</v>
      </c>
      <c r="C474" s="35" t="s">
        <v>18</v>
      </c>
      <c r="D474" s="36" t="s">
        <v>1036</v>
      </c>
      <c r="E474" s="37" t="n">
        <v>5</v>
      </c>
      <c r="F474" s="38" t="s">
        <v>1172</v>
      </c>
      <c r="G474" s="38" t="s">
        <v>1173</v>
      </c>
      <c r="H474" s="38" t="s">
        <v>1039</v>
      </c>
      <c r="I474" s="38" t="s">
        <v>1077</v>
      </c>
      <c r="J474" s="38"/>
      <c r="K474" s="35" t="s">
        <v>44</v>
      </c>
    </row>
    <row r="475" customFormat="false" ht="15" hidden="false" customHeight="true" outlineLevel="0" collapsed="false">
      <c r="A475" s="39" t="n">
        <v>474</v>
      </c>
      <c r="B475" s="40" t="s">
        <v>1174</v>
      </c>
      <c r="C475" s="39" t="s">
        <v>18</v>
      </c>
      <c r="D475" s="40" t="s">
        <v>1036</v>
      </c>
      <c r="E475" s="41" t="n">
        <v>5</v>
      </c>
      <c r="F475" s="42" t="s">
        <v>1175</v>
      </c>
      <c r="G475" s="42" t="s">
        <v>1176</v>
      </c>
      <c r="H475" s="42" t="s">
        <v>1039</v>
      </c>
      <c r="I475" s="42" t="s">
        <v>1077</v>
      </c>
      <c r="J475" s="42"/>
      <c r="K475" s="39" t="s">
        <v>44</v>
      </c>
    </row>
    <row r="476" customFormat="false" ht="15" hidden="false" customHeight="true" outlineLevel="0" collapsed="false">
      <c r="A476" s="35" t="n">
        <v>475</v>
      </c>
      <c r="B476" s="36" t="s">
        <v>1128</v>
      </c>
      <c r="C476" s="35" t="s">
        <v>18</v>
      </c>
      <c r="D476" s="36" t="s">
        <v>1036</v>
      </c>
      <c r="E476" s="37" t="n">
        <v>5</v>
      </c>
      <c r="F476" s="38" t="s">
        <v>1177</v>
      </c>
      <c r="G476" s="38" t="s">
        <v>1178</v>
      </c>
      <c r="H476" s="38" t="s">
        <v>1039</v>
      </c>
      <c r="I476" s="38" t="s">
        <v>1077</v>
      </c>
      <c r="J476" s="38"/>
      <c r="K476" s="35" t="s">
        <v>44</v>
      </c>
    </row>
    <row r="477" customFormat="false" ht="15" hidden="false" customHeight="true" outlineLevel="0" collapsed="false">
      <c r="A477" s="39" t="n">
        <v>476</v>
      </c>
      <c r="B477" s="40" t="s">
        <v>1128</v>
      </c>
      <c r="C477" s="39" t="s">
        <v>18</v>
      </c>
      <c r="D477" s="40" t="s">
        <v>1036</v>
      </c>
      <c r="E477" s="41" t="n">
        <v>5</v>
      </c>
      <c r="F477" s="42" t="s">
        <v>1179</v>
      </c>
      <c r="G477" s="42" t="s">
        <v>1180</v>
      </c>
      <c r="H477" s="42" t="s">
        <v>1039</v>
      </c>
      <c r="I477" s="42" t="s">
        <v>1077</v>
      </c>
      <c r="J477" s="42"/>
      <c r="K477" s="39" t="s">
        <v>44</v>
      </c>
    </row>
    <row r="478" customFormat="false" ht="15" hidden="false" customHeight="true" outlineLevel="0" collapsed="false">
      <c r="A478" s="35" t="n">
        <v>477</v>
      </c>
      <c r="B478" s="36" t="s">
        <v>1128</v>
      </c>
      <c r="C478" s="35" t="s">
        <v>18</v>
      </c>
      <c r="D478" s="36" t="s">
        <v>1036</v>
      </c>
      <c r="E478" s="37" t="n">
        <v>5</v>
      </c>
      <c r="F478" s="38" t="s">
        <v>1181</v>
      </c>
      <c r="G478" s="38" t="s">
        <v>1182</v>
      </c>
      <c r="H478" s="38" t="s">
        <v>1039</v>
      </c>
      <c r="I478" s="38" t="s">
        <v>1077</v>
      </c>
      <c r="J478" s="38"/>
      <c r="K478" s="35" t="s">
        <v>44</v>
      </c>
    </row>
    <row r="479" customFormat="false" ht="15" hidden="false" customHeight="true" outlineLevel="0" collapsed="false">
      <c r="A479" s="39" t="n">
        <v>478</v>
      </c>
      <c r="B479" s="40" t="s">
        <v>1107</v>
      </c>
      <c r="C479" s="39" t="s">
        <v>18</v>
      </c>
      <c r="D479" s="40" t="s">
        <v>1036</v>
      </c>
      <c r="E479" s="41" t="n">
        <v>5</v>
      </c>
      <c r="F479" s="42" t="s">
        <v>1183</v>
      </c>
      <c r="G479" s="42" t="s">
        <v>1184</v>
      </c>
      <c r="H479" s="42" t="s">
        <v>1039</v>
      </c>
      <c r="I479" s="42" t="s">
        <v>1077</v>
      </c>
      <c r="J479" s="42"/>
      <c r="K479" s="39" t="s">
        <v>44</v>
      </c>
    </row>
    <row r="480" customFormat="false" ht="15" hidden="false" customHeight="true" outlineLevel="0" collapsed="false">
      <c r="A480" s="35" t="n">
        <v>479</v>
      </c>
      <c r="B480" s="36" t="s">
        <v>1185</v>
      </c>
      <c r="C480" s="35" t="s">
        <v>23</v>
      </c>
      <c r="D480" s="36" t="s">
        <v>1036</v>
      </c>
      <c r="E480" s="37" t="n">
        <v>5</v>
      </c>
      <c r="F480" s="38" t="s">
        <v>1186</v>
      </c>
      <c r="G480" s="38" t="s">
        <v>1187</v>
      </c>
      <c r="H480" s="38" t="s">
        <v>1039</v>
      </c>
      <c r="I480" s="38" t="s">
        <v>1077</v>
      </c>
      <c r="J480" s="38"/>
      <c r="K480" s="35" t="s">
        <v>44</v>
      </c>
    </row>
    <row r="481" customFormat="false" ht="15" hidden="false" customHeight="true" outlineLevel="0" collapsed="false">
      <c r="A481" s="39" t="n">
        <v>480</v>
      </c>
      <c r="B481" s="40" t="s">
        <v>1185</v>
      </c>
      <c r="C481" s="39" t="s">
        <v>23</v>
      </c>
      <c r="D481" s="40" t="s">
        <v>1036</v>
      </c>
      <c r="E481" s="41" t="n">
        <v>5</v>
      </c>
      <c r="F481" s="42" t="s">
        <v>1188</v>
      </c>
      <c r="G481" s="42" t="s">
        <v>1189</v>
      </c>
      <c r="H481" s="42" t="s">
        <v>1039</v>
      </c>
      <c r="I481" s="42" t="s">
        <v>1077</v>
      </c>
      <c r="J481" s="42"/>
      <c r="K481" s="39" t="s">
        <v>44</v>
      </c>
    </row>
    <row r="482" customFormat="false" ht="15" hidden="false" customHeight="true" outlineLevel="0" collapsed="false">
      <c r="A482" s="35" t="n">
        <v>481</v>
      </c>
      <c r="B482" s="36" t="s">
        <v>1185</v>
      </c>
      <c r="C482" s="35" t="s">
        <v>23</v>
      </c>
      <c r="D482" s="36" t="s">
        <v>1036</v>
      </c>
      <c r="E482" s="37" t="n">
        <v>5</v>
      </c>
      <c r="F482" s="38" t="s">
        <v>1190</v>
      </c>
      <c r="G482" s="38" t="s">
        <v>1191</v>
      </c>
      <c r="H482" s="38" t="s">
        <v>1039</v>
      </c>
      <c r="I482" s="38" t="s">
        <v>1077</v>
      </c>
      <c r="J482" s="38"/>
      <c r="K482" s="35" t="s">
        <v>44</v>
      </c>
    </row>
    <row r="483" customFormat="false" ht="15" hidden="false" customHeight="true" outlineLevel="0" collapsed="false">
      <c r="A483" s="39" t="n">
        <v>482</v>
      </c>
      <c r="B483" s="40" t="s">
        <v>1185</v>
      </c>
      <c r="C483" s="39" t="s">
        <v>23</v>
      </c>
      <c r="D483" s="40" t="s">
        <v>1036</v>
      </c>
      <c r="E483" s="41" t="n">
        <v>5</v>
      </c>
      <c r="F483" s="42" t="s">
        <v>1192</v>
      </c>
      <c r="G483" s="42" t="s">
        <v>1193</v>
      </c>
      <c r="H483" s="42" t="s">
        <v>1039</v>
      </c>
      <c r="I483" s="42" t="s">
        <v>1077</v>
      </c>
      <c r="J483" s="42"/>
      <c r="K483" s="39" t="s">
        <v>44</v>
      </c>
    </row>
    <row r="484" customFormat="false" ht="15" hidden="false" customHeight="true" outlineLevel="0" collapsed="false">
      <c r="A484" s="35" t="n">
        <v>483</v>
      </c>
      <c r="B484" s="36" t="s">
        <v>1185</v>
      </c>
      <c r="C484" s="35" t="s">
        <v>23</v>
      </c>
      <c r="D484" s="36" t="s">
        <v>1036</v>
      </c>
      <c r="E484" s="37" t="n">
        <v>5</v>
      </c>
      <c r="F484" s="38" t="s">
        <v>1194</v>
      </c>
      <c r="G484" s="38" t="s">
        <v>1195</v>
      </c>
      <c r="H484" s="38" t="s">
        <v>1039</v>
      </c>
      <c r="I484" s="38" t="s">
        <v>1077</v>
      </c>
      <c r="J484" s="38"/>
      <c r="K484" s="35" t="s">
        <v>44</v>
      </c>
    </row>
    <row r="485" customFormat="false" ht="15" hidden="false" customHeight="true" outlineLevel="0" collapsed="false">
      <c r="A485" s="39" t="n">
        <v>484</v>
      </c>
      <c r="B485" s="40" t="s">
        <v>1196</v>
      </c>
      <c r="C485" s="39" t="s">
        <v>23</v>
      </c>
      <c r="D485" s="40" t="s">
        <v>1036</v>
      </c>
      <c r="E485" s="41" t="n">
        <v>5</v>
      </c>
      <c r="F485" s="42" t="s">
        <v>1197</v>
      </c>
      <c r="G485" s="42" t="s">
        <v>1198</v>
      </c>
      <c r="H485" s="42" t="s">
        <v>1039</v>
      </c>
      <c r="I485" s="42" t="s">
        <v>1077</v>
      </c>
      <c r="J485" s="42"/>
      <c r="K485" s="39" t="s">
        <v>44</v>
      </c>
    </row>
    <row r="486" customFormat="false" ht="15" hidden="false" customHeight="true" outlineLevel="0" collapsed="false">
      <c r="A486" s="35" t="n">
        <v>485</v>
      </c>
      <c r="B486" s="36" t="s">
        <v>1199</v>
      </c>
      <c r="C486" s="35" t="s">
        <v>23</v>
      </c>
      <c r="D486" s="36" t="s">
        <v>1036</v>
      </c>
      <c r="E486" s="37" t="n">
        <v>5</v>
      </c>
      <c r="F486" s="38" t="s">
        <v>1200</v>
      </c>
      <c r="G486" s="38" t="s">
        <v>1201</v>
      </c>
      <c r="H486" s="38" t="s">
        <v>1039</v>
      </c>
      <c r="I486" s="38" t="s">
        <v>1077</v>
      </c>
      <c r="J486" s="38"/>
      <c r="K486" s="35" t="s">
        <v>44</v>
      </c>
    </row>
    <row r="487" customFormat="false" ht="15" hidden="false" customHeight="true" outlineLevel="0" collapsed="false">
      <c r="A487" s="39" t="n">
        <v>486</v>
      </c>
      <c r="B487" s="40" t="s">
        <v>1202</v>
      </c>
      <c r="C487" s="39" t="s">
        <v>23</v>
      </c>
      <c r="D487" s="40" t="s">
        <v>1036</v>
      </c>
      <c r="E487" s="41" t="n">
        <v>5</v>
      </c>
      <c r="F487" s="42" t="s">
        <v>1203</v>
      </c>
      <c r="G487" s="42" t="s">
        <v>1204</v>
      </c>
      <c r="H487" s="42" t="s">
        <v>1039</v>
      </c>
      <c r="I487" s="42" t="s">
        <v>1077</v>
      </c>
      <c r="J487" s="42"/>
      <c r="K487" s="39" t="s">
        <v>44</v>
      </c>
    </row>
    <row r="488" customFormat="false" ht="15" hidden="false" customHeight="true" outlineLevel="0" collapsed="false">
      <c r="A488" s="35" t="n">
        <v>487</v>
      </c>
      <c r="B488" s="36" t="s">
        <v>1199</v>
      </c>
      <c r="C488" s="35" t="s">
        <v>23</v>
      </c>
      <c r="D488" s="36" t="s">
        <v>1036</v>
      </c>
      <c r="E488" s="37" t="n">
        <v>5</v>
      </c>
      <c r="F488" s="38" t="s">
        <v>1205</v>
      </c>
      <c r="G488" s="38" t="s">
        <v>1206</v>
      </c>
      <c r="H488" s="38" t="s">
        <v>1039</v>
      </c>
      <c r="I488" s="38" t="s">
        <v>1077</v>
      </c>
      <c r="J488" s="38"/>
      <c r="K488" s="35" t="s">
        <v>44</v>
      </c>
    </row>
    <row r="489" customFormat="false" ht="15" hidden="false" customHeight="true" outlineLevel="0" collapsed="false">
      <c r="A489" s="39" t="n">
        <v>488</v>
      </c>
      <c r="B489" s="40" t="s">
        <v>1199</v>
      </c>
      <c r="C489" s="39" t="s">
        <v>23</v>
      </c>
      <c r="D489" s="40" t="s">
        <v>1036</v>
      </c>
      <c r="E489" s="41" t="n">
        <v>5</v>
      </c>
      <c r="F489" s="42" t="s">
        <v>1207</v>
      </c>
      <c r="G489" s="42" t="s">
        <v>1208</v>
      </c>
      <c r="H489" s="42" t="s">
        <v>1039</v>
      </c>
      <c r="I489" s="42" t="s">
        <v>1077</v>
      </c>
      <c r="J489" s="42"/>
      <c r="K489" s="39" t="s">
        <v>44</v>
      </c>
    </row>
    <row r="490" customFormat="false" ht="21.75" hidden="false" customHeight="true" outlineLevel="0" collapsed="false">
      <c r="A490" s="35" t="n">
        <v>489</v>
      </c>
      <c r="B490" s="36" t="s">
        <v>1209</v>
      </c>
      <c r="C490" s="35" t="s">
        <v>16</v>
      </c>
      <c r="D490" s="36" t="s">
        <v>880</v>
      </c>
      <c r="E490" s="37" t="n">
        <v>5</v>
      </c>
      <c r="F490" s="38" t="s">
        <v>1210</v>
      </c>
      <c r="G490" s="38" t="s">
        <v>1211</v>
      </c>
      <c r="H490" s="38" t="s">
        <v>1212</v>
      </c>
      <c r="I490" s="38" t="s">
        <v>1213</v>
      </c>
      <c r="J490" s="38"/>
      <c r="K490" s="35" t="s">
        <v>44</v>
      </c>
    </row>
    <row r="491" customFormat="false" ht="21.75" hidden="false" customHeight="true" outlineLevel="0" collapsed="false">
      <c r="A491" s="39" t="n">
        <v>490</v>
      </c>
      <c r="B491" s="40" t="s">
        <v>1209</v>
      </c>
      <c r="C491" s="39" t="s">
        <v>16</v>
      </c>
      <c r="D491" s="40" t="s">
        <v>880</v>
      </c>
      <c r="E491" s="41" t="n">
        <v>5</v>
      </c>
      <c r="F491" s="42" t="s">
        <v>1214</v>
      </c>
      <c r="G491" s="42" t="s">
        <v>1215</v>
      </c>
      <c r="H491" s="42" t="s">
        <v>1212</v>
      </c>
      <c r="I491" s="42" t="s">
        <v>1213</v>
      </c>
      <c r="J491" s="42"/>
      <c r="K491" s="39" t="s">
        <v>44</v>
      </c>
    </row>
    <row r="492" customFormat="false" ht="21.75" hidden="false" customHeight="true" outlineLevel="0" collapsed="false">
      <c r="A492" s="35" t="n">
        <v>491</v>
      </c>
      <c r="B492" s="36" t="s">
        <v>1209</v>
      </c>
      <c r="C492" s="35" t="s">
        <v>16</v>
      </c>
      <c r="D492" s="36" t="s">
        <v>880</v>
      </c>
      <c r="E492" s="37" t="n">
        <v>5</v>
      </c>
      <c r="F492" s="38" t="s">
        <v>1216</v>
      </c>
      <c r="G492" s="38" t="s">
        <v>1217</v>
      </c>
      <c r="H492" s="38" t="s">
        <v>1212</v>
      </c>
      <c r="I492" s="38" t="s">
        <v>1213</v>
      </c>
      <c r="J492" s="38"/>
      <c r="K492" s="35" t="s">
        <v>44</v>
      </c>
    </row>
    <row r="493" customFormat="false" ht="21.75" hidden="false" customHeight="true" outlineLevel="0" collapsed="false">
      <c r="A493" s="39" t="n">
        <v>492</v>
      </c>
      <c r="B493" s="40" t="s">
        <v>1209</v>
      </c>
      <c r="C493" s="39" t="s">
        <v>16</v>
      </c>
      <c r="D493" s="40" t="s">
        <v>880</v>
      </c>
      <c r="E493" s="41" t="n">
        <v>5</v>
      </c>
      <c r="F493" s="42" t="s">
        <v>1218</v>
      </c>
      <c r="G493" s="42" t="s">
        <v>1219</v>
      </c>
      <c r="H493" s="42" t="s">
        <v>1212</v>
      </c>
      <c r="I493" s="42" t="s">
        <v>1213</v>
      </c>
      <c r="J493" s="42"/>
      <c r="K493" s="39" t="s">
        <v>44</v>
      </c>
    </row>
    <row r="494" customFormat="false" ht="21.75" hidden="false" customHeight="true" outlineLevel="0" collapsed="false">
      <c r="A494" s="35" t="n">
        <v>493</v>
      </c>
      <c r="B494" s="36" t="s">
        <v>1209</v>
      </c>
      <c r="C494" s="35" t="s">
        <v>16</v>
      </c>
      <c r="D494" s="36" t="s">
        <v>880</v>
      </c>
      <c r="E494" s="37" t="n">
        <v>5</v>
      </c>
      <c r="F494" s="38" t="s">
        <v>1220</v>
      </c>
      <c r="G494" s="38" t="s">
        <v>1221</v>
      </c>
      <c r="H494" s="38" t="s">
        <v>1212</v>
      </c>
      <c r="I494" s="38" t="s">
        <v>1213</v>
      </c>
      <c r="J494" s="38"/>
      <c r="K494" s="35" t="s">
        <v>44</v>
      </c>
    </row>
    <row r="495" customFormat="false" ht="21.75" hidden="false" customHeight="true" outlineLevel="0" collapsed="false">
      <c r="A495" s="39" t="n">
        <v>494</v>
      </c>
      <c r="B495" s="40" t="s">
        <v>1209</v>
      </c>
      <c r="C495" s="39" t="s">
        <v>16</v>
      </c>
      <c r="D495" s="40" t="s">
        <v>880</v>
      </c>
      <c r="E495" s="41" t="n">
        <v>5</v>
      </c>
      <c r="F495" s="42" t="s">
        <v>1222</v>
      </c>
      <c r="G495" s="42" t="s">
        <v>1223</v>
      </c>
      <c r="H495" s="42" t="s">
        <v>1212</v>
      </c>
      <c r="I495" s="42" t="s">
        <v>1213</v>
      </c>
      <c r="J495" s="42"/>
      <c r="K495" s="39" t="s">
        <v>44</v>
      </c>
    </row>
    <row r="496" customFormat="false" ht="21.75" hidden="false" customHeight="true" outlineLevel="0" collapsed="false">
      <c r="A496" s="35" t="n">
        <v>495</v>
      </c>
      <c r="B496" s="36" t="s">
        <v>1209</v>
      </c>
      <c r="C496" s="35" t="s">
        <v>16</v>
      </c>
      <c r="D496" s="36" t="s">
        <v>880</v>
      </c>
      <c r="E496" s="37" t="n">
        <v>5</v>
      </c>
      <c r="F496" s="38" t="s">
        <v>1224</v>
      </c>
      <c r="G496" s="38" t="s">
        <v>1225</v>
      </c>
      <c r="H496" s="38" t="s">
        <v>1212</v>
      </c>
      <c r="I496" s="38" t="s">
        <v>1213</v>
      </c>
      <c r="J496" s="38"/>
      <c r="K496" s="35" t="s">
        <v>44</v>
      </c>
    </row>
    <row r="497" customFormat="false" ht="21.75" hidden="false" customHeight="true" outlineLevel="0" collapsed="false">
      <c r="A497" s="39" t="n">
        <v>496</v>
      </c>
      <c r="B497" s="40" t="s">
        <v>1209</v>
      </c>
      <c r="C497" s="39" t="s">
        <v>16</v>
      </c>
      <c r="D497" s="40" t="s">
        <v>880</v>
      </c>
      <c r="E497" s="41" t="n">
        <v>5</v>
      </c>
      <c r="F497" s="42" t="s">
        <v>1226</v>
      </c>
      <c r="G497" s="42" t="s">
        <v>1227</v>
      </c>
      <c r="H497" s="42" t="s">
        <v>1212</v>
      </c>
      <c r="I497" s="42" t="s">
        <v>1213</v>
      </c>
      <c r="J497" s="42"/>
      <c r="K497" s="39" t="s">
        <v>44</v>
      </c>
    </row>
    <row r="498" customFormat="false" ht="21.75" hidden="false" customHeight="true" outlineLevel="0" collapsed="false">
      <c r="A498" s="35" t="n">
        <v>497</v>
      </c>
      <c r="B498" s="36" t="s">
        <v>1209</v>
      </c>
      <c r="C498" s="35" t="s">
        <v>16</v>
      </c>
      <c r="D498" s="36" t="s">
        <v>880</v>
      </c>
      <c r="E498" s="37" t="n">
        <v>5</v>
      </c>
      <c r="F498" s="38" t="s">
        <v>1228</v>
      </c>
      <c r="G498" s="38" t="s">
        <v>1229</v>
      </c>
      <c r="H498" s="38" t="s">
        <v>1212</v>
      </c>
      <c r="I498" s="38" t="s">
        <v>1213</v>
      </c>
      <c r="J498" s="38"/>
      <c r="K498" s="35" t="s">
        <v>44</v>
      </c>
    </row>
    <row r="499" customFormat="false" ht="21.75" hidden="false" customHeight="true" outlineLevel="0" collapsed="false">
      <c r="A499" s="39" t="n">
        <v>498</v>
      </c>
      <c r="B499" s="40" t="s">
        <v>1209</v>
      </c>
      <c r="C499" s="39" t="s">
        <v>16</v>
      </c>
      <c r="D499" s="40" t="s">
        <v>880</v>
      </c>
      <c r="E499" s="41" t="n">
        <v>5</v>
      </c>
      <c r="F499" s="42" t="s">
        <v>1230</v>
      </c>
      <c r="G499" s="42" t="s">
        <v>1231</v>
      </c>
      <c r="H499" s="42" t="s">
        <v>1212</v>
      </c>
      <c r="I499" s="42" t="s">
        <v>1213</v>
      </c>
      <c r="J499" s="42"/>
      <c r="K499" s="39" t="s">
        <v>44</v>
      </c>
    </row>
    <row r="500" customFormat="false" ht="21.75" hidden="false" customHeight="true" outlineLevel="0" collapsed="false">
      <c r="A500" s="35" t="n">
        <v>499</v>
      </c>
      <c r="B500" s="36" t="s">
        <v>1209</v>
      </c>
      <c r="C500" s="35" t="s">
        <v>16</v>
      </c>
      <c r="D500" s="36" t="s">
        <v>880</v>
      </c>
      <c r="E500" s="37" t="n">
        <v>5</v>
      </c>
      <c r="F500" s="38" t="s">
        <v>1232</v>
      </c>
      <c r="G500" s="38" t="s">
        <v>1233</v>
      </c>
      <c r="H500" s="38" t="s">
        <v>1212</v>
      </c>
      <c r="I500" s="38" t="s">
        <v>1213</v>
      </c>
      <c r="J500" s="38"/>
      <c r="K500" s="35" t="s">
        <v>44</v>
      </c>
    </row>
    <row r="501" customFormat="false" ht="21.75" hidden="false" customHeight="true" outlineLevel="0" collapsed="false">
      <c r="A501" s="39" t="n">
        <v>500</v>
      </c>
      <c r="B501" s="40" t="s">
        <v>1209</v>
      </c>
      <c r="C501" s="39" t="s">
        <v>16</v>
      </c>
      <c r="D501" s="40" t="s">
        <v>880</v>
      </c>
      <c r="E501" s="41" t="n">
        <v>5</v>
      </c>
      <c r="F501" s="42" t="s">
        <v>1234</v>
      </c>
      <c r="G501" s="42" t="s">
        <v>1235</v>
      </c>
      <c r="H501" s="42" t="s">
        <v>1212</v>
      </c>
      <c r="I501" s="42" t="s">
        <v>1213</v>
      </c>
      <c r="J501" s="42"/>
      <c r="K501" s="39" t="s">
        <v>44</v>
      </c>
    </row>
    <row r="502" customFormat="false" ht="21.75" hidden="false" customHeight="true" outlineLevel="0" collapsed="false">
      <c r="A502" s="35" t="n">
        <v>501</v>
      </c>
      <c r="B502" s="36" t="s">
        <v>1209</v>
      </c>
      <c r="C502" s="35" t="s">
        <v>16</v>
      </c>
      <c r="D502" s="36" t="s">
        <v>880</v>
      </c>
      <c r="E502" s="37" t="n">
        <v>5</v>
      </c>
      <c r="F502" s="38" t="s">
        <v>1236</v>
      </c>
      <c r="G502" s="38" t="s">
        <v>1237</v>
      </c>
      <c r="H502" s="38" t="s">
        <v>1212</v>
      </c>
      <c r="I502" s="38" t="s">
        <v>1213</v>
      </c>
      <c r="J502" s="38"/>
      <c r="K502" s="35" t="s">
        <v>44</v>
      </c>
    </row>
    <row r="503" customFormat="false" ht="21.75" hidden="false" customHeight="true" outlineLevel="0" collapsed="false">
      <c r="A503" s="39" t="n">
        <v>502</v>
      </c>
      <c r="B503" s="40" t="s">
        <v>1209</v>
      </c>
      <c r="C503" s="39" t="s">
        <v>16</v>
      </c>
      <c r="D503" s="40" t="s">
        <v>880</v>
      </c>
      <c r="E503" s="41" t="n">
        <v>5</v>
      </c>
      <c r="F503" s="42" t="s">
        <v>1238</v>
      </c>
      <c r="G503" s="42" t="s">
        <v>1239</v>
      </c>
      <c r="H503" s="42" t="s">
        <v>1212</v>
      </c>
      <c r="I503" s="42" t="s">
        <v>1213</v>
      </c>
      <c r="J503" s="42"/>
      <c r="K503" s="39" t="s">
        <v>44</v>
      </c>
    </row>
    <row r="504" customFormat="false" ht="21.75" hidden="false" customHeight="true" outlineLevel="0" collapsed="false">
      <c r="A504" s="35" t="n">
        <v>503</v>
      </c>
      <c r="B504" s="36" t="s">
        <v>1209</v>
      </c>
      <c r="C504" s="35" t="s">
        <v>16</v>
      </c>
      <c r="D504" s="36" t="s">
        <v>880</v>
      </c>
      <c r="E504" s="37" t="n">
        <v>5</v>
      </c>
      <c r="F504" s="38" t="s">
        <v>1240</v>
      </c>
      <c r="G504" s="38" t="s">
        <v>1241</v>
      </c>
      <c r="H504" s="38" t="s">
        <v>1212</v>
      </c>
      <c r="I504" s="38" t="s">
        <v>1213</v>
      </c>
      <c r="J504" s="38"/>
      <c r="K504" s="35" t="s">
        <v>44</v>
      </c>
    </row>
    <row r="505" customFormat="false" ht="21.75" hidden="false" customHeight="true" outlineLevel="0" collapsed="false">
      <c r="A505" s="39" t="n">
        <v>504</v>
      </c>
      <c r="B505" s="40" t="s">
        <v>1209</v>
      </c>
      <c r="C505" s="39" t="s">
        <v>16</v>
      </c>
      <c r="D505" s="40" t="s">
        <v>880</v>
      </c>
      <c r="E505" s="41" t="n">
        <v>5</v>
      </c>
      <c r="F505" s="42" t="s">
        <v>1242</v>
      </c>
      <c r="G505" s="42" t="s">
        <v>1243</v>
      </c>
      <c r="H505" s="42" t="s">
        <v>1212</v>
      </c>
      <c r="I505" s="42" t="s">
        <v>1213</v>
      </c>
      <c r="J505" s="42"/>
      <c r="K505" s="39" t="s">
        <v>44</v>
      </c>
    </row>
    <row r="506" customFormat="false" ht="21.75" hidden="false" customHeight="true" outlineLevel="0" collapsed="false">
      <c r="A506" s="35" t="n">
        <v>505</v>
      </c>
      <c r="B506" s="36" t="s">
        <v>1209</v>
      </c>
      <c r="C506" s="35" t="s">
        <v>16</v>
      </c>
      <c r="D506" s="36" t="s">
        <v>880</v>
      </c>
      <c r="E506" s="37" t="n">
        <v>5</v>
      </c>
      <c r="F506" s="38" t="s">
        <v>1244</v>
      </c>
      <c r="G506" s="38" t="s">
        <v>1245</v>
      </c>
      <c r="H506" s="38" t="s">
        <v>1212</v>
      </c>
      <c r="I506" s="38" t="s">
        <v>1213</v>
      </c>
      <c r="J506" s="38"/>
      <c r="K506" s="35" t="s">
        <v>44</v>
      </c>
    </row>
    <row r="507" customFormat="false" ht="21.75" hidden="false" customHeight="true" outlineLevel="0" collapsed="false">
      <c r="A507" s="39" t="n">
        <v>506</v>
      </c>
      <c r="B507" s="40" t="s">
        <v>1209</v>
      </c>
      <c r="C507" s="39" t="s">
        <v>16</v>
      </c>
      <c r="D507" s="40" t="s">
        <v>880</v>
      </c>
      <c r="E507" s="41" t="n">
        <v>5</v>
      </c>
      <c r="F507" s="42" t="s">
        <v>1246</v>
      </c>
      <c r="G507" s="42" t="s">
        <v>1247</v>
      </c>
      <c r="H507" s="42" t="s">
        <v>1212</v>
      </c>
      <c r="I507" s="42" t="s">
        <v>1213</v>
      </c>
      <c r="J507" s="42"/>
      <c r="K507" s="39" t="s">
        <v>44</v>
      </c>
    </row>
    <row r="508" customFormat="false" ht="21.75" hidden="false" customHeight="true" outlineLevel="0" collapsed="false">
      <c r="A508" s="35" t="n">
        <v>507</v>
      </c>
      <c r="B508" s="36" t="s">
        <v>1248</v>
      </c>
      <c r="C508" s="35" t="s">
        <v>16</v>
      </c>
      <c r="D508" s="36" t="s">
        <v>880</v>
      </c>
      <c r="E508" s="37" t="n">
        <v>5</v>
      </c>
      <c r="F508" s="38" t="s">
        <v>1249</v>
      </c>
      <c r="G508" s="38" t="s">
        <v>1250</v>
      </c>
      <c r="H508" s="38" t="s">
        <v>1212</v>
      </c>
      <c r="I508" s="38" t="s">
        <v>1213</v>
      </c>
      <c r="J508" s="38"/>
      <c r="K508" s="35" t="s">
        <v>44</v>
      </c>
    </row>
    <row r="509" customFormat="false" ht="21.75" hidden="false" customHeight="true" outlineLevel="0" collapsed="false">
      <c r="A509" s="39" t="n">
        <v>508</v>
      </c>
      <c r="B509" s="40" t="s">
        <v>1248</v>
      </c>
      <c r="C509" s="39" t="s">
        <v>16</v>
      </c>
      <c r="D509" s="40" t="s">
        <v>880</v>
      </c>
      <c r="E509" s="41" t="n">
        <v>5</v>
      </c>
      <c r="F509" s="42" t="s">
        <v>1251</v>
      </c>
      <c r="G509" s="42" t="s">
        <v>1252</v>
      </c>
      <c r="H509" s="42" t="s">
        <v>1212</v>
      </c>
      <c r="I509" s="42" t="s">
        <v>1213</v>
      </c>
      <c r="J509" s="42"/>
      <c r="K509" s="39" t="s">
        <v>44</v>
      </c>
    </row>
    <row r="510" customFormat="false" ht="21.75" hidden="false" customHeight="true" outlineLevel="0" collapsed="false">
      <c r="A510" s="35" t="n">
        <v>509</v>
      </c>
      <c r="B510" s="36" t="s">
        <v>1248</v>
      </c>
      <c r="C510" s="35" t="s">
        <v>16</v>
      </c>
      <c r="D510" s="36" t="s">
        <v>880</v>
      </c>
      <c r="E510" s="37" t="n">
        <v>5</v>
      </c>
      <c r="F510" s="38" t="s">
        <v>1253</v>
      </c>
      <c r="G510" s="38" t="s">
        <v>1254</v>
      </c>
      <c r="H510" s="38" t="s">
        <v>1212</v>
      </c>
      <c r="I510" s="38" t="s">
        <v>1213</v>
      </c>
      <c r="J510" s="38"/>
      <c r="K510" s="35" t="s">
        <v>44</v>
      </c>
    </row>
    <row r="511" customFormat="false" ht="21.75" hidden="false" customHeight="true" outlineLevel="0" collapsed="false">
      <c r="A511" s="39" t="n">
        <v>510</v>
      </c>
      <c r="B511" s="40" t="s">
        <v>1248</v>
      </c>
      <c r="C511" s="39" t="s">
        <v>16</v>
      </c>
      <c r="D511" s="40" t="s">
        <v>880</v>
      </c>
      <c r="E511" s="41" t="n">
        <v>5</v>
      </c>
      <c r="F511" s="42" t="s">
        <v>1255</v>
      </c>
      <c r="G511" s="42" t="s">
        <v>1256</v>
      </c>
      <c r="H511" s="42" t="s">
        <v>1212</v>
      </c>
      <c r="I511" s="42" t="s">
        <v>1213</v>
      </c>
      <c r="J511" s="42"/>
      <c r="K511" s="39" t="s">
        <v>44</v>
      </c>
    </row>
    <row r="512" customFormat="false" ht="21.75" hidden="false" customHeight="true" outlineLevel="0" collapsed="false">
      <c r="A512" s="35" t="n">
        <v>511</v>
      </c>
      <c r="B512" s="36" t="s">
        <v>1248</v>
      </c>
      <c r="C512" s="35" t="s">
        <v>16</v>
      </c>
      <c r="D512" s="36" t="s">
        <v>880</v>
      </c>
      <c r="E512" s="37" t="n">
        <v>5</v>
      </c>
      <c r="F512" s="38" t="s">
        <v>1257</v>
      </c>
      <c r="G512" s="38" t="s">
        <v>1258</v>
      </c>
      <c r="H512" s="38" t="s">
        <v>1212</v>
      </c>
      <c r="I512" s="38" t="s">
        <v>1213</v>
      </c>
      <c r="J512" s="38"/>
      <c r="K512" s="35" t="s">
        <v>44</v>
      </c>
    </row>
    <row r="513" customFormat="false" ht="21.75" hidden="false" customHeight="true" outlineLevel="0" collapsed="false">
      <c r="A513" s="39" t="n">
        <v>512</v>
      </c>
      <c r="B513" s="40" t="s">
        <v>1248</v>
      </c>
      <c r="C513" s="39" t="s">
        <v>16</v>
      </c>
      <c r="D513" s="40" t="s">
        <v>880</v>
      </c>
      <c r="E513" s="41" t="n">
        <v>5</v>
      </c>
      <c r="F513" s="42" t="s">
        <v>1259</v>
      </c>
      <c r="G513" s="42" t="s">
        <v>1260</v>
      </c>
      <c r="H513" s="42" t="s">
        <v>1212</v>
      </c>
      <c r="I513" s="42" t="s">
        <v>1213</v>
      </c>
      <c r="J513" s="42"/>
      <c r="K513" s="39" t="s">
        <v>44</v>
      </c>
    </row>
    <row r="514" customFormat="false" ht="21.75" hidden="false" customHeight="true" outlineLevel="0" collapsed="false">
      <c r="A514" s="35" t="n">
        <v>513</v>
      </c>
      <c r="B514" s="36" t="s">
        <v>1261</v>
      </c>
      <c r="C514" s="35" t="s">
        <v>16</v>
      </c>
      <c r="D514" s="36" t="s">
        <v>880</v>
      </c>
      <c r="E514" s="37" t="n">
        <v>5</v>
      </c>
      <c r="F514" s="38" t="s">
        <v>1262</v>
      </c>
      <c r="G514" s="38" t="s">
        <v>1263</v>
      </c>
      <c r="H514" s="38" t="s">
        <v>1212</v>
      </c>
      <c r="I514" s="38" t="s">
        <v>1213</v>
      </c>
      <c r="J514" s="38"/>
      <c r="K514" s="35" t="s">
        <v>44</v>
      </c>
    </row>
    <row r="515" customFormat="false" ht="21.75" hidden="false" customHeight="true" outlineLevel="0" collapsed="false">
      <c r="A515" s="39" t="n">
        <v>514</v>
      </c>
      <c r="B515" s="40" t="s">
        <v>1264</v>
      </c>
      <c r="C515" s="39" t="s">
        <v>16</v>
      </c>
      <c r="D515" s="40" t="s">
        <v>880</v>
      </c>
      <c r="E515" s="41" t="n">
        <v>5</v>
      </c>
      <c r="F515" s="42" t="s">
        <v>1265</v>
      </c>
      <c r="G515" s="42" t="s">
        <v>1266</v>
      </c>
      <c r="H515" s="42" t="s">
        <v>1267</v>
      </c>
      <c r="I515" s="42" t="s">
        <v>1213</v>
      </c>
      <c r="J515" s="42"/>
      <c r="K515" s="39" t="s">
        <v>44</v>
      </c>
    </row>
    <row r="516" customFormat="false" ht="21.75" hidden="false" customHeight="true" outlineLevel="0" collapsed="false">
      <c r="A516" s="35" t="n">
        <v>515</v>
      </c>
      <c r="B516" s="36" t="s">
        <v>1268</v>
      </c>
      <c r="C516" s="35" t="s">
        <v>16</v>
      </c>
      <c r="D516" s="36" t="s">
        <v>880</v>
      </c>
      <c r="E516" s="37" t="n">
        <v>5</v>
      </c>
      <c r="F516" s="38" t="s">
        <v>1269</v>
      </c>
      <c r="G516" s="38" t="s">
        <v>1270</v>
      </c>
      <c r="H516" s="38" t="s">
        <v>1212</v>
      </c>
      <c r="I516" s="38" t="s">
        <v>1213</v>
      </c>
      <c r="J516" s="38"/>
      <c r="K516" s="35" t="s">
        <v>44</v>
      </c>
    </row>
    <row r="517" customFormat="false" ht="21.75" hidden="false" customHeight="true" outlineLevel="0" collapsed="false">
      <c r="A517" s="39" t="n">
        <v>516</v>
      </c>
      <c r="B517" s="40" t="s">
        <v>1271</v>
      </c>
      <c r="C517" s="39" t="s">
        <v>16</v>
      </c>
      <c r="D517" s="40" t="s">
        <v>880</v>
      </c>
      <c r="E517" s="41" t="n">
        <v>5</v>
      </c>
      <c r="F517" s="42" t="s">
        <v>1272</v>
      </c>
      <c r="G517" s="42" t="s">
        <v>1273</v>
      </c>
      <c r="H517" s="42" t="s">
        <v>1267</v>
      </c>
      <c r="I517" s="42" t="s">
        <v>1213</v>
      </c>
      <c r="J517" s="42"/>
      <c r="K517" s="39" t="s">
        <v>44</v>
      </c>
    </row>
    <row r="518" customFormat="false" ht="21.75" hidden="false" customHeight="true" outlineLevel="0" collapsed="false">
      <c r="A518" s="35" t="n">
        <v>517</v>
      </c>
      <c r="B518" s="36" t="s">
        <v>1274</v>
      </c>
      <c r="C518" s="35" t="s">
        <v>16</v>
      </c>
      <c r="D518" s="36" t="s">
        <v>880</v>
      </c>
      <c r="E518" s="37" t="n">
        <v>5</v>
      </c>
      <c r="F518" s="38" t="s">
        <v>1275</v>
      </c>
      <c r="G518" s="38" t="s">
        <v>1276</v>
      </c>
      <c r="H518" s="38" t="s">
        <v>1212</v>
      </c>
      <c r="I518" s="38" t="s">
        <v>1213</v>
      </c>
      <c r="J518" s="38"/>
      <c r="K518" s="35" t="s">
        <v>44</v>
      </c>
    </row>
    <row r="519" customFormat="false" ht="21.75" hidden="false" customHeight="true" outlineLevel="0" collapsed="false">
      <c r="A519" s="39" t="n">
        <v>518</v>
      </c>
      <c r="B519" s="40" t="s">
        <v>1274</v>
      </c>
      <c r="C519" s="39" t="s">
        <v>16</v>
      </c>
      <c r="D519" s="40" t="s">
        <v>880</v>
      </c>
      <c r="E519" s="41" t="n">
        <v>5</v>
      </c>
      <c r="F519" s="42" t="s">
        <v>1277</v>
      </c>
      <c r="G519" s="42" t="s">
        <v>1278</v>
      </c>
      <c r="H519" s="42" t="s">
        <v>1212</v>
      </c>
      <c r="I519" s="42" t="s">
        <v>1213</v>
      </c>
      <c r="J519" s="42"/>
      <c r="K519" s="39" t="s">
        <v>44</v>
      </c>
    </row>
    <row r="520" customFormat="false" ht="21.75" hidden="false" customHeight="true" outlineLevel="0" collapsed="false">
      <c r="A520" s="35" t="n">
        <v>519</v>
      </c>
      <c r="B520" s="36" t="s">
        <v>1264</v>
      </c>
      <c r="C520" s="35" t="s">
        <v>16</v>
      </c>
      <c r="D520" s="36" t="s">
        <v>880</v>
      </c>
      <c r="E520" s="37" t="n">
        <v>5</v>
      </c>
      <c r="F520" s="38" t="s">
        <v>1279</v>
      </c>
      <c r="G520" s="38" t="s">
        <v>1280</v>
      </c>
      <c r="H520" s="38" t="s">
        <v>1267</v>
      </c>
      <c r="I520" s="38" t="s">
        <v>1213</v>
      </c>
      <c r="J520" s="38"/>
      <c r="K520" s="35" t="s">
        <v>44</v>
      </c>
    </row>
    <row r="521" customFormat="false" ht="21.75" hidden="false" customHeight="true" outlineLevel="0" collapsed="false">
      <c r="A521" s="39" t="n">
        <v>520</v>
      </c>
      <c r="B521" s="40" t="s">
        <v>1264</v>
      </c>
      <c r="C521" s="39" t="s">
        <v>16</v>
      </c>
      <c r="D521" s="40" t="s">
        <v>880</v>
      </c>
      <c r="E521" s="41" t="n">
        <v>5</v>
      </c>
      <c r="F521" s="42" t="s">
        <v>1281</v>
      </c>
      <c r="G521" s="42" t="s">
        <v>1282</v>
      </c>
      <c r="H521" s="42" t="s">
        <v>1267</v>
      </c>
      <c r="I521" s="42" t="s">
        <v>1213</v>
      </c>
      <c r="J521" s="42"/>
      <c r="K521" s="39" t="s">
        <v>44</v>
      </c>
    </row>
    <row r="522" customFormat="false" ht="21.75" hidden="false" customHeight="true" outlineLevel="0" collapsed="false">
      <c r="A522" s="35" t="n">
        <v>521</v>
      </c>
      <c r="B522" s="36" t="s">
        <v>1264</v>
      </c>
      <c r="C522" s="35" t="s">
        <v>16</v>
      </c>
      <c r="D522" s="36" t="s">
        <v>880</v>
      </c>
      <c r="E522" s="37" t="n">
        <v>5</v>
      </c>
      <c r="F522" s="38" t="s">
        <v>1283</v>
      </c>
      <c r="G522" s="38" t="s">
        <v>1284</v>
      </c>
      <c r="H522" s="38" t="s">
        <v>1267</v>
      </c>
      <c r="I522" s="38" t="s">
        <v>1213</v>
      </c>
      <c r="J522" s="38"/>
      <c r="K522" s="35" t="s">
        <v>44</v>
      </c>
    </row>
    <row r="523" customFormat="false" ht="21.75" hidden="false" customHeight="true" outlineLevel="0" collapsed="false">
      <c r="A523" s="39" t="n">
        <v>522</v>
      </c>
      <c r="B523" s="40" t="s">
        <v>1264</v>
      </c>
      <c r="C523" s="39" t="s">
        <v>16</v>
      </c>
      <c r="D523" s="40" t="s">
        <v>880</v>
      </c>
      <c r="E523" s="41" t="n">
        <v>5</v>
      </c>
      <c r="F523" s="42" t="s">
        <v>1285</v>
      </c>
      <c r="G523" s="42" t="s">
        <v>1286</v>
      </c>
      <c r="H523" s="42" t="s">
        <v>1267</v>
      </c>
      <c r="I523" s="42" t="s">
        <v>1213</v>
      </c>
      <c r="J523" s="42"/>
      <c r="K523" s="39" t="s">
        <v>44</v>
      </c>
    </row>
    <row r="524" customFormat="false" ht="21.75" hidden="false" customHeight="true" outlineLevel="0" collapsed="false">
      <c r="A524" s="35" t="n">
        <v>523</v>
      </c>
      <c r="B524" s="36" t="s">
        <v>1264</v>
      </c>
      <c r="C524" s="35" t="s">
        <v>16</v>
      </c>
      <c r="D524" s="36" t="s">
        <v>880</v>
      </c>
      <c r="E524" s="37" t="n">
        <v>5</v>
      </c>
      <c r="F524" s="38" t="s">
        <v>1287</v>
      </c>
      <c r="G524" s="38" t="s">
        <v>1288</v>
      </c>
      <c r="H524" s="38" t="s">
        <v>1267</v>
      </c>
      <c r="I524" s="38" t="s">
        <v>1213</v>
      </c>
      <c r="J524" s="38"/>
      <c r="K524" s="35" t="s">
        <v>44</v>
      </c>
    </row>
    <row r="525" customFormat="false" ht="21.75" hidden="false" customHeight="true" outlineLevel="0" collapsed="false">
      <c r="A525" s="39" t="n">
        <v>524</v>
      </c>
      <c r="B525" s="40" t="s">
        <v>1264</v>
      </c>
      <c r="C525" s="39" t="s">
        <v>16</v>
      </c>
      <c r="D525" s="40" t="s">
        <v>880</v>
      </c>
      <c r="E525" s="41" t="n">
        <v>5</v>
      </c>
      <c r="F525" s="42" t="s">
        <v>1289</v>
      </c>
      <c r="G525" s="42" t="s">
        <v>1290</v>
      </c>
      <c r="H525" s="42" t="s">
        <v>1267</v>
      </c>
      <c r="I525" s="42" t="s">
        <v>1213</v>
      </c>
      <c r="J525" s="42"/>
      <c r="K525" s="39" t="s">
        <v>44</v>
      </c>
    </row>
    <row r="526" customFormat="false" ht="21.75" hidden="false" customHeight="true" outlineLevel="0" collapsed="false">
      <c r="A526" s="35" t="n">
        <v>525</v>
      </c>
      <c r="B526" s="36" t="s">
        <v>1264</v>
      </c>
      <c r="C526" s="35" t="s">
        <v>16</v>
      </c>
      <c r="D526" s="36" t="s">
        <v>880</v>
      </c>
      <c r="E526" s="37" t="n">
        <v>5</v>
      </c>
      <c r="F526" s="38" t="s">
        <v>1291</v>
      </c>
      <c r="G526" s="38" t="s">
        <v>1292</v>
      </c>
      <c r="H526" s="38" t="s">
        <v>1267</v>
      </c>
      <c r="I526" s="38" t="s">
        <v>1213</v>
      </c>
      <c r="J526" s="38"/>
      <c r="K526" s="35" t="s">
        <v>44</v>
      </c>
    </row>
    <row r="527" customFormat="false" ht="21.75" hidden="false" customHeight="true" outlineLevel="0" collapsed="false">
      <c r="A527" s="39" t="n">
        <v>526</v>
      </c>
      <c r="B527" s="40" t="s">
        <v>1264</v>
      </c>
      <c r="C527" s="39" t="s">
        <v>16</v>
      </c>
      <c r="D527" s="40" t="s">
        <v>880</v>
      </c>
      <c r="E527" s="41" t="n">
        <v>5</v>
      </c>
      <c r="F527" s="42" t="s">
        <v>1293</v>
      </c>
      <c r="G527" s="42" t="s">
        <v>1294</v>
      </c>
      <c r="H527" s="42" t="s">
        <v>1267</v>
      </c>
      <c r="I527" s="42" t="s">
        <v>1213</v>
      </c>
      <c r="J527" s="42"/>
      <c r="K527" s="39" t="s">
        <v>44</v>
      </c>
    </row>
    <row r="528" customFormat="false" ht="21.75" hidden="false" customHeight="true" outlineLevel="0" collapsed="false">
      <c r="A528" s="35" t="n">
        <v>527</v>
      </c>
      <c r="B528" s="36" t="s">
        <v>1264</v>
      </c>
      <c r="C528" s="35" t="s">
        <v>16</v>
      </c>
      <c r="D528" s="36" t="s">
        <v>880</v>
      </c>
      <c r="E528" s="37" t="n">
        <v>5</v>
      </c>
      <c r="F528" s="38" t="s">
        <v>1295</v>
      </c>
      <c r="G528" s="38" t="s">
        <v>1296</v>
      </c>
      <c r="H528" s="38" t="s">
        <v>1267</v>
      </c>
      <c r="I528" s="38" t="s">
        <v>1213</v>
      </c>
      <c r="J528" s="38"/>
      <c r="K528" s="35" t="s">
        <v>44</v>
      </c>
    </row>
    <row r="529" customFormat="false" ht="21.75" hidden="false" customHeight="true" outlineLevel="0" collapsed="false">
      <c r="A529" s="39" t="n">
        <v>528</v>
      </c>
      <c r="B529" s="40" t="s">
        <v>1264</v>
      </c>
      <c r="C529" s="39" t="s">
        <v>16</v>
      </c>
      <c r="D529" s="40" t="s">
        <v>880</v>
      </c>
      <c r="E529" s="41" t="n">
        <v>5</v>
      </c>
      <c r="F529" s="42" t="s">
        <v>1297</v>
      </c>
      <c r="G529" s="42" t="s">
        <v>1298</v>
      </c>
      <c r="H529" s="42" t="s">
        <v>1267</v>
      </c>
      <c r="I529" s="42" t="s">
        <v>1213</v>
      </c>
      <c r="J529" s="42"/>
      <c r="K529" s="39" t="s">
        <v>44</v>
      </c>
    </row>
    <row r="530" customFormat="false" ht="21.75" hidden="false" customHeight="true" outlineLevel="0" collapsed="false">
      <c r="A530" s="35" t="n">
        <v>529</v>
      </c>
      <c r="B530" s="36" t="s">
        <v>1268</v>
      </c>
      <c r="C530" s="35" t="s">
        <v>16</v>
      </c>
      <c r="D530" s="36" t="s">
        <v>880</v>
      </c>
      <c r="E530" s="37" t="n">
        <v>5</v>
      </c>
      <c r="F530" s="38" t="s">
        <v>1299</v>
      </c>
      <c r="G530" s="38" t="s">
        <v>1300</v>
      </c>
      <c r="H530" s="38" t="s">
        <v>1212</v>
      </c>
      <c r="I530" s="38" t="s">
        <v>1213</v>
      </c>
      <c r="J530" s="38"/>
      <c r="K530" s="35" t="s">
        <v>44</v>
      </c>
    </row>
    <row r="531" customFormat="false" ht="21.75" hidden="false" customHeight="true" outlineLevel="0" collapsed="false">
      <c r="A531" s="39" t="n">
        <v>530</v>
      </c>
      <c r="B531" s="40" t="s">
        <v>1301</v>
      </c>
      <c r="C531" s="39" t="s">
        <v>16</v>
      </c>
      <c r="D531" s="40" t="s">
        <v>880</v>
      </c>
      <c r="E531" s="41" t="n">
        <v>5</v>
      </c>
      <c r="F531" s="42" t="s">
        <v>1302</v>
      </c>
      <c r="G531" s="42" t="s">
        <v>1303</v>
      </c>
      <c r="H531" s="42" t="s">
        <v>1304</v>
      </c>
      <c r="I531" s="42" t="s">
        <v>1213</v>
      </c>
      <c r="J531" s="42"/>
      <c r="K531" s="39" t="s">
        <v>44</v>
      </c>
    </row>
    <row r="532" customFormat="false" ht="21.75" hidden="false" customHeight="true" outlineLevel="0" collapsed="false">
      <c r="A532" s="35" t="n">
        <v>531</v>
      </c>
      <c r="B532" s="36" t="s">
        <v>1301</v>
      </c>
      <c r="C532" s="35" t="s">
        <v>16</v>
      </c>
      <c r="D532" s="36" t="s">
        <v>880</v>
      </c>
      <c r="E532" s="37" t="n">
        <v>5</v>
      </c>
      <c r="F532" s="38" t="s">
        <v>1305</v>
      </c>
      <c r="G532" s="38" t="s">
        <v>1306</v>
      </c>
      <c r="H532" s="38" t="s">
        <v>1304</v>
      </c>
      <c r="I532" s="38" t="s">
        <v>1213</v>
      </c>
      <c r="J532" s="38"/>
      <c r="K532" s="35" t="s">
        <v>44</v>
      </c>
    </row>
    <row r="533" customFormat="false" ht="21.75" hidden="false" customHeight="true" outlineLevel="0" collapsed="false">
      <c r="A533" s="39" t="n">
        <v>532</v>
      </c>
      <c r="B533" s="40" t="s">
        <v>1301</v>
      </c>
      <c r="C533" s="39" t="s">
        <v>16</v>
      </c>
      <c r="D533" s="40" t="s">
        <v>880</v>
      </c>
      <c r="E533" s="41" t="n">
        <v>5</v>
      </c>
      <c r="F533" s="42" t="s">
        <v>1307</v>
      </c>
      <c r="G533" s="42" t="s">
        <v>1308</v>
      </c>
      <c r="H533" s="42" t="s">
        <v>1304</v>
      </c>
      <c r="I533" s="42" t="s">
        <v>1213</v>
      </c>
      <c r="J533" s="42"/>
      <c r="K533" s="39" t="s">
        <v>44</v>
      </c>
    </row>
    <row r="534" customFormat="false" ht="21.75" hidden="false" customHeight="true" outlineLevel="0" collapsed="false">
      <c r="A534" s="35" t="n">
        <v>533</v>
      </c>
      <c r="B534" s="36" t="s">
        <v>1301</v>
      </c>
      <c r="C534" s="35" t="s">
        <v>16</v>
      </c>
      <c r="D534" s="36" t="s">
        <v>880</v>
      </c>
      <c r="E534" s="37" t="n">
        <v>5</v>
      </c>
      <c r="F534" s="38" t="s">
        <v>1309</v>
      </c>
      <c r="G534" s="38" t="s">
        <v>1310</v>
      </c>
      <c r="H534" s="38" t="s">
        <v>1304</v>
      </c>
      <c r="I534" s="38" t="s">
        <v>1213</v>
      </c>
      <c r="J534" s="38"/>
      <c r="K534" s="35" t="s">
        <v>44</v>
      </c>
    </row>
    <row r="535" customFormat="false" ht="21.75" hidden="false" customHeight="true" outlineLevel="0" collapsed="false">
      <c r="A535" s="39" t="n">
        <v>534</v>
      </c>
      <c r="B535" s="40" t="s">
        <v>1301</v>
      </c>
      <c r="C535" s="39" t="s">
        <v>16</v>
      </c>
      <c r="D535" s="40" t="s">
        <v>880</v>
      </c>
      <c r="E535" s="41" t="n">
        <v>5</v>
      </c>
      <c r="F535" s="42" t="s">
        <v>1311</v>
      </c>
      <c r="G535" s="42" t="s">
        <v>1312</v>
      </c>
      <c r="H535" s="42" t="s">
        <v>1304</v>
      </c>
      <c r="I535" s="42" t="s">
        <v>1213</v>
      </c>
      <c r="J535" s="42"/>
      <c r="K535" s="39" t="s">
        <v>44</v>
      </c>
    </row>
    <row r="536" customFormat="false" ht="21.75" hidden="false" customHeight="true" outlineLevel="0" collapsed="false">
      <c r="A536" s="35" t="n">
        <v>535</v>
      </c>
      <c r="B536" s="36" t="s">
        <v>1301</v>
      </c>
      <c r="C536" s="35" t="s">
        <v>16</v>
      </c>
      <c r="D536" s="36" t="s">
        <v>880</v>
      </c>
      <c r="E536" s="37" t="n">
        <v>5</v>
      </c>
      <c r="F536" s="38" t="s">
        <v>1313</v>
      </c>
      <c r="G536" s="38" t="s">
        <v>1314</v>
      </c>
      <c r="H536" s="38" t="s">
        <v>1304</v>
      </c>
      <c r="I536" s="38" t="s">
        <v>1213</v>
      </c>
      <c r="J536" s="38"/>
      <c r="K536" s="35" t="s">
        <v>44</v>
      </c>
    </row>
    <row r="537" customFormat="false" ht="21.75" hidden="false" customHeight="true" outlineLevel="0" collapsed="false">
      <c r="A537" s="39" t="n">
        <v>536</v>
      </c>
      <c r="B537" s="40" t="s">
        <v>1315</v>
      </c>
      <c r="C537" s="39" t="s">
        <v>16</v>
      </c>
      <c r="D537" s="40" t="s">
        <v>880</v>
      </c>
      <c r="E537" s="41" t="n">
        <v>5</v>
      </c>
      <c r="F537" s="42" t="s">
        <v>1316</v>
      </c>
      <c r="G537" s="42" t="s">
        <v>1317</v>
      </c>
      <c r="H537" s="42" t="s">
        <v>1304</v>
      </c>
      <c r="I537" s="42" t="s">
        <v>1213</v>
      </c>
      <c r="J537" s="42"/>
      <c r="K537" s="39" t="s">
        <v>44</v>
      </c>
    </row>
    <row r="538" customFormat="false" ht="21.75" hidden="false" customHeight="true" outlineLevel="0" collapsed="false">
      <c r="A538" s="35" t="n">
        <v>537</v>
      </c>
      <c r="B538" s="36" t="s">
        <v>1315</v>
      </c>
      <c r="C538" s="35" t="s">
        <v>16</v>
      </c>
      <c r="D538" s="36" t="s">
        <v>880</v>
      </c>
      <c r="E538" s="37" t="n">
        <v>5</v>
      </c>
      <c r="F538" s="38" t="s">
        <v>1318</v>
      </c>
      <c r="G538" s="38" t="s">
        <v>1319</v>
      </c>
      <c r="H538" s="38" t="s">
        <v>1304</v>
      </c>
      <c r="I538" s="38" t="s">
        <v>1213</v>
      </c>
      <c r="J538" s="38"/>
      <c r="K538" s="35" t="s">
        <v>44</v>
      </c>
    </row>
    <row r="539" customFormat="false" ht="21.75" hidden="false" customHeight="true" outlineLevel="0" collapsed="false">
      <c r="A539" s="39" t="n">
        <v>538</v>
      </c>
      <c r="B539" s="40" t="s">
        <v>1315</v>
      </c>
      <c r="C539" s="39" t="s">
        <v>16</v>
      </c>
      <c r="D539" s="40" t="s">
        <v>880</v>
      </c>
      <c r="E539" s="41" t="n">
        <v>5</v>
      </c>
      <c r="F539" s="42" t="s">
        <v>1320</v>
      </c>
      <c r="G539" s="42" t="s">
        <v>1321</v>
      </c>
      <c r="H539" s="42" t="s">
        <v>1304</v>
      </c>
      <c r="I539" s="42" t="s">
        <v>1213</v>
      </c>
      <c r="J539" s="42"/>
      <c r="K539" s="39" t="s">
        <v>44</v>
      </c>
    </row>
    <row r="540" customFormat="false" ht="21.75" hidden="false" customHeight="true" outlineLevel="0" collapsed="false">
      <c r="A540" s="35" t="n">
        <v>539</v>
      </c>
      <c r="B540" s="36" t="s">
        <v>1315</v>
      </c>
      <c r="C540" s="35" t="s">
        <v>16</v>
      </c>
      <c r="D540" s="36" t="s">
        <v>880</v>
      </c>
      <c r="E540" s="37" t="n">
        <v>5</v>
      </c>
      <c r="F540" s="38" t="s">
        <v>1322</v>
      </c>
      <c r="G540" s="38" t="s">
        <v>1323</v>
      </c>
      <c r="H540" s="38" t="s">
        <v>1304</v>
      </c>
      <c r="I540" s="38" t="s">
        <v>1213</v>
      </c>
      <c r="J540" s="38"/>
      <c r="K540" s="35" t="s">
        <v>44</v>
      </c>
    </row>
    <row r="541" customFormat="false" ht="21.75" hidden="false" customHeight="true" outlineLevel="0" collapsed="false">
      <c r="A541" s="39" t="n">
        <v>540</v>
      </c>
      <c r="B541" s="40" t="s">
        <v>1315</v>
      </c>
      <c r="C541" s="39" t="s">
        <v>16</v>
      </c>
      <c r="D541" s="40" t="s">
        <v>880</v>
      </c>
      <c r="E541" s="41" t="n">
        <v>5</v>
      </c>
      <c r="F541" s="42" t="s">
        <v>1324</v>
      </c>
      <c r="G541" s="42" t="s">
        <v>1325</v>
      </c>
      <c r="H541" s="42" t="s">
        <v>1304</v>
      </c>
      <c r="I541" s="42" t="s">
        <v>1213</v>
      </c>
      <c r="J541" s="42"/>
      <c r="K541" s="39" t="s">
        <v>44</v>
      </c>
    </row>
    <row r="542" customFormat="false" ht="21.75" hidden="false" customHeight="true" outlineLevel="0" collapsed="false">
      <c r="A542" s="35" t="n">
        <v>541</v>
      </c>
      <c r="B542" s="36" t="s">
        <v>1326</v>
      </c>
      <c r="C542" s="35" t="s">
        <v>16</v>
      </c>
      <c r="D542" s="36" t="s">
        <v>880</v>
      </c>
      <c r="E542" s="37" t="n">
        <v>5</v>
      </c>
      <c r="F542" s="38" t="s">
        <v>1327</v>
      </c>
      <c r="G542" s="38" t="s">
        <v>1328</v>
      </c>
      <c r="H542" s="38" t="s">
        <v>1304</v>
      </c>
      <c r="I542" s="38" t="s">
        <v>1213</v>
      </c>
      <c r="J542" s="38"/>
      <c r="K542" s="35" t="s">
        <v>44</v>
      </c>
    </row>
    <row r="543" customFormat="false" ht="21.75" hidden="false" customHeight="true" outlineLevel="0" collapsed="false">
      <c r="A543" s="39" t="n">
        <v>542</v>
      </c>
      <c r="B543" s="40" t="s">
        <v>1326</v>
      </c>
      <c r="C543" s="39" t="s">
        <v>16</v>
      </c>
      <c r="D543" s="40" t="s">
        <v>880</v>
      </c>
      <c r="E543" s="41" t="n">
        <v>5</v>
      </c>
      <c r="F543" s="42" t="s">
        <v>1329</v>
      </c>
      <c r="G543" s="42" t="s">
        <v>1330</v>
      </c>
      <c r="H543" s="42" t="s">
        <v>1304</v>
      </c>
      <c r="I543" s="42" t="s">
        <v>1213</v>
      </c>
      <c r="J543" s="42"/>
      <c r="K543" s="39" t="s">
        <v>44</v>
      </c>
    </row>
    <row r="544" customFormat="false" ht="21.75" hidden="false" customHeight="true" outlineLevel="0" collapsed="false">
      <c r="A544" s="35" t="n">
        <v>543</v>
      </c>
      <c r="B544" s="36" t="s">
        <v>1326</v>
      </c>
      <c r="C544" s="35" t="s">
        <v>16</v>
      </c>
      <c r="D544" s="36" t="s">
        <v>880</v>
      </c>
      <c r="E544" s="37" t="n">
        <v>5</v>
      </c>
      <c r="F544" s="38" t="s">
        <v>1331</v>
      </c>
      <c r="G544" s="38" t="s">
        <v>1332</v>
      </c>
      <c r="H544" s="38" t="s">
        <v>1304</v>
      </c>
      <c r="I544" s="38" t="s">
        <v>1213</v>
      </c>
      <c r="J544" s="38"/>
      <c r="K544" s="35" t="s">
        <v>44</v>
      </c>
    </row>
    <row r="545" customFormat="false" ht="21.75" hidden="false" customHeight="true" outlineLevel="0" collapsed="false">
      <c r="A545" s="39" t="n">
        <v>544</v>
      </c>
      <c r="B545" s="40" t="s">
        <v>1326</v>
      </c>
      <c r="C545" s="39" t="s">
        <v>16</v>
      </c>
      <c r="D545" s="40" t="s">
        <v>880</v>
      </c>
      <c r="E545" s="41" t="n">
        <v>5</v>
      </c>
      <c r="F545" s="42" t="s">
        <v>1333</v>
      </c>
      <c r="G545" s="42" t="s">
        <v>1334</v>
      </c>
      <c r="H545" s="42" t="s">
        <v>1304</v>
      </c>
      <c r="I545" s="42" t="s">
        <v>1213</v>
      </c>
      <c r="J545" s="42"/>
      <c r="K545" s="39" t="s">
        <v>44</v>
      </c>
    </row>
    <row r="546" customFormat="false" ht="21.75" hidden="false" customHeight="true" outlineLevel="0" collapsed="false">
      <c r="A546" s="35" t="n">
        <v>545</v>
      </c>
      <c r="B546" s="36" t="s">
        <v>1326</v>
      </c>
      <c r="C546" s="35" t="s">
        <v>16</v>
      </c>
      <c r="D546" s="36" t="s">
        <v>880</v>
      </c>
      <c r="E546" s="37" t="n">
        <v>5</v>
      </c>
      <c r="F546" s="38" t="s">
        <v>1335</v>
      </c>
      <c r="G546" s="38" t="s">
        <v>1336</v>
      </c>
      <c r="H546" s="38" t="s">
        <v>1304</v>
      </c>
      <c r="I546" s="38" t="s">
        <v>1213</v>
      </c>
      <c r="J546" s="38"/>
      <c r="K546" s="35" t="s">
        <v>44</v>
      </c>
    </row>
    <row r="547" customFormat="false" ht="21.75" hidden="false" customHeight="true" outlineLevel="0" collapsed="false">
      <c r="A547" s="39" t="n">
        <v>546</v>
      </c>
      <c r="B547" s="40" t="s">
        <v>1326</v>
      </c>
      <c r="C547" s="39" t="s">
        <v>16</v>
      </c>
      <c r="D547" s="40" t="s">
        <v>880</v>
      </c>
      <c r="E547" s="41" t="n">
        <v>5</v>
      </c>
      <c r="F547" s="42" t="s">
        <v>1337</v>
      </c>
      <c r="G547" s="42" t="s">
        <v>1338</v>
      </c>
      <c r="H547" s="42" t="s">
        <v>1304</v>
      </c>
      <c r="I547" s="42" t="s">
        <v>1213</v>
      </c>
      <c r="J547" s="42"/>
      <c r="K547" s="39" t="s">
        <v>44</v>
      </c>
    </row>
    <row r="548" customFormat="false" ht="21.75" hidden="false" customHeight="true" outlineLevel="0" collapsed="false">
      <c r="A548" s="35" t="n">
        <v>547</v>
      </c>
      <c r="B548" s="36" t="s">
        <v>1339</v>
      </c>
      <c r="C548" s="35" t="s">
        <v>16</v>
      </c>
      <c r="D548" s="36" t="s">
        <v>880</v>
      </c>
      <c r="E548" s="37" t="n">
        <v>5</v>
      </c>
      <c r="F548" s="38" t="s">
        <v>1340</v>
      </c>
      <c r="G548" s="38" t="s">
        <v>1341</v>
      </c>
      <c r="H548" s="38" t="s">
        <v>1304</v>
      </c>
      <c r="I548" s="38" t="s">
        <v>1213</v>
      </c>
      <c r="J548" s="38"/>
      <c r="K548" s="35" t="s">
        <v>44</v>
      </c>
    </row>
    <row r="549" customFormat="false" ht="21.75" hidden="false" customHeight="true" outlineLevel="0" collapsed="false">
      <c r="A549" s="39" t="n">
        <v>548</v>
      </c>
      <c r="B549" s="40" t="s">
        <v>1301</v>
      </c>
      <c r="C549" s="39" t="s">
        <v>16</v>
      </c>
      <c r="D549" s="40" t="s">
        <v>880</v>
      </c>
      <c r="E549" s="41" t="n">
        <v>5</v>
      </c>
      <c r="F549" s="42" t="s">
        <v>1342</v>
      </c>
      <c r="G549" s="42" t="s">
        <v>1343</v>
      </c>
      <c r="H549" s="42" t="s">
        <v>1304</v>
      </c>
      <c r="I549" s="42" t="s">
        <v>1213</v>
      </c>
      <c r="J549" s="42"/>
      <c r="K549" s="39" t="s">
        <v>44</v>
      </c>
    </row>
    <row r="550" customFormat="false" ht="21.75" hidden="false" customHeight="true" outlineLevel="0" collapsed="false">
      <c r="A550" s="35" t="n">
        <v>549</v>
      </c>
      <c r="B550" s="36" t="s">
        <v>1301</v>
      </c>
      <c r="C550" s="35" t="s">
        <v>16</v>
      </c>
      <c r="D550" s="36" t="s">
        <v>880</v>
      </c>
      <c r="E550" s="37" t="n">
        <v>5</v>
      </c>
      <c r="F550" s="38" t="s">
        <v>1344</v>
      </c>
      <c r="G550" s="38" t="s">
        <v>1345</v>
      </c>
      <c r="H550" s="38" t="s">
        <v>1304</v>
      </c>
      <c r="I550" s="38" t="s">
        <v>1213</v>
      </c>
      <c r="J550" s="38"/>
      <c r="K550" s="35" t="s">
        <v>44</v>
      </c>
    </row>
    <row r="551" customFormat="false" ht="21.75" hidden="false" customHeight="true" outlineLevel="0" collapsed="false">
      <c r="A551" s="39" t="n">
        <v>550</v>
      </c>
      <c r="B551" s="40" t="s">
        <v>1346</v>
      </c>
      <c r="C551" s="39" t="s">
        <v>16</v>
      </c>
      <c r="D551" s="40" t="s">
        <v>880</v>
      </c>
      <c r="E551" s="41" t="n">
        <v>5</v>
      </c>
      <c r="F551" s="42" t="s">
        <v>1347</v>
      </c>
      <c r="G551" s="42" t="s">
        <v>1348</v>
      </c>
      <c r="H551" s="42" t="s">
        <v>1304</v>
      </c>
      <c r="I551" s="42" t="s">
        <v>1213</v>
      </c>
      <c r="J551" s="42"/>
      <c r="K551" s="39" t="s">
        <v>44</v>
      </c>
    </row>
    <row r="552" customFormat="false" ht="21.75" hidden="false" customHeight="true" outlineLevel="0" collapsed="false">
      <c r="A552" s="35" t="n">
        <v>551</v>
      </c>
      <c r="B552" s="36" t="s">
        <v>1346</v>
      </c>
      <c r="C552" s="35" t="s">
        <v>16</v>
      </c>
      <c r="D552" s="36" t="s">
        <v>880</v>
      </c>
      <c r="E552" s="37" t="n">
        <v>5</v>
      </c>
      <c r="F552" s="38" t="s">
        <v>1349</v>
      </c>
      <c r="G552" s="38" t="s">
        <v>1350</v>
      </c>
      <c r="H552" s="38" t="s">
        <v>1304</v>
      </c>
      <c r="I552" s="38" t="s">
        <v>1213</v>
      </c>
      <c r="J552" s="38"/>
      <c r="K552" s="35" t="s">
        <v>44</v>
      </c>
    </row>
    <row r="553" customFormat="false" ht="21.75" hidden="false" customHeight="true" outlineLevel="0" collapsed="false">
      <c r="A553" s="39" t="n">
        <v>552</v>
      </c>
      <c r="B553" s="40" t="s">
        <v>1351</v>
      </c>
      <c r="C553" s="39" t="s">
        <v>16</v>
      </c>
      <c r="D553" s="40" t="s">
        <v>880</v>
      </c>
      <c r="E553" s="41" t="n">
        <v>5</v>
      </c>
      <c r="F553" s="42" t="s">
        <v>1352</v>
      </c>
      <c r="G553" s="42" t="s">
        <v>1353</v>
      </c>
      <c r="H553" s="42" t="s">
        <v>1304</v>
      </c>
      <c r="I553" s="42" t="s">
        <v>1213</v>
      </c>
      <c r="J553" s="42"/>
      <c r="K553" s="39" t="s">
        <v>44</v>
      </c>
    </row>
    <row r="554" customFormat="false" ht="21.75" hidden="false" customHeight="true" outlineLevel="0" collapsed="false">
      <c r="A554" s="35" t="n">
        <v>553</v>
      </c>
      <c r="B554" s="36" t="s">
        <v>1354</v>
      </c>
      <c r="C554" s="35" t="s">
        <v>16</v>
      </c>
      <c r="D554" s="36" t="s">
        <v>880</v>
      </c>
      <c r="E554" s="37" t="n">
        <v>5</v>
      </c>
      <c r="F554" s="38" t="s">
        <v>1355</v>
      </c>
      <c r="G554" s="38" t="s">
        <v>1356</v>
      </c>
      <c r="H554" s="38" t="s">
        <v>1304</v>
      </c>
      <c r="I554" s="38" t="s">
        <v>1213</v>
      </c>
      <c r="J554" s="38"/>
      <c r="K554" s="35" t="s">
        <v>44</v>
      </c>
    </row>
    <row r="555" customFormat="false" ht="21.75" hidden="false" customHeight="true" outlineLevel="0" collapsed="false">
      <c r="A555" s="39" t="n">
        <v>554</v>
      </c>
      <c r="B555" s="40" t="s">
        <v>1357</v>
      </c>
      <c r="C555" s="39" t="s">
        <v>16</v>
      </c>
      <c r="D555" s="40" t="s">
        <v>880</v>
      </c>
      <c r="E555" s="41" t="n">
        <v>5</v>
      </c>
      <c r="F555" s="42" t="s">
        <v>1358</v>
      </c>
      <c r="G555" s="42" t="s">
        <v>1359</v>
      </c>
      <c r="H555" s="42" t="s">
        <v>1304</v>
      </c>
      <c r="I555" s="42" t="s">
        <v>1213</v>
      </c>
      <c r="J555" s="42"/>
      <c r="K555" s="39" t="s">
        <v>44</v>
      </c>
    </row>
    <row r="556" customFormat="false" ht="21.75" hidden="false" customHeight="true" outlineLevel="0" collapsed="false">
      <c r="A556" s="35" t="n">
        <v>555</v>
      </c>
      <c r="B556" s="36" t="s">
        <v>1357</v>
      </c>
      <c r="C556" s="35" t="s">
        <v>16</v>
      </c>
      <c r="D556" s="36" t="s">
        <v>880</v>
      </c>
      <c r="E556" s="37" t="n">
        <v>5</v>
      </c>
      <c r="F556" s="38" t="s">
        <v>1360</v>
      </c>
      <c r="G556" s="38" t="s">
        <v>1361</v>
      </c>
      <c r="H556" s="38" t="s">
        <v>1304</v>
      </c>
      <c r="I556" s="38" t="s">
        <v>1213</v>
      </c>
      <c r="J556" s="38"/>
      <c r="K556" s="35" t="s">
        <v>44</v>
      </c>
    </row>
    <row r="557" customFormat="false" ht="21.75" hidden="false" customHeight="true" outlineLevel="0" collapsed="false">
      <c r="A557" s="39" t="n">
        <v>556</v>
      </c>
      <c r="B557" s="40" t="s">
        <v>1362</v>
      </c>
      <c r="C557" s="39" t="s">
        <v>16</v>
      </c>
      <c r="D557" s="40" t="s">
        <v>880</v>
      </c>
      <c r="E557" s="41" t="n">
        <v>5</v>
      </c>
      <c r="F557" s="42" t="s">
        <v>1363</v>
      </c>
      <c r="G557" s="42" t="s">
        <v>1364</v>
      </c>
      <c r="H557" s="42" t="s">
        <v>1304</v>
      </c>
      <c r="I557" s="42" t="s">
        <v>1213</v>
      </c>
      <c r="J557" s="42"/>
      <c r="K557" s="39" t="s">
        <v>44</v>
      </c>
    </row>
    <row r="558" customFormat="false" ht="21.75" hidden="false" customHeight="true" outlineLevel="0" collapsed="false">
      <c r="A558" s="35" t="n">
        <v>557</v>
      </c>
      <c r="B558" s="36" t="s">
        <v>1346</v>
      </c>
      <c r="C558" s="35" t="s">
        <v>16</v>
      </c>
      <c r="D558" s="36" t="s">
        <v>880</v>
      </c>
      <c r="E558" s="37" t="n">
        <v>5</v>
      </c>
      <c r="F558" s="38" t="s">
        <v>1365</v>
      </c>
      <c r="G558" s="38" t="s">
        <v>1366</v>
      </c>
      <c r="H558" s="38" t="s">
        <v>1304</v>
      </c>
      <c r="I558" s="38" t="s">
        <v>1213</v>
      </c>
      <c r="J558" s="38"/>
      <c r="K558" s="35" t="s">
        <v>44</v>
      </c>
    </row>
    <row r="559" customFormat="false" ht="21.75" hidden="false" customHeight="true" outlineLevel="0" collapsed="false">
      <c r="A559" s="39" t="n">
        <v>558</v>
      </c>
      <c r="B559" s="40" t="s">
        <v>1367</v>
      </c>
      <c r="C559" s="39" t="s">
        <v>16</v>
      </c>
      <c r="D559" s="40" t="s">
        <v>880</v>
      </c>
      <c r="E559" s="41" t="n">
        <v>5</v>
      </c>
      <c r="F559" s="42" t="s">
        <v>1368</v>
      </c>
      <c r="G559" s="42" t="s">
        <v>1369</v>
      </c>
      <c r="H559" s="42" t="s">
        <v>1304</v>
      </c>
      <c r="I559" s="42" t="s">
        <v>1213</v>
      </c>
      <c r="J559" s="42"/>
      <c r="K559" s="39" t="s">
        <v>44</v>
      </c>
    </row>
    <row r="560" customFormat="false" ht="21.75" hidden="false" customHeight="true" outlineLevel="0" collapsed="false">
      <c r="A560" s="35" t="n">
        <v>559</v>
      </c>
      <c r="B560" s="36" t="s">
        <v>1367</v>
      </c>
      <c r="C560" s="35" t="s">
        <v>16</v>
      </c>
      <c r="D560" s="36" t="s">
        <v>880</v>
      </c>
      <c r="E560" s="37" t="n">
        <v>5</v>
      </c>
      <c r="F560" s="38" t="s">
        <v>1370</v>
      </c>
      <c r="G560" s="38" t="s">
        <v>1371</v>
      </c>
      <c r="H560" s="38" t="s">
        <v>1304</v>
      </c>
      <c r="I560" s="38" t="s">
        <v>1213</v>
      </c>
      <c r="J560" s="38"/>
      <c r="K560" s="35" t="s">
        <v>44</v>
      </c>
    </row>
    <row r="561" customFormat="false" ht="21.75" hidden="false" customHeight="true" outlineLevel="0" collapsed="false">
      <c r="A561" s="39" t="n">
        <v>560</v>
      </c>
      <c r="B561" s="40" t="s">
        <v>1372</v>
      </c>
      <c r="C561" s="39" t="s">
        <v>16</v>
      </c>
      <c r="D561" s="40" t="s">
        <v>880</v>
      </c>
      <c r="E561" s="41" t="n">
        <v>5</v>
      </c>
      <c r="F561" s="42" t="s">
        <v>1373</v>
      </c>
      <c r="G561" s="42" t="s">
        <v>1374</v>
      </c>
      <c r="H561" s="42" t="s">
        <v>1304</v>
      </c>
      <c r="I561" s="42" t="s">
        <v>1213</v>
      </c>
      <c r="J561" s="42"/>
      <c r="K561" s="39" t="s">
        <v>44</v>
      </c>
    </row>
    <row r="562" customFormat="false" ht="21.75" hidden="false" customHeight="true" outlineLevel="0" collapsed="false">
      <c r="A562" s="35" t="n">
        <v>561</v>
      </c>
      <c r="B562" s="36" t="s">
        <v>1372</v>
      </c>
      <c r="C562" s="35" t="s">
        <v>16</v>
      </c>
      <c r="D562" s="36" t="s">
        <v>880</v>
      </c>
      <c r="E562" s="37" t="n">
        <v>5</v>
      </c>
      <c r="F562" s="38" t="s">
        <v>1375</v>
      </c>
      <c r="G562" s="38" t="s">
        <v>1376</v>
      </c>
      <c r="H562" s="38" t="s">
        <v>1304</v>
      </c>
      <c r="I562" s="38" t="s">
        <v>1213</v>
      </c>
      <c r="J562" s="38"/>
      <c r="K562" s="35" t="s">
        <v>44</v>
      </c>
    </row>
    <row r="563" customFormat="false" ht="21.75" hidden="false" customHeight="true" outlineLevel="0" collapsed="false">
      <c r="A563" s="39" t="n">
        <v>562</v>
      </c>
      <c r="B563" s="40" t="s">
        <v>1377</v>
      </c>
      <c r="C563" s="39" t="s">
        <v>16</v>
      </c>
      <c r="D563" s="40" t="s">
        <v>880</v>
      </c>
      <c r="E563" s="41" t="n">
        <v>5</v>
      </c>
      <c r="F563" s="42" t="s">
        <v>1378</v>
      </c>
      <c r="G563" s="42" t="s">
        <v>1379</v>
      </c>
      <c r="H563" s="42" t="s">
        <v>1304</v>
      </c>
      <c r="I563" s="42" t="s">
        <v>1213</v>
      </c>
      <c r="J563" s="42"/>
      <c r="K563" s="39" t="s">
        <v>44</v>
      </c>
    </row>
    <row r="564" customFormat="false" ht="21.75" hidden="false" customHeight="true" outlineLevel="0" collapsed="false">
      <c r="A564" s="35" t="n">
        <v>563</v>
      </c>
      <c r="B564" s="36" t="s">
        <v>1380</v>
      </c>
      <c r="C564" s="35" t="s">
        <v>16</v>
      </c>
      <c r="D564" s="36" t="s">
        <v>880</v>
      </c>
      <c r="E564" s="37" t="n">
        <v>5</v>
      </c>
      <c r="F564" s="38" t="s">
        <v>1381</v>
      </c>
      <c r="G564" s="38" t="s">
        <v>1382</v>
      </c>
      <c r="H564" s="38" t="s">
        <v>1304</v>
      </c>
      <c r="I564" s="38" t="s">
        <v>1213</v>
      </c>
      <c r="J564" s="38"/>
      <c r="K564" s="35" t="s">
        <v>44</v>
      </c>
    </row>
    <row r="565" customFormat="false" ht="21.75" hidden="false" customHeight="true" outlineLevel="0" collapsed="false">
      <c r="A565" s="39" t="n">
        <v>564</v>
      </c>
      <c r="B565" s="40" t="s">
        <v>1383</v>
      </c>
      <c r="C565" s="39" t="s">
        <v>16</v>
      </c>
      <c r="D565" s="40" t="s">
        <v>880</v>
      </c>
      <c r="E565" s="41" t="n">
        <v>5</v>
      </c>
      <c r="F565" s="42" t="s">
        <v>1384</v>
      </c>
      <c r="G565" s="42" t="s">
        <v>1385</v>
      </c>
      <c r="H565" s="42" t="s">
        <v>1304</v>
      </c>
      <c r="I565" s="42" t="s">
        <v>1213</v>
      </c>
      <c r="J565" s="42"/>
      <c r="K565" s="39" t="s">
        <v>44</v>
      </c>
    </row>
    <row r="566" customFormat="false" ht="21.75" hidden="false" customHeight="true" outlineLevel="0" collapsed="false">
      <c r="A566" s="35" t="n">
        <v>565</v>
      </c>
      <c r="B566" s="36" t="s">
        <v>1383</v>
      </c>
      <c r="C566" s="35" t="s">
        <v>16</v>
      </c>
      <c r="D566" s="36" t="s">
        <v>880</v>
      </c>
      <c r="E566" s="37" t="n">
        <v>5</v>
      </c>
      <c r="F566" s="38" t="s">
        <v>1386</v>
      </c>
      <c r="G566" s="38" t="s">
        <v>1387</v>
      </c>
      <c r="H566" s="38" t="s">
        <v>1304</v>
      </c>
      <c r="I566" s="38" t="s">
        <v>1213</v>
      </c>
      <c r="J566" s="38"/>
      <c r="K566" s="35" t="s">
        <v>44</v>
      </c>
    </row>
    <row r="567" customFormat="false" ht="21.75" hidden="false" customHeight="true" outlineLevel="0" collapsed="false">
      <c r="A567" s="39" t="n">
        <v>566</v>
      </c>
      <c r="B567" s="40" t="s">
        <v>1383</v>
      </c>
      <c r="C567" s="39" t="s">
        <v>16</v>
      </c>
      <c r="D567" s="40" t="s">
        <v>880</v>
      </c>
      <c r="E567" s="41" t="n">
        <v>5</v>
      </c>
      <c r="F567" s="42" t="s">
        <v>1388</v>
      </c>
      <c r="G567" s="42" t="s">
        <v>1389</v>
      </c>
      <c r="H567" s="42" t="s">
        <v>1304</v>
      </c>
      <c r="I567" s="42" t="s">
        <v>1213</v>
      </c>
      <c r="J567" s="42"/>
      <c r="K567" s="39" t="s">
        <v>44</v>
      </c>
    </row>
    <row r="568" customFormat="false" ht="21.75" hidden="false" customHeight="true" outlineLevel="0" collapsed="false">
      <c r="A568" s="35" t="n">
        <v>567</v>
      </c>
      <c r="B568" s="36" t="s">
        <v>1346</v>
      </c>
      <c r="C568" s="35" t="s">
        <v>16</v>
      </c>
      <c r="D568" s="36" t="s">
        <v>880</v>
      </c>
      <c r="E568" s="37" t="n">
        <v>5</v>
      </c>
      <c r="F568" s="38" t="s">
        <v>1390</v>
      </c>
      <c r="G568" s="38" t="s">
        <v>1391</v>
      </c>
      <c r="H568" s="38" t="s">
        <v>1304</v>
      </c>
      <c r="I568" s="38" t="s">
        <v>1213</v>
      </c>
      <c r="J568" s="38"/>
      <c r="K568" s="35" t="s">
        <v>44</v>
      </c>
    </row>
    <row r="569" customFormat="false" ht="21.75" hidden="false" customHeight="true" outlineLevel="0" collapsed="false">
      <c r="A569" s="39" t="n">
        <v>568</v>
      </c>
      <c r="B569" s="40" t="s">
        <v>1392</v>
      </c>
      <c r="C569" s="39" t="s">
        <v>16</v>
      </c>
      <c r="D569" s="40" t="s">
        <v>880</v>
      </c>
      <c r="E569" s="41" t="n">
        <v>5</v>
      </c>
      <c r="F569" s="42" t="s">
        <v>1393</v>
      </c>
      <c r="G569" s="42" t="s">
        <v>1394</v>
      </c>
      <c r="H569" s="42" t="s">
        <v>1304</v>
      </c>
      <c r="I569" s="42" t="s">
        <v>1213</v>
      </c>
      <c r="J569" s="42"/>
      <c r="K569" s="39" t="s">
        <v>44</v>
      </c>
    </row>
    <row r="570" customFormat="false" ht="21.75" hidden="false" customHeight="true" outlineLevel="0" collapsed="false">
      <c r="A570" s="35" t="n">
        <v>569</v>
      </c>
      <c r="B570" s="36" t="s">
        <v>1362</v>
      </c>
      <c r="C570" s="35" t="s">
        <v>16</v>
      </c>
      <c r="D570" s="36" t="s">
        <v>880</v>
      </c>
      <c r="E570" s="37" t="n">
        <v>5</v>
      </c>
      <c r="F570" s="38" t="s">
        <v>1395</v>
      </c>
      <c r="G570" s="38" t="s">
        <v>1396</v>
      </c>
      <c r="H570" s="38" t="s">
        <v>1304</v>
      </c>
      <c r="I570" s="38" t="s">
        <v>1213</v>
      </c>
      <c r="J570" s="38"/>
      <c r="K570" s="35" t="s">
        <v>44</v>
      </c>
    </row>
    <row r="571" customFormat="false" ht="21.75" hidden="false" customHeight="true" outlineLevel="0" collapsed="false">
      <c r="A571" s="39" t="n">
        <v>570</v>
      </c>
      <c r="B571" s="40" t="s">
        <v>1397</v>
      </c>
      <c r="C571" s="39" t="s">
        <v>16</v>
      </c>
      <c r="D571" s="40" t="s">
        <v>880</v>
      </c>
      <c r="E571" s="41" t="n">
        <v>5</v>
      </c>
      <c r="F571" s="42" t="s">
        <v>1398</v>
      </c>
      <c r="G571" s="42" t="s">
        <v>1399</v>
      </c>
      <c r="H571" s="42" t="s">
        <v>1304</v>
      </c>
      <c r="I571" s="42" t="s">
        <v>1213</v>
      </c>
      <c r="J571" s="42"/>
      <c r="K571" s="39" t="s">
        <v>44</v>
      </c>
    </row>
    <row r="572" customFormat="false" ht="21.75" hidden="false" customHeight="true" outlineLevel="0" collapsed="false">
      <c r="A572" s="35" t="n">
        <v>571</v>
      </c>
      <c r="B572" s="36" t="s">
        <v>1400</v>
      </c>
      <c r="C572" s="35" t="s">
        <v>16</v>
      </c>
      <c r="D572" s="36" t="s">
        <v>880</v>
      </c>
      <c r="E572" s="37" t="n">
        <v>5</v>
      </c>
      <c r="F572" s="38"/>
      <c r="G572" s="38" t="s">
        <v>1401</v>
      </c>
      <c r="H572" s="38" t="s">
        <v>1304</v>
      </c>
      <c r="I572" s="38" t="s">
        <v>1213</v>
      </c>
      <c r="J572" s="38"/>
      <c r="K572" s="35" t="s">
        <v>44</v>
      </c>
    </row>
    <row r="573" customFormat="false" ht="21.75" hidden="false" customHeight="true" outlineLevel="0" collapsed="false">
      <c r="A573" s="39" t="n">
        <v>572</v>
      </c>
      <c r="B573" s="40" t="s">
        <v>1402</v>
      </c>
      <c r="C573" s="39" t="s">
        <v>16</v>
      </c>
      <c r="D573" s="40" t="s">
        <v>880</v>
      </c>
      <c r="E573" s="41" t="n">
        <v>5</v>
      </c>
      <c r="F573" s="42" t="s">
        <v>1403</v>
      </c>
      <c r="G573" s="42" t="s">
        <v>1404</v>
      </c>
      <c r="H573" s="42" t="s">
        <v>1405</v>
      </c>
      <c r="I573" s="42" t="s">
        <v>1213</v>
      </c>
      <c r="J573" s="42"/>
      <c r="K573" s="39" t="s">
        <v>44</v>
      </c>
    </row>
    <row r="574" customFormat="false" ht="21.75" hidden="false" customHeight="true" outlineLevel="0" collapsed="false">
      <c r="A574" s="35" t="n">
        <v>573</v>
      </c>
      <c r="B574" s="36" t="s">
        <v>1406</v>
      </c>
      <c r="C574" s="35" t="s">
        <v>16</v>
      </c>
      <c r="D574" s="36" t="s">
        <v>880</v>
      </c>
      <c r="E574" s="37" t="n">
        <v>5</v>
      </c>
      <c r="F574" s="38"/>
      <c r="G574" s="38" t="s">
        <v>1407</v>
      </c>
      <c r="H574" s="38" t="s">
        <v>1405</v>
      </c>
      <c r="I574" s="38" t="s">
        <v>1213</v>
      </c>
      <c r="J574" s="38"/>
      <c r="K574" s="35" t="s">
        <v>44</v>
      </c>
    </row>
    <row r="575" customFormat="false" ht="21.75" hidden="false" customHeight="true" outlineLevel="0" collapsed="false">
      <c r="A575" s="39" t="n">
        <v>574</v>
      </c>
      <c r="B575" s="40" t="s">
        <v>1406</v>
      </c>
      <c r="C575" s="39" t="s">
        <v>16</v>
      </c>
      <c r="D575" s="40" t="s">
        <v>880</v>
      </c>
      <c r="E575" s="41" t="n">
        <v>5</v>
      </c>
      <c r="F575" s="42"/>
      <c r="G575" s="42" t="s">
        <v>1408</v>
      </c>
      <c r="H575" s="42" t="s">
        <v>1405</v>
      </c>
      <c r="I575" s="42" t="s">
        <v>1213</v>
      </c>
      <c r="J575" s="42"/>
      <c r="K575" s="39" t="s">
        <v>44</v>
      </c>
    </row>
    <row r="576" customFormat="false" ht="21.75" hidden="false" customHeight="true" outlineLevel="0" collapsed="false">
      <c r="A576" s="35" t="n">
        <v>575</v>
      </c>
      <c r="B576" s="36" t="s">
        <v>1406</v>
      </c>
      <c r="C576" s="35" t="s">
        <v>16</v>
      </c>
      <c r="D576" s="36" t="s">
        <v>880</v>
      </c>
      <c r="E576" s="37" t="n">
        <v>5</v>
      </c>
      <c r="F576" s="38" t="s">
        <v>1409</v>
      </c>
      <c r="G576" s="38" t="s">
        <v>1410</v>
      </c>
      <c r="H576" s="38" t="s">
        <v>1405</v>
      </c>
      <c r="I576" s="38" t="s">
        <v>1213</v>
      </c>
      <c r="J576" s="38"/>
      <c r="K576" s="35" t="s">
        <v>44</v>
      </c>
    </row>
    <row r="577" customFormat="false" ht="21.75" hidden="false" customHeight="true" outlineLevel="0" collapsed="false">
      <c r="A577" s="39" t="n">
        <v>576</v>
      </c>
      <c r="B577" s="40" t="s">
        <v>1406</v>
      </c>
      <c r="C577" s="39" t="s">
        <v>16</v>
      </c>
      <c r="D577" s="40" t="s">
        <v>880</v>
      </c>
      <c r="E577" s="41" t="n">
        <v>5</v>
      </c>
      <c r="F577" s="42"/>
      <c r="G577" s="42" t="s">
        <v>1411</v>
      </c>
      <c r="H577" s="42" t="s">
        <v>1405</v>
      </c>
      <c r="I577" s="42" t="s">
        <v>1213</v>
      </c>
      <c r="J577" s="42"/>
      <c r="K577" s="39" t="s">
        <v>44</v>
      </c>
    </row>
    <row r="578" customFormat="false" ht="21.75" hidden="false" customHeight="true" outlineLevel="0" collapsed="false">
      <c r="A578" s="35" t="n">
        <v>577</v>
      </c>
      <c r="B578" s="36" t="s">
        <v>1406</v>
      </c>
      <c r="C578" s="35" t="s">
        <v>16</v>
      </c>
      <c r="D578" s="36" t="s">
        <v>880</v>
      </c>
      <c r="E578" s="37" t="n">
        <v>5</v>
      </c>
      <c r="F578" s="38" t="s">
        <v>1412</v>
      </c>
      <c r="G578" s="38" t="s">
        <v>1413</v>
      </c>
      <c r="H578" s="38" t="s">
        <v>1405</v>
      </c>
      <c r="I578" s="38" t="s">
        <v>1213</v>
      </c>
      <c r="J578" s="38"/>
      <c r="K578" s="35" t="s">
        <v>44</v>
      </c>
    </row>
    <row r="579" customFormat="false" ht="21.75" hidden="false" customHeight="true" outlineLevel="0" collapsed="false">
      <c r="A579" s="39" t="n">
        <v>578</v>
      </c>
      <c r="B579" s="40" t="s">
        <v>1406</v>
      </c>
      <c r="C579" s="39" t="s">
        <v>16</v>
      </c>
      <c r="D579" s="40" t="s">
        <v>880</v>
      </c>
      <c r="E579" s="41" t="n">
        <v>5</v>
      </c>
      <c r="F579" s="42"/>
      <c r="G579" s="42" t="s">
        <v>1414</v>
      </c>
      <c r="H579" s="42" t="s">
        <v>1405</v>
      </c>
      <c r="I579" s="42" t="s">
        <v>1213</v>
      </c>
      <c r="J579" s="42"/>
      <c r="K579" s="39" t="s">
        <v>44</v>
      </c>
    </row>
    <row r="580" customFormat="false" ht="21.75" hidden="false" customHeight="true" outlineLevel="0" collapsed="false">
      <c r="A580" s="35" t="n">
        <v>579</v>
      </c>
      <c r="B580" s="36" t="s">
        <v>1406</v>
      </c>
      <c r="C580" s="35" t="s">
        <v>16</v>
      </c>
      <c r="D580" s="36" t="s">
        <v>880</v>
      </c>
      <c r="E580" s="37" t="n">
        <v>5</v>
      </c>
      <c r="F580" s="38"/>
      <c r="G580" s="38" t="s">
        <v>1415</v>
      </c>
      <c r="H580" s="38" t="s">
        <v>1405</v>
      </c>
      <c r="I580" s="38" t="s">
        <v>1213</v>
      </c>
      <c r="J580" s="38"/>
      <c r="K580" s="35" t="s">
        <v>44</v>
      </c>
    </row>
    <row r="581" customFormat="false" ht="21.75" hidden="false" customHeight="true" outlineLevel="0" collapsed="false">
      <c r="A581" s="39" t="n">
        <v>580</v>
      </c>
      <c r="B581" s="40" t="s">
        <v>1406</v>
      </c>
      <c r="C581" s="39" t="s">
        <v>16</v>
      </c>
      <c r="D581" s="40" t="s">
        <v>880</v>
      </c>
      <c r="E581" s="41" t="n">
        <v>5</v>
      </c>
      <c r="F581" s="42" t="s">
        <v>1416</v>
      </c>
      <c r="G581" s="42" t="s">
        <v>1417</v>
      </c>
      <c r="H581" s="42" t="s">
        <v>1405</v>
      </c>
      <c r="I581" s="42" t="s">
        <v>1213</v>
      </c>
      <c r="J581" s="42"/>
      <c r="K581" s="39" t="s">
        <v>44</v>
      </c>
    </row>
    <row r="582" customFormat="false" ht="21.75" hidden="false" customHeight="true" outlineLevel="0" collapsed="false">
      <c r="A582" s="35" t="n">
        <v>581</v>
      </c>
      <c r="B582" s="36" t="s">
        <v>1406</v>
      </c>
      <c r="C582" s="35" t="s">
        <v>16</v>
      </c>
      <c r="D582" s="36" t="s">
        <v>880</v>
      </c>
      <c r="E582" s="37" t="n">
        <v>5</v>
      </c>
      <c r="F582" s="38" t="s">
        <v>1418</v>
      </c>
      <c r="G582" s="38" t="s">
        <v>1419</v>
      </c>
      <c r="H582" s="38" t="s">
        <v>1405</v>
      </c>
      <c r="I582" s="38" t="s">
        <v>1213</v>
      </c>
      <c r="J582" s="38"/>
      <c r="K582" s="35" t="s">
        <v>44</v>
      </c>
    </row>
    <row r="583" customFormat="false" ht="21.75" hidden="false" customHeight="true" outlineLevel="0" collapsed="false">
      <c r="A583" s="39" t="n">
        <v>582</v>
      </c>
      <c r="B583" s="40" t="s">
        <v>1406</v>
      </c>
      <c r="C583" s="39" t="s">
        <v>16</v>
      </c>
      <c r="D583" s="40" t="s">
        <v>880</v>
      </c>
      <c r="E583" s="41" t="n">
        <v>5</v>
      </c>
      <c r="F583" s="42" t="s">
        <v>1420</v>
      </c>
      <c r="G583" s="42" t="s">
        <v>1421</v>
      </c>
      <c r="H583" s="42" t="s">
        <v>1405</v>
      </c>
      <c r="I583" s="42" t="s">
        <v>1213</v>
      </c>
      <c r="J583" s="42"/>
      <c r="K583" s="39" t="s">
        <v>44</v>
      </c>
    </row>
    <row r="584" customFormat="false" ht="21.75" hidden="false" customHeight="true" outlineLevel="0" collapsed="false">
      <c r="A584" s="35" t="n">
        <v>583</v>
      </c>
      <c r="B584" s="36" t="s">
        <v>1406</v>
      </c>
      <c r="C584" s="35" t="s">
        <v>16</v>
      </c>
      <c r="D584" s="36" t="s">
        <v>880</v>
      </c>
      <c r="E584" s="37" t="n">
        <v>5</v>
      </c>
      <c r="F584" s="38" t="s">
        <v>1422</v>
      </c>
      <c r="G584" s="38" t="s">
        <v>1423</v>
      </c>
      <c r="H584" s="38" t="s">
        <v>1405</v>
      </c>
      <c r="I584" s="38" t="s">
        <v>1213</v>
      </c>
      <c r="J584" s="38"/>
      <c r="K584" s="35" t="s">
        <v>44</v>
      </c>
    </row>
    <row r="585" customFormat="false" ht="21.75" hidden="false" customHeight="true" outlineLevel="0" collapsed="false">
      <c r="A585" s="39" t="n">
        <v>584</v>
      </c>
      <c r="B585" s="40" t="s">
        <v>1406</v>
      </c>
      <c r="C585" s="39" t="s">
        <v>16</v>
      </c>
      <c r="D585" s="40" t="s">
        <v>880</v>
      </c>
      <c r="E585" s="41" t="n">
        <v>5</v>
      </c>
      <c r="F585" s="42"/>
      <c r="G585" s="42" t="s">
        <v>1424</v>
      </c>
      <c r="H585" s="42" t="s">
        <v>1405</v>
      </c>
      <c r="I585" s="42" t="s">
        <v>1213</v>
      </c>
      <c r="J585" s="42"/>
      <c r="K585" s="39" t="s">
        <v>44</v>
      </c>
    </row>
    <row r="586" customFormat="false" ht="21.75" hidden="false" customHeight="true" outlineLevel="0" collapsed="false">
      <c r="A586" s="35" t="n">
        <v>585</v>
      </c>
      <c r="B586" s="36" t="s">
        <v>1406</v>
      </c>
      <c r="C586" s="35" t="s">
        <v>16</v>
      </c>
      <c r="D586" s="36" t="s">
        <v>880</v>
      </c>
      <c r="E586" s="37" t="n">
        <v>5</v>
      </c>
      <c r="F586" s="38"/>
      <c r="G586" s="38" t="s">
        <v>1425</v>
      </c>
      <c r="H586" s="38" t="s">
        <v>1405</v>
      </c>
      <c r="I586" s="38" t="s">
        <v>1213</v>
      </c>
      <c r="J586" s="38"/>
      <c r="K586" s="35" t="s">
        <v>44</v>
      </c>
    </row>
    <row r="587" customFormat="false" ht="21.75" hidden="false" customHeight="true" outlineLevel="0" collapsed="false">
      <c r="A587" s="39" t="n">
        <v>586</v>
      </c>
      <c r="B587" s="40" t="s">
        <v>1406</v>
      </c>
      <c r="C587" s="39" t="s">
        <v>16</v>
      </c>
      <c r="D587" s="40" t="s">
        <v>880</v>
      </c>
      <c r="E587" s="41" t="n">
        <v>5</v>
      </c>
      <c r="F587" s="42"/>
      <c r="G587" s="42" t="s">
        <v>1334</v>
      </c>
      <c r="H587" s="42" t="s">
        <v>1405</v>
      </c>
      <c r="I587" s="42" t="s">
        <v>1213</v>
      </c>
      <c r="J587" s="42"/>
      <c r="K587" s="39" t="s">
        <v>44</v>
      </c>
    </row>
    <row r="588" customFormat="false" ht="21.75" hidden="false" customHeight="true" outlineLevel="0" collapsed="false">
      <c r="A588" s="35" t="n">
        <v>587</v>
      </c>
      <c r="B588" s="36" t="s">
        <v>1406</v>
      </c>
      <c r="C588" s="35" t="s">
        <v>16</v>
      </c>
      <c r="D588" s="36" t="s">
        <v>880</v>
      </c>
      <c r="E588" s="37" t="n">
        <v>5</v>
      </c>
      <c r="F588" s="38" t="s">
        <v>1426</v>
      </c>
      <c r="G588" s="38" t="s">
        <v>1427</v>
      </c>
      <c r="H588" s="38" t="s">
        <v>1405</v>
      </c>
      <c r="I588" s="38" t="s">
        <v>1213</v>
      </c>
      <c r="J588" s="38"/>
      <c r="K588" s="35" t="s">
        <v>44</v>
      </c>
    </row>
    <row r="589" customFormat="false" ht="21.75" hidden="false" customHeight="true" outlineLevel="0" collapsed="false">
      <c r="A589" s="39" t="n">
        <v>588</v>
      </c>
      <c r="B589" s="40" t="s">
        <v>1406</v>
      </c>
      <c r="C589" s="39" t="s">
        <v>16</v>
      </c>
      <c r="D589" s="40" t="s">
        <v>880</v>
      </c>
      <c r="E589" s="41" t="n">
        <v>5</v>
      </c>
      <c r="F589" s="42"/>
      <c r="G589" s="42" t="s">
        <v>1428</v>
      </c>
      <c r="H589" s="42" t="s">
        <v>1405</v>
      </c>
      <c r="I589" s="42" t="s">
        <v>1213</v>
      </c>
      <c r="J589" s="42"/>
      <c r="K589" s="39" t="s">
        <v>44</v>
      </c>
    </row>
    <row r="590" customFormat="false" ht="21.75" hidden="false" customHeight="true" outlineLevel="0" collapsed="false">
      <c r="A590" s="35" t="n">
        <v>589</v>
      </c>
      <c r="B590" s="36" t="s">
        <v>1406</v>
      </c>
      <c r="C590" s="35" t="s">
        <v>16</v>
      </c>
      <c r="D590" s="36" t="s">
        <v>880</v>
      </c>
      <c r="E590" s="37" t="n">
        <v>5</v>
      </c>
      <c r="F590" s="38"/>
      <c r="G590" s="38" t="s">
        <v>1429</v>
      </c>
      <c r="H590" s="38" t="s">
        <v>1405</v>
      </c>
      <c r="I590" s="38" t="s">
        <v>1213</v>
      </c>
      <c r="J590" s="38"/>
      <c r="K590" s="35" t="s">
        <v>44</v>
      </c>
    </row>
    <row r="591" customFormat="false" ht="21.75" hidden="false" customHeight="true" outlineLevel="0" collapsed="false">
      <c r="A591" s="39" t="n">
        <v>590</v>
      </c>
      <c r="B591" s="40" t="s">
        <v>1406</v>
      </c>
      <c r="C591" s="39" t="s">
        <v>16</v>
      </c>
      <c r="D591" s="40" t="s">
        <v>880</v>
      </c>
      <c r="E591" s="41" t="n">
        <v>5</v>
      </c>
      <c r="F591" s="42" t="s">
        <v>1430</v>
      </c>
      <c r="G591" s="42" t="s">
        <v>1431</v>
      </c>
      <c r="H591" s="42" t="s">
        <v>1405</v>
      </c>
      <c r="I591" s="42" t="s">
        <v>1213</v>
      </c>
      <c r="J591" s="42"/>
      <c r="K591" s="39" t="s">
        <v>44</v>
      </c>
    </row>
    <row r="592" customFormat="false" ht="21.75" hidden="false" customHeight="true" outlineLevel="0" collapsed="false">
      <c r="A592" s="35" t="n">
        <v>591</v>
      </c>
      <c r="B592" s="36" t="s">
        <v>1406</v>
      </c>
      <c r="C592" s="35" t="s">
        <v>16</v>
      </c>
      <c r="D592" s="36" t="s">
        <v>880</v>
      </c>
      <c r="E592" s="37" t="n">
        <v>5</v>
      </c>
      <c r="F592" s="38" t="s">
        <v>1432</v>
      </c>
      <c r="G592" s="38" t="s">
        <v>1433</v>
      </c>
      <c r="H592" s="38" t="s">
        <v>1405</v>
      </c>
      <c r="I592" s="38" t="s">
        <v>1213</v>
      </c>
      <c r="J592" s="38"/>
      <c r="K592" s="35" t="s">
        <v>44</v>
      </c>
    </row>
    <row r="593" customFormat="false" ht="21.75" hidden="false" customHeight="true" outlineLevel="0" collapsed="false">
      <c r="A593" s="39" t="n">
        <v>592</v>
      </c>
      <c r="B593" s="40" t="s">
        <v>1406</v>
      </c>
      <c r="C593" s="39" t="s">
        <v>16</v>
      </c>
      <c r="D593" s="40" t="s">
        <v>880</v>
      </c>
      <c r="E593" s="41" t="n">
        <v>5</v>
      </c>
      <c r="F593" s="42" t="s">
        <v>1434</v>
      </c>
      <c r="G593" s="42" t="s">
        <v>1435</v>
      </c>
      <c r="H593" s="42" t="s">
        <v>1405</v>
      </c>
      <c r="I593" s="42" t="s">
        <v>1213</v>
      </c>
      <c r="J593" s="42"/>
      <c r="K593" s="39" t="s">
        <v>44</v>
      </c>
    </row>
    <row r="594" customFormat="false" ht="21.75" hidden="false" customHeight="true" outlineLevel="0" collapsed="false">
      <c r="A594" s="35" t="n">
        <v>593</v>
      </c>
      <c r="B594" s="36" t="s">
        <v>1406</v>
      </c>
      <c r="C594" s="35" t="s">
        <v>16</v>
      </c>
      <c r="D594" s="36" t="s">
        <v>880</v>
      </c>
      <c r="E594" s="37" t="n">
        <v>5</v>
      </c>
      <c r="F594" s="38" t="s">
        <v>1436</v>
      </c>
      <c r="G594" s="38" t="s">
        <v>1437</v>
      </c>
      <c r="H594" s="38" t="s">
        <v>1405</v>
      </c>
      <c r="I594" s="38" t="s">
        <v>1213</v>
      </c>
      <c r="J594" s="38"/>
      <c r="K594" s="35" t="s">
        <v>44</v>
      </c>
    </row>
    <row r="595" customFormat="false" ht="21.75" hidden="false" customHeight="true" outlineLevel="0" collapsed="false">
      <c r="A595" s="39" t="n">
        <v>594</v>
      </c>
      <c r="B595" s="40" t="s">
        <v>1438</v>
      </c>
      <c r="C595" s="39" t="s">
        <v>16</v>
      </c>
      <c r="D595" s="40" t="s">
        <v>880</v>
      </c>
      <c r="E595" s="41" t="n">
        <v>5</v>
      </c>
      <c r="F595" s="42"/>
      <c r="G595" s="42" t="s">
        <v>1439</v>
      </c>
      <c r="H595" s="42" t="s">
        <v>1405</v>
      </c>
      <c r="I595" s="42" t="s">
        <v>1213</v>
      </c>
      <c r="J595" s="42"/>
      <c r="K595" s="39" t="s">
        <v>44</v>
      </c>
    </row>
    <row r="596" customFormat="false" ht="21.75" hidden="false" customHeight="true" outlineLevel="0" collapsed="false">
      <c r="A596" s="35" t="n">
        <v>595</v>
      </c>
      <c r="B596" s="36" t="s">
        <v>1438</v>
      </c>
      <c r="C596" s="35" t="s">
        <v>16</v>
      </c>
      <c r="D596" s="36" t="s">
        <v>880</v>
      </c>
      <c r="E596" s="37" t="n">
        <v>5</v>
      </c>
      <c r="F596" s="38" t="s">
        <v>1440</v>
      </c>
      <c r="G596" s="38" t="s">
        <v>1441</v>
      </c>
      <c r="H596" s="38" t="s">
        <v>1405</v>
      </c>
      <c r="I596" s="38" t="s">
        <v>1213</v>
      </c>
      <c r="J596" s="38"/>
      <c r="K596" s="35" t="s">
        <v>44</v>
      </c>
    </row>
    <row r="597" customFormat="false" ht="21.75" hidden="false" customHeight="true" outlineLevel="0" collapsed="false">
      <c r="A597" s="39" t="n">
        <v>596</v>
      </c>
      <c r="B597" s="40" t="s">
        <v>1438</v>
      </c>
      <c r="C597" s="39" t="s">
        <v>16</v>
      </c>
      <c r="D597" s="40" t="s">
        <v>880</v>
      </c>
      <c r="E597" s="41" t="n">
        <v>5</v>
      </c>
      <c r="F597" s="42" t="s">
        <v>1442</v>
      </c>
      <c r="G597" s="42" t="s">
        <v>1443</v>
      </c>
      <c r="H597" s="42" t="s">
        <v>1405</v>
      </c>
      <c r="I597" s="42" t="s">
        <v>1213</v>
      </c>
      <c r="J597" s="42"/>
      <c r="K597" s="39" t="s">
        <v>44</v>
      </c>
    </row>
    <row r="598" customFormat="false" ht="21.75" hidden="false" customHeight="true" outlineLevel="0" collapsed="false">
      <c r="A598" s="35" t="n">
        <v>597</v>
      </c>
      <c r="B598" s="36" t="s">
        <v>1438</v>
      </c>
      <c r="C598" s="35" t="s">
        <v>16</v>
      </c>
      <c r="D598" s="36" t="s">
        <v>880</v>
      </c>
      <c r="E598" s="37" t="n">
        <v>5</v>
      </c>
      <c r="F598" s="38" t="s">
        <v>1444</v>
      </c>
      <c r="G598" s="38" t="s">
        <v>1445</v>
      </c>
      <c r="H598" s="38" t="s">
        <v>1405</v>
      </c>
      <c r="I598" s="38" t="s">
        <v>1213</v>
      </c>
      <c r="J598" s="38"/>
      <c r="K598" s="35" t="s">
        <v>44</v>
      </c>
    </row>
    <row r="599" customFormat="false" ht="21.75" hidden="false" customHeight="true" outlineLevel="0" collapsed="false">
      <c r="A599" s="39" t="n">
        <v>598</v>
      </c>
      <c r="B599" s="40" t="s">
        <v>1438</v>
      </c>
      <c r="C599" s="39" t="s">
        <v>16</v>
      </c>
      <c r="D599" s="40" t="s">
        <v>880</v>
      </c>
      <c r="E599" s="41" t="n">
        <v>5</v>
      </c>
      <c r="F599" s="42" t="s">
        <v>1446</v>
      </c>
      <c r="G599" s="42" t="s">
        <v>1447</v>
      </c>
      <c r="H599" s="42" t="s">
        <v>1405</v>
      </c>
      <c r="I599" s="42" t="s">
        <v>1213</v>
      </c>
      <c r="J599" s="42"/>
      <c r="K599" s="39" t="s">
        <v>44</v>
      </c>
    </row>
    <row r="600" customFormat="false" ht="21.75" hidden="false" customHeight="true" outlineLevel="0" collapsed="false">
      <c r="A600" s="35" t="n">
        <v>599</v>
      </c>
      <c r="B600" s="36" t="s">
        <v>1438</v>
      </c>
      <c r="C600" s="35" t="s">
        <v>16</v>
      </c>
      <c r="D600" s="36" t="s">
        <v>880</v>
      </c>
      <c r="E600" s="37" t="n">
        <v>5</v>
      </c>
      <c r="F600" s="38" t="s">
        <v>1448</v>
      </c>
      <c r="G600" s="38" t="s">
        <v>1449</v>
      </c>
      <c r="H600" s="38" t="s">
        <v>1405</v>
      </c>
      <c r="I600" s="38" t="s">
        <v>1213</v>
      </c>
      <c r="J600" s="38"/>
      <c r="K600" s="35" t="s">
        <v>44</v>
      </c>
    </row>
    <row r="601" customFormat="false" ht="21.75" hidden="false" customHeight="true" outlineLevel="0" collapsed="false">
      <c r="A601" s="39" t="n">
        <v>600</v>
      </c>
      <c r="B601" s="40" t="s">
        <v>1438</v>
      </c>
      <c r="C601" s="39" t="s">
        <v>16</v>
      </c>
      <c r="D601" s="40" t="s">
        <v>880</v>
      </c>
      <c r="E601" s="41" t="n">
        <v>5</v>
      </c>
      <c r="F601" s="42" t="s">
        <v>1450</v>
      </c>
      <c r="G601" s="42" t="s">
        <v>1451</v>
      </c>
      <c r="H601" s="42" t="s">
        <v>1405</v>
      </c>
      <c r="I601" s="42" t="s">
        <v>1213</v>
      </c>
      <c r="J601" s="42"/>
      <c r="K601" s="39" t="s">
        <v>44</v>
      </c>
    </row>
    <row r="602" customFormat="false" ht="21.75" hidden="false" customHeight="true" outlineLevel="0" collapsed="false">
      <c r="A602" s="35" t="n">
        <v>601</v>
      </c>
      <c r="B602" s="36" t="s">
        <v>1438</v>
      </c>
      <c r="C602" s="35" t="s">
        <v>16</v>
      </c>
      <c r="D602" s="36" t="s">
        <v>880</v>
      </c>
      <c r="E602" s="37" t="n">
        <v>5</v>
      </c>
      <c r="F602" s="38" t="s">
        <v>1452</v>
      </c>
      <c r="G602" s="38" t="s">
        <v>1453</v>
      </c>
      <c r="H602" s="38" t="s">
        <v>1405</v>
      </c>
      <c r="I602" s="38" t="s">
        <v>1213</v>
      </c>
      <c r="J602" s="38"/>
      <c r="K602" s="35" t="s">
        <v>44</v>
      </c>
    </row>
    <row r="603" customFormat="false" ht="21.75" hidden="false" customHeight="true" outlineLevel="0" collapsed="false">
      <c r="A603" s="39" t="n">
        <v>602</v>
      </c>
      <c r="B603" s="40" t="s">
        <v>1438</v>
      </c>
      <c r="C603" s="39" t="s">
        <v>16</v>
      </c>
      <c r="D603" s="40" t="s">
        <v>880</v>
      </c>
      <c r="E603" s="41" t="n">
        <v>5</v>
      </c>
      <c r="F603" s="42" t="s">
        <v>1454</v>
      </c>
      <c r="G603" s="42" t="s">
        <v>1455</v>
      </c>
      <c r="H603" s="42" t="s">
        <v>1405</v>
      </c>
      <c r="I603" s="42" t="s">
        <v>1213</v>
      </c>
      <c r="J603" s="42"/>
      <c r="K603" s="39" t="s">
        <v>44</v>
      </c>
    </row>
    <row r="604" customFormat="false" ht="21.75" hidden="false" customHeight="true" outlineLevel="0" collapsed="false">
      <c r="A604" s="35" t="n">
        <v>603</v>
      </c>
      <c r="B604" s="36" t="s">
        <v>1438</v>
      </c>
      <c r="C604" s="35" t="s">
        <v>16</v>
      </c>
      <c r="D604" s="36" t="s">
        <v>880</v>
      </c>
      <c r="E604" s="37" t="n">
        <v>5</v>
      </c>
      <c r="F604" s="38" t="s">
        <v>1456</v>
      </c>
      <c r="G604" s="38" t="s">
        <v>1457</v>
      </c>
      <c r="H604" s="38" t="s">
        <v>1405</v>
      </c>
      <c r="I604" s="38" t="s">
        <v>1213</v>
      </c>
      <c r="J604" s="38"/>
      <c r="K604" s="35" t="s">
        <v>44</v>
      </c>
    </row>
    <row r="605" customFormat="false" ht="21.75" hidden="false" customHeight="true" outlineLevel="0" collapsed="false">
      <c r="A605" s="39" t="n">
        <v>604</v>
      </c>
      <c r="B605" s="40" t="s">
        <v>1438</v>
      </c>
      <c r="C605" s="39" t="s">
        <v>16</v>
      </c>
      <c r="D605" s="40" t="s">
        <v>880</v>
      </c>
      <c r="E605" s="41" t="n">
        <v>5</v>
      </c>
      <c r="F605" s="42" t="s">
        <v>1458</v>
      </c>
      <c r="G605" s="42" t="s">
        <v>1459</v>
      </c>
      <c r="H605" s="42" t="s">
        <v>1405</v>
      </c>
      <c r="I605" s="42" t="s">
        <v>1213</v>
      </c>
      <c r="J605" s="42"/>
      <c r="K605" s="39" t="s">
        <v>44</v>
      </c>
    </row>
    <row r="606" customFormat="false" ht="21.75" hidden="false" customHeight="true" outlineLevel="0" collapsed="false">
      <c r="A606" s="35" t="n">
        <v>605</v>
      </c>
      <c r="B606" s="36" t="s">
        <v>1438</v>
      </c>
      <c r="C606" s="35" t="s">
        <v>16</v>
      </c>
      <c r="D606" s="36" t="s">
        <v>880</v>
      </c>
      <c r="E606" s="37" t="n">
        <v>5</v>
      </c>
      <c r="F606" s="38" t="s">
        <v>1460</v>
      </c>
      <c r="G606" s="38" t="s">
        <v>1461</v>
      </c>
      <c r="H606" s="38" t="s">
        <v>1405</v>
      </c>
      <c r="I606" s="38" t="s">
        <v>1213</v>
      </c>
      <c r="J606" s="38"/>
      <c r="K606" s="35" t="s">
        <v>44</v>
      </c>
    </row>
    <row r="607" customFormat="false" ht="21.75" hidden="false" customHeight="true" outlineLevel="0" collapsed="false">
      <c r="A607" s="39" t="n">
        <v>606</v>
      </c>
      <c r="B607" s="40" t="s">
        <v>1438</v>
      </c>
      <c r="C607" s="39" t="s">
        <v>16</v>
      </c>
      <c r="D607" s="40" t="s">
        <v>880</v>
      </c>
      <c r="E607" s="41" t="n">
        <v>5</v>
      </c>
      <c r="F607" s="42" t="s">
        <v>1462</v>
      </c>
      <c r="G607" s="42" t="s">
        <v>1463</v>
      </c>
      <c r="H607" s="42" t="s">
        <v>1405</v>
      </c>
      <c r="I607" s="42" t="s">
        <v>1213</v>
      </c>
      <c r="J607" s="42"/>
      <c r="K607" s="39" t="s">
        <v>44</v>
      </c>
    </row>
    <row r="608" customFormat="false" ht="21.75" hidden="false" customHeight="true" outlineLevel="0" collapsed="false">
      <c r="A608" s="35" t="n">
        <v>607</v>
      </c>
      <c r="B608" s="36" t="s">
        <v>1406</v>
      </c>
      <c r="C608" s="35" t="s">
        <v>16</v>
      </c>
      <c r="D608" s="36" t="s">
        <v>880</v>
      </c>
      <c r="E608" s="37" t="n">
        <v>5</v>
      </c>
      <c r="F608" s="38" t="s">
        <v>1464</v>
      </c>
      <c r="G608" s="38" t="s">
        <v>1465</v>
      </c>
      <c r="H608" s="38" t="s">
        <v>1405</v>
      </c>
      <c r="I608" s="38" t="s">
        <v>1213</v>
      </c>
      <c r="J608" s="38"/>
      <c r="K608" s="35" t="s">
        <v>44</v>
      </c>
    </row>
    <row r="609" customFormat="false" ht="21.75" hidden="false" customHeight="true" outlineLevel="0" collapsed="false">
      <c r="A609" s="39" t="n">
        <v>608</v>
      </c>
      <c r="B609" s="40" t="s">
        <v>1406</v>
      </c>
      <c r="C609" s="39" t="s">
        <v>16</v>
      </c>
      <c r="D609" s="40" t="s">
        <v>880</v>
      </c>
      <c r="E609" s="41" t="n">
        <v>5</v>
      </c>
      <c r="F609" s="42" t="s">
        <v>1466</v>
      </c>
      <c r="G609" s="42" t="s">
        <v>1467</v>
      </c>
      <c r="H609" s="42" t="s">
        <v>1405</v>
      </c>
      <c r="I609" s="42" t="s">
        <v>1213</v>
      </c>
      <c r="J609" s="42"/>
      <c r="K609" s="39" t="s">
        <v>44</v>
      </c>
    </row>
    <row r="610" customFormat="false" ht="21.75" hidden="false" customHeight="true" outlineLevel="0" collapsed="false">
      <c r="A610" s="35" t="n">
        <v>609</v>
      </c>
      <c r="B610" s="36" t="s">
        <v>1406</v>
      </c>
      <c r="C610" s="35" t="s">
        <v>16</v>
      </c>
      <c r="D610" s="36" t="s">
        <v>880</v>
      </c>
      <c r="E610" s="37" t="n">
        <v>5</v>
      </c>
      <c r="F610" s="38" t="s">
        <v>1468</v>
      </c>
      <c r="G610" s="38" t="s">
        <v>1469</v>
      </c>
      <c r="H610" s="38" t="s">
        <v>1405</v>
      </c>
      <c r="I610" s="38" t="s">
        <v>1213</v>
      </c>
      <c r="J610" s="38"/>
      <c r="K610" s="35" t="s">
        <v>44</v>
      </c>
    </row>
    <row r="611" customFormat="false" ht="21.75" hidden="false" customHeight="true" outlineLevel="0" collapsed="false">
      <c r="A611" s="39" t="n">
        <v>610</v>
      </c>
      <c r="B611" s="40" t="s">
        <v>1406</v>
      </c>
      <c r="C611" s="39" t="s">
        <v>16</v>
      </c>
      <c r="D611" s="40" t="s">
        <v>880</v>
      </c>
      <c r="E611" s="41" t="n">
        <v>5</v>
      </c>
      <c r="F611" s="42" t="s">
        <v>1470</v>
      </c>
      <c r="G611" s="42" t="s">
        <v>1471</v>
      </c>
      <c r="H611" s="42" t="s">
        <v>1405</v>
      </c>
      <c r="I611" s="42" t="s">
        <v>1213</v>
      </c>
      <c r="J611" s="42"/>
      <c r="K611" s="39" t="s">
        <v>44</v>
      </c>
    </row>
    <row r="612" customFormat="false" ht="21.75" hidden="false" customHeight="true" outlineLevel="0" collapsed="false">
      <c r="A612" s="35" t="n">
        <v>611</v>
      </c>
      <c r="B612" s="36" t="s">
        <v>1406</v>
      </c>
      <c r="C612" s="35" t="s">
        <v>16</v>
      </c>
      <c r="D612" s="36" t="s">
        <v>880</v>
      </c>
      <c r="E612" s="37" t="n">
        <v>5</v>
      </c>
      <c r="F612" s="38" t="s">
        <v>1472</v>
      </c>
      <c r="G612" s="38" t="s">
        <v>1473</v>
      </c>
      <c r="H612" s="38" t="s">
        <v>1405</v>
      </c>
      <c r="I612" s="38" t="s">
        <v>1213</v>
      </c>
      <c r="J612" s="38"/>
      <c r="K612" s="35" t="s">
        <v>44</v>
      </c>
    </row>
    <row r="613" customFormat="false" ht="21.75" hidden="false" customHeight="true" outlineLevel="0" collapsed="false">
      <c r="A613" s="39" t="n">
        <v>612</v>
      </c>
      <c r="B613" s="40" t="s">
        <v>1406</v>
      </c>
      <c r="C613" s="39" t="s">
        <v>16</v>
      </c>
      <c r="D613" s="40" t="s">
        <v>880</v>
      </c>
      <c r="E613" s="41" t="n">
        <v>5</v>
      </c>
      <c r="F613" s="42"/>
      <c r="G613" s="42" t="s">
        <v>1474</v>
      </c>
      <c r="H613" s="42" t="s">
        <v>1405</v>
      </c>
      <c r="I613" s="42" t="s">
        <v>1213</v>
      </c>
      <c r="J613" s="42"/>
      <c r="K613" s="39" t="s">
        <v>44</v>
      </c>
    </row>
    <row r="614" customFormat="false" ht="21.75" hidden="false" customHeight="true" outlineLevel="0" collapsed="false">
      <c r="A614" s="35" t="n">
        <v>613</v>
      </c>
      <c r="B614" s="36" t="s">
        <v>1475</v>
      </c>
      <c r="C614" s="35" t="s">
        <v>16</v>
      </c>
      <c r="D614" s="36" t="s">
        <v>880</v>
      </c>
      <c r="E614" s="37" t="n">
        <v>5</v>
      </c>
      <c r="F614" s="38"/>
      <c r="G614" s="38" t="s">
        <v>1476</v>
      </c>
      <c r="H614" s="38" t="s">
        <v>1477</v>
      </c>
      <c r="I614" s="38" t="s">
        <v>1213</v>
      </c>
      <c r="J614" s="38"/>
      <c r="K614" s="35" t="s">
        <v>44</v>
      </c>
    </row>
    <row r="615" customFormat="false" ht="21.75" hidden="false" customHeight="true" outlineLevel="0" collapsed="false">
      <c r="A615" s="39" t="n">
        <v>614</v>
      </c>
      <c r="B615" s="40" t="s">
        <v>1478</v>
      </c>
      <c r="C615" s="39" t="s">
        <v>16</v>
      </c>
      <c r="D615" s="40" t="s">
        <v>880</v>
      </c>
      <c r="E615" s="41" t="n">
        <v>5</v>
      </c>
      <c r="F615" s="42"/>
      <c r="G615" s="42" t="s">
        <v>1479</v>
      </c>
      <c r="H615" s="42" t="s">
        <v>1477</v>
      </c>
      <c r="I615" s="42" t="s">
        <v>1213</v>
      </c>
      <c r="J615" s="42"/>
      <c r="K615" s="39" t="s">
        <v>44</v>
      </c>
    </row>
    <row r="616" customFormat="false" ht="21.75" hidden="false" customHeight="true" outlineLevel="0" collapsed="false">
      <c r="A616" s="35" t="n">
        <v>615</v>
      </c>
      <c r="B616" s="36" t="s">
        <v>1478</v>
      </c>
      <c r="C616" s="35" t="s">
        <v>16</v>
      </c>
      <c r="D616" s="36" t="s">
        <v>880</v>
      </c>
      <c r="E616" s="37" t="n">
        <v>5</v>
      </c>
      <c r="F616" s="38"/>
      <c r="G616" s="38" t="s">
        <v>1479</v>
      </c>
      <c r="H616" s="38" t="s">
        <v>1477</v>
      </c>
      <c r="I616" s="38" t="s">
        <v>1213</v>
      </c>
      <c r="J616" s="38"/>
      <c r="K616" s="35" t="s">
        <v>44</v>
      </c>
    </row>
    <row r="617" customFormat="false" ht="21.75" hidden="false" customHeight="true" outlineLevel="0" collapsed="false">
      <c r="A617" s="39" t="n">
        <v>616</v>
      </c>
      <c r="B617" s="40" t="s">
        <v>1478</v>
      </c>
      <c r="C617" s="39" t="s">
        <v>16</v>
      </c>
      <c r="D617" s="40" t="s">
        <v>880</v>
      </c>
      <c r="E617" s="41" t="n">
        <v>5</v>
      </c>
      <c r="F617" s="42"/>
      <c r="G617" s="42" t="s">
        <v>1479</v>
      </c>
      <c r="H617" s="42" t="s">
        <v>1477</v>
      </c>
      <c r="I617" s="42" t="s">
        <v>1213</v>
      </c>
      <c r="J617" s="42"/>
      <c r="K617" s="39" t="s">
        <v>44</v>
      </c>
    </row>
    <row r="618" customFormat="false" ht="21.75" hidden="false" customHeight="true" outlineLevel="0" collapsed="false">
      <c r="A618" s="35" t="n">
        <v>617</v>
      </c>
      <c r="B618" s="36" t="s">
        <v>1480</v>
      </c>
      <c r="C618" s="35" t="s">
        <v>16</v>
      </c>
      <c r="D618" s="36" t="s">
        <v>880</v>
      </c>
      <c r="E618" s="37" t="n">
        <v>5</v>
      </c>
      <c r="F618" s="38"/>
      <c r="G618" s="38" t="s">
        <v>1479</v>
      </c>
      <c r="H618" s="38" t="s">
        <v>1477</v>
      </c>
      <c r="I618" s="38" t="s">
        <v>1213</v>
      </c>
      <c r="J618" s="38"/>
      <c r="K618" s="35" t="s">
        <v>44</v>
      </c>
    </row>
    <row r="619" customFormat="false" ht="21.75" hidden="false" customHeight="true" outlineLevel="0" collapsed="false">
      <c r="A619" s="39" t="n">
        <v>618</v>
      </c>
      <c r="B619" s="40" t="s">
        <v>1481</v>
      </c>
      <c r="C619" s="39" t="s">
        <v>16</v>
      </c>
      <c r="D619" s="40" t="s">
        <v>880</v>
      </c>
      <c r="E619" s="41" t="n">
        <v>5</v>
      </c>
      <c r="F619" s="42"/>
      <c r="G619" s="42" t="s">
        <v>1482</v>
      </c>
      <c r="H619" s="42" t="s">
        <v>1483</v>
      </c>
      <c r="I619" s="42" t="s">
        <v>1213</v>
      </c>
      <c r="J619" s="42"/>
      <c r="K619" s="39" t="s">
        <v>44</v>
      </c>
    </row>
    <row r="620" customFormat="false" ht="21.75" hidden="false" customHeight="true" outlineLevel="0" collapsed="false">
      <c r="A620" s="35" t="n">
        <v>619</v>
      </c>
      <c r="B620" s="36" t="s">
        <v>1478</v>
      </c>
      <c r="C620" s="35" t="s">
        <v>16</v>
      </c>
      <c r="D620" s="36" t="s">
        <v>880</v>
      </c>
      <c r="E620" s="37" t="n">
        <v>5</v>
      </c>
      <c r="F620" s="38"/>
      <c r="G620" s="38" t="s">
        <v>1479</v>
      </c>
      <c r="H620" s="38" t="s">
        <v>1477</v>
      </c>
      <c r="I620" s="38" t="s">
        <v>1213</v>
      </c>
      <c r="J620" s="38"/>
      <c r="K620" s="35" t="s">
        <v>44</v>
      </c>
    </row>
    <row r="621" customFormat="false" ht="21.75" hidden="false" customHeight="true" outlineLevel="0" collapsed="false">
      <c r="A621" s="39" t="n">
        <v>620</v>
      </c>
      <c r="B621" s="40" t="s">
        <v>1478</v>
      </c>
      <c r="C621" s="39" t="s">
        <v>16</v>
      </c>
      <c r="D621" s="40" t="s">
        <v>880</v>
      </c>
      <c r="E621" s="41" t="n">
        <v>5</v>
      </c>
      <c r="F621" s="42"/>
      <c r="G621" s="42" t="s">
        <v>1479</v>
      </c>
      <c r="H621" s="42" t="s">
        <v>1477</v>
      </c>
      <c r="I621" s="42" t="s">
        <v>1213</v>
      </c>
      <c r="J621" s="42"/>
      <c r="K621" s="39" t="s">
        <v>44</v>
      </c>
    </row>
    <row r="622" customFormat="false" ht="21.75" hidden="false" customHeight="true" outlineLevel="0" collapsed="false">
      <c r="A622" s="35" t="n">
        <v>621</v>
      </c>
      <c r="B622" s="36" t="s">
        <v>1484</v>
      </c>
      <c r="C622" s="35" t="s">
        <v>16</v>
      </c>
      <c r="D622" s="36" t="s">
        <v>880</v>
      </c>
      <c r="E622" s="37" t="n">
        <v>5</v>
      </c>
      <c r="F622" s="38"/>
      <c r="G622" s="38" t="s">
        <v>1485</v>
      </c>
      <c r="H622" s="38" t="s">
        <v>1477</v>
      </c>
      <c r="I622" s="38" t="s">
        <v>1213</v>
      </c>
      <c r="J622" s="38"/>
      <c r="K622" s="35" t="s">
        <v>44</v>
      </c>
    </row>
    <row r="623" customFormat="false" ht="21.75" hidden="false" customHeight="true" outlineLevel="0" collapsed="false">
      <c r="A623" s="39" t="n">
        <v>622</v>
      </c>
      <c r="B623" s="40" t="s">
        <v>1486</v>
      </c>
      <c r="C623" s="39" t="s">
        <v>16</v>
      </c>
      <c r="D623" s="40" t="s">
        <v>880</v>
      </c>
      <c r="E623" s="41" t="n">
        <v>5</v>
      </c>
      <c r="F623" s="42"/>
      <c r="G623" s="42" t="s">
        <v>1487</v>
      </c>
      <c r="H623" s="42" t="s">
        <v>1477</v>
      </c>
      <c r="I623" s="42" t="s">
        <v>1213</v>
      </c>
      <c r="J623" s="42"/>
      <c r="K623" s="39" t="s">
        <v>44</v>
      </c>
    </row>
    <row r="624" customFormat="false" ht="21.75" hidden="false" customHeight="true" outlineLevel="0" collapsed="false">
      <c r="A624" s="35" t="n">
        <v>623</v>
      </c>
      <c r="B624" s="36" t="s">
        <v>1488</v>
      </c>
      <c r="C624" s="35" t="s">
        <v>16</v>
      </c>
      <c r="D624" s="36" t="s">
        <v>880</v>
      </c>
      <c r="E624" s="37" t="n">
        <v>5</v>
      </c>
      <c r="F624" s="38"/>
      <c r="G624" s="38" t="s">
        <v>1489</v>
      </c>
      <c r="H624" s="38" t="s">
        <v>1477</v>
      </c>
      <c r="I624" s="38" t="s">
        <v>1213</v>
      </c>
      <c r="J624" s="38"/>
      <c r="K624" s="35" t="s">
        <v>44</v>
      </c>
    </row>
    <row r="625" customFormat="false" ht="21.75" hidden="false" customHeight="true" outlineLevel="0" collapsed="false">
      <c r="A625" s="39" t="n">
        <v>624</v>
      </c>
      <c r="B625" s="40" t="s">
        <v>1481</v>
      </c>
      <c r="C625" s="39" t="s">
        <v>16</v>
      </c>
      <c r="D625" s="40" t="s">
        <v>880</v>
      </c>
      <c r="E625" s="41" t="n">
        <v>5</v>
      </c>
      <c r="F625" s="42"/>
      <c r="G625" s="42" t="s">
        <v>1490</v>
      </c>
      <c r="H625" s="42" t="s">
        <v>1477</v>
      </c>
      <c r="I625" s="42" t="s">
        <v>1213</v>
      </c>
      <c r="J625" s="42"/>
      <c r="K625" s="39" t="s">
        <v>44</v>
      </c>
    </row>
    <row r="626" customFormat="false" ht="21.75" hidden="false" customHeight="true" outlineLevel="0" collapsed="false">
      <c r="A626" s="35" t="n">
        <v>625</v>
      </c>
      <c r="B626" s="36" t="s">
        <v>1481</v>
      </c>
      <c r="C626" s="35" t="s">
        <v>16</v>
      </c>
      <c r="D626" s="36" t="s">
        <v>880</v>
      </c>
      <c r="E626" s="37" t="n">
        <v>5</v>
      </c>
      <c r="F626" s="38"/>
      <c r="G626" s="38" t="s">
        <v>1491</v>
      </c>
      <c r="H626" s="38" t="s">
        <v>1483</v>
      </c>
      <c r="I626" s="38" t="s">
        <v>1213</v>
      </c>
      <c r="J626" s="38"/>
      <c r="K626" s="35" t="s">
        <v>44</v>
      </c>
    </row>
    <row r="627" customFormat="false" ht="21.75" hidden="false" customHeight="true" outlineLevel="0" collapsed="false">
      <c r="A627" s="39" t="n">
        <v>626</v>
      </c>
      <c r="B627" s="40" t="s">
        <v>1481</v>
      </c>
      <c r="C627" s="39" t="s">
        <v>16</v>
      </c>
      <c r="D627" s="40" t="s">
        <v>880</v>
      </c>
      <c r="E627" s="41" t="n">
        <v>5</v>
      </c>
      <c r="F627" s="42"/>
      <c r="G627" s="42" t="s">
        <v>1492</v>
      </c>
      <c r="H627" s="42" t="s">
        <v>1483</v>
      </c>
      <c r="I627" s="42" t="s">
        <v>1213</v>
      </c>
      <c r="J627" s="42"/>
      <c r="K627" s="39" t="s">
        <v>44</v>
      </c>
    </row>
    <row r="628" customFormat="false" ht="21.75" hidden="false" customHeight="true" outlineLevel="0" collapsed="false">
      <c r="A628" s="35" t="n">
        <v>627</v>
      </c>
      <c r="B628" s="36" t="s">
        <v>1481</v>
      </c>
      <c r="C628" s="35" t="s">
        <v>16</v>
      </c>
      <c r="D628" s="36" t="s">
        <v>880</v>
      </c>
      <c r="E628" s="37" t="n">
        <v>5</v>
      </c>
      <c r="F628" s="38"/>
      <c r="G628" s="38" t="s">
        <v>1493</v>
      </c>
      <c r="H628" s="38" t="s">
        <v>1483</v>
      </c>
      <c r="I628" s="38" t="s">
        <v>1213</v>
      </c>
      <c r="J628" s="38"/>
      <c r="K628" s="35" t="s">
        <v>44</v>
      </c>
    </row>
    <row r="629" customFormat="false" ht="21.75" hidden="false" customHeight="true" outlineLevel="0" collapsed="false">
      <c r="A629" s="39" t="n">
        <v>628</v>
      </c>
      <c r="B629" s="40" t="s">
        <v>1481</v>
      </c>
      <c r="C629" s="39" t="s">
        <v>16</v>
      </c>
      <c r="D629" s="40" t="s">
        <v>880</v>
      </c>
      <c r="E629" s="41" t="n">
        <v>5</v>
      </c>
      <c r="F629" s="42"/>
      <c r="G629" s="42" t="s">
        <v>1494</v>
      </c>
      <c r="H629" s="42" t="s">
        <v>1477</v>
      </c>
      <c r="I629" s="42" t="s">
        <v>1213</v>
      </c>
      <c r="J629" s="42"/>
      <c r="K629" s="39" t="s">
        <v>44</v>
      </c>
    </row>
    <row r="630" customFormat="false" ht="21.75" hidden="false" customHeight="true" outlineLevel="0" collapsed="false">
      <c r="A630" s="35" t="n">
        <v>629</v>
      </c>
      <c r="B630" s="36" t="s">
        <v>1481</v>
      </c>
      <c r="C630" s="35" t="s">
        <v>16</v>
      </c>
      <c r="D630" s="36" t="s">
        <v>880</v>
      </c>
      <c r="E630" s="37" t="n">
        <v>5</v>
      </c>
      <c r="F630" s="38"/>
      <c r="G630" s="38" t="s">
        <v>1495</v>
      </c>
      <c r="H630" s="38" t="s">
        <v>1477</v>
      </c>
      <c r="I630" s="38" t="s">
        <v>1213</v>
      </c>
      <c r="J630" s="38"/>
      <c r="K630" s="35" t="s">
        <v>44</v>
      </c>
    </row>
    <row r="631" customFormat="false" ht="21.75" hidden="false" customHeight="true" outlineLevel="0" collapsed="false">
      <c r="A631" s="39" t="n">
        <v>630</v>
      </c>
      <c r="B631" s="40" t="s">
        <v>1481</v>
      </c>
      <c r="C631" s="39" t="s">
        <v>16</v>
      </c>
      <c r="D631" s="40" t="s">
        <v>880</v>
      </c>
      <c r="E631" s="41" t="n">
        <v>5</v>
      </c>
      <c r="F631" s="42"/>
      <c r="G631" s="42" t="s">
        <v>1496</v>
      </c>
      <c r="H631" s="42" t="s">
        <v>1477</v>
      </c>
      <c r="I631" s="42" t="s">
        <v>1213</v>
      </c>
      <c r="J631" s="42"/>
      <c r="K631" s="39" t="s">
        <v>44</v>
      </c>
    </row>
    <row r="632" customFormat="false" ht="21.75" hidden="false" customHeight="true" outlineLevel="0" collapsed="false">
      <c r="A632" s="35" t="n">
        <v>631</v>
      </c>
      <c r="B632" s="36" t="s">
        <v>1481</v>
      </c>
      <c r="C632" s="35" t="s">
        <v>16</v>
      </c>
      <c r="D632" s="36" t="s">
        <v>880</v>
      </c>
      <c r="E632" s="37" t="n">
        <v>5</v>
      </c>
      <c r="F632" s="38"/>
      <c r="G632" s="38" t="s">
        <v>1497</v>
      </c>
      <c r="H632" s="38" t="s">
        <v>1483</v>
      </c>
      <c r="I632" s="38" t="s">
        <v>1213</v>
      </c>
      <c r="J632" s="38"/>
      <c r="K632" s="35" t="s">
        <v>44</v>
      </c>
    </row>
    <row r="633" customFormat="false" ht="21.75" hidden="false" customHeight="true" outlineLevel="0" collapsed="false">
      <c r="A633" s="39" t="n">
        <v>632</v>
      </c>
      <c r="B633" s="40" t="s">
        <v>1481</v>
      </c>
      <c r="C633" s="39" t="s">
        <v>16</v>
      </c>
      <c r="D633" s="40" t="s">
        <v>880</v>
      </c>
      <c r="E633" s="41" t="n">
        <v>5</v>
      </c>
      <c r="F633" s="42"/>
      <c r="G633" s="42" t="s">
        <v>1498</v>
      </c>
      <c r="H633" s="42" t="s">
        <v>1483</v>
      </c>
      <c r="I633" s="42" t="s">
        <v>1213</v>
      </c>
      <c r="J633" s="42"/>
      <c r="K633" s="39" t="s">
        <v>44</v>
      </c>
    </row>
    <row r="634" customFormat="false" ht="21.75" hidden="false" customHeight="true" outlineLevel="0" collapsed="false">
      <c r="A634" s="35" t="n">
        <v>633</v>
      </c>
      <c r="B634" s="36" t="s">
        <v>1481</v>
      </c>
      <c r="C634" s="35" t="s">
        <v>16</v>
      </c>
      <c r="D634" s="36" t="s">
        <v>880</v>
      </c>
      <c r="E634" s="37" t="n">
        <v>5</v>
      </c>
      <c r="F634" s="38"/>
      <c r="G634" s="38" t="s">
        <v>1499</v>
      </c>
      <c r="H634" s="38" t="s">
        <v>1483</v>
      </c>
      <c r="I634" s="38" t="s">
        <v>1213</v>
      </c>
      <c r="J634" s="38"/>
      <c r="K634" s="35" t="s">
        <v>44</v>
      </c>
    </row>
    <row r="635" customFormat="false" ht="21.75" hidden="false" customHeight="true" outlineLevel="0" collapsed="false">
      <c r="A635" s="39" t="n">
        <v>634</v>
      </c>
      <c r="B635" s="40" t="s">
        <v>1481</v>
      </c>
      <c r="C635" s="39" t="s">
        <v>16</v>
      </c>
      <c r="D635" s="40" t="s">
        <v>880</v>
      </c>
      <c r="E635" s="41" t="n">
        <v>5</v>
      </c>
      <c r="F635" s="42"/>
      <c r="G635" s="42" t="s">
        <v>1500</v>
      </c>
      <c r="H635" s="42" t="s">
        <v>1483</v>
      </c>
      <c r="I635" s="42" t="s">
        <v>1213</v>
      </c>
      <c r="J635" s="42"/>
      <c r="K635" s="39" t="s">
        <v>44</v>
      </c>
    </row>
    <row r="636" customFormat="false" ht="21.75" hidden="false" customHeight="true" outlineLevel="0" collapsed="false">
      <c r="A636" s="35" t="n">
        <v>635</v>
      </c>
      <c r="B636" s="36" t="s">
        <v>1481</v>
      </c>
      <c r="C636" s="35" t="s">
        <v>16</v>
      </c>
      <c r="D636" s="36" t="s">
        <v>880</v>
      </c>
      <c r="E636" s="37" t="n">
        <v>5</v>
      </c>
      <c r="F636" s="38"/>
      <c r="G636" s="38" t="s">
        <v>1501</v>
      </c>
      <c r="H636" s="38" t="s">
        <v>1483</v>
      </c>
      <c r="I636" s="38" t="s">
        <v>1213</v>
      </c>
      <c r="J636" s="38"/>
      <c r="K636" s="35" t="s">
        <v>44</v>
      </c>
    </row>
    <row r="637" customFormat="false" ht="21.75" hidden="false" customHeight="true" outlineLevel="0" collapsed="false">
      <c r="A637" s="39" t="n">
        <v>636</v>
      </c>
      <c r="B637" s="40" t="s">
        <v>1481</v>
      </c>
      <c r="C637" s="39" t="s">
        <v>16</v>
      </c>
      <c r="D637" s="40" t="s">
        <v>880</v>
      </c>
      <c r="E637" s="41" t="n">
        <v>5</v>
      </c>
      <c r="F637" s="42"/>
      <c r="G637" s="42" t="s">
        <v>1502</v>
      </c>
      <c r="H637" s="42" t="s">
        <v>1483</v>
      </c>
      <c r="I637" s="42" t="s">
        <v>1213</v>
      </c>
      <c r="J637" s="42"/>
      <c r="K637" s="39" t="s">
        <v>44</v>
      </c>
    </row>
    <row r="638" customFormat="false" ht="21.75" hidden="false" customHeight="true" outlineLevel="0" collapsed="false">
      <c r="A638" s="35" t="n">
        <v>637</v>
      </c>
      <c r="B638" s="36" t="s">
        <v>1481</v>
      </c>
      <c r="C638" s="35" t="s">
        <v>16</v>
      </c>
      <c r="D638" s="36" t="s">
        <v>880</v>
      </c>
      <c r="E638" s="37" t="n">
        <v>5</v>
      </c>
      <c r="F638" s="38"/>
      <c r="G638" s="38" t="s">
        <v>1503</v>
      </c>
      <c r="H638" s="38" t="s">
        <v>1483</v>
      </c>
      <c r="I638" s="38" t="s">
        <v>1213</v>
      </c>
      <c r="J638" s="38"/>
      <c r="K638" s="35" t="s">
        <v>44</v>
      </c>
    </row>
    <row r="639" customFormat="false" ht="21.75" hidden="false" customHeight="true" outlineLevel="0" collapsed="false">
      <c r="A639" s="39" t="n">
        <v>638</v>
      </c>
      <c r="B639" s="40" t="s">
        <v>1481</v>
      </c>
      <c r="C639" s="39" t="s">
        <v>16</v>
      </c>
      <c r="D639" s="40" t="s">
        <v>880</v>
      </c>
      <c r="E639" s="41" t="n">
        <v>5</v>
      </c>
      <c r="F639" s="42"/>
      <c r="G639" s="42" t="s">
        <v>1504</v>
      </c>
      <c r="H639" s="42" t="s">
        <v>1483</v>
      </c>
      <c r="I639" s="42" t="s">
        <v>1213</v>
      </c>
      <c r="J639" s="42"/>
      <c r="K639" s="39" t="s">
        <v>44</v>
      </c>
    </row>
    <row r="640" customFormat="false" ht="21.75" hidden="false" customHeight="true" outlineLevel="0" collapsed="false">
      <c r="A640" s="35" t="n">
        <v>639</v>
      </c>
      <c r="B640" s="36" t="s">
        <v>1481</v>
      </c>
      <c r="C640" s="35" t="s">
        <v>16</v>
      </c>
      <c r="D640" s="36" t="s">
        <v>880</v>
      </c>
      <c r="E640" s="37" t="n">
        <v>5</v>
      </c>
      <c r="F640" s="38"/>
      <c r="G640" s="38" t="s">
        <v>1505</v>
      </c>
      <c r="H640" s="38" t="s">
        <v>1483</v>
      </c>
      <c r="I640" s="38" t="s">
        <v>1213</v>
      </c>
      <c r="J640" s="38"/>
      <c r="K640" s="35" t="s">
        <v>44</v>
      </c>
    </row>
    <row r="641" customFormat="false" ht="21.75" hidden="false" customHeight="true" outlineLevel="0" collapsed="false">
      <c r="A641" s="39" t="n">
        <v>640</v>
      </c>
      <c r="B641" s="40" t="s">
        <v>1481</v>
      </c>
      <c r="C641" s="39" t="s">
        <v>16</v>
      </c>
      <c r="D641" s="40" t="s">
        <v>880</v>
      </c>
      <c r="E641" s="41" t="n">
        <v>5</v>
      </c>
      <c r="F641" s="42"/>
      <c r="G641" s="42" t="s">
        <v>1506</v>
      </c>
      <c r="H641" s="42" t="s">
        <v>1483</v>
      </c>
      <c r="I641" s="42" t="s">
        <v>1213</v>
      </c>
      <c r="J641" s="42"/>
      <c r="K641" s="39" t="s">
        <v>44</v>
      </c>
    </row>
    <row r="642" customFormat="false" ht="21.75" hidden="false" customHeight="true" outlineLevel="0" collapsed="false">
      <c r="A642" s="35" t="n">
        <v>641</v>
      </c>
      <c r="B642" s="36" t="s">
        <v>1481</v>
      </c>
      <c r="C642" s="35" t="s">
        <v>16</v>
      </c>
      <c r="D642" s="36" t="s">
        <v>880</v>
      </c>
      <c r="E642" s="37" t="n">
        <v>5</v>
      </c>
      <c r="F642" s="38"/>
      <c r="G642" s="38" t="s">
        <v>1507</v>
      </c>
      <c r="H642" s="38" t="s">
        <v>1483</v>
      </c>
      <c r="I642" s="38" t="s">
        <v>1213</v>
      </c>
      <c r="J642" s="38"/>
      <c r="K642" s="35" t="s">
        <v>44</v>
      </c>
    </row>
    <row r="643" customFormat="false" ht="21.75" hidden="false" customHeight="true" outlineLevel="0" collapsed="false">
      <c r="A643" s="39" t="n">
        <v>642</v>
      </c>
      <c r="B643" s="40" t="s">
        <v>1481</v>
      </c>
      <c r="C643" s="39" t="s">
        <v>16</v>
      </c>
      <c r="D643" s="40" t="s">
        <v>880</v>
      </c>
      <c r="E643" s="41" t="n">
        <v>5</v>
      </c>
      <c r="F643" s="42"/>
      <c r="G643" s="42" t="s">
        <v>1508</v>
      </c>
      <c r="H643" s="42" t="s">
        <v>1483</v>
      </c>
      <c r="I643" s="42" t="s">
        <v>1213</v>
      </c>
      <c r="J643" s="42"/>
      <c r="K643" s="39" t="s">
        <v>44</v>
      </c>
    </row>
    <row r="644" customFormat="false" ht="21.75" hidden="false" customHeight="true" outlineLevel="0" collapsed="false">
      <c r="A644" s="35" t="n">
        <v>643</v>
      </c>
      <c r="B644" s="36" t="s">
        <v>1481</v>
      </c>
      <c r="C644" s="35" t="s">
        <v>16</v>
      </c>
      <c r="D644" s="36" t="s">
        <v>880</v>
      </c>
      <c r="E644" s="37" t="n">
        <v>5</v>
      </c>
      <c r="F644" s="38"/>
      <c r="G644" s="38" t="s">
        <v>1509</v>
      </c>
      <c r="H644" s="38" t="s">
        <v>1483</v>
      </c>
      <c r="I644" s="38" t="s">
        <v>1213</v>
      </c>
      <c r="J644" s="38"/>
      <c r="K644" s="35" t="s">
        <v>44</v>
      </c>
    </row>
    <row r="645" customFormat="false" ht="21.75" hidden="false" customHeight="true" outlineLevel="0" collapsed="false">
      <c r="A645" s="39" t="n">
        <v>644</v>
      </c>
      <c r="B645" s="40" t="s">
        <v>1481</v>
      </c>
      <c r="C645" s="39" t="s">
        <v>16</v>
      </c>
      <c r="D645" s="40" t="s">
        <v>880</v>
      </c>
      <c r="E645" s="41" t="n">
        <v>5</v>
      </c>
      <c r="F645" s="42"/>
      <c r="G645" s="42" t="s">
        <v>1510</v>
      </c>
      <c r="H645" s="42" t="s">
        <v>1483</v>
      </c>
      <c r="I645" s="42" t="s">
        <v>1213</v>
      </c>
      <c r="J645" s="42"/>
      <c r="K645" s="39" t="s">
        <v>44</v>
      </c>
    </row>
    <row r="646" customFormat="false" ht="21.75" hidden="false" customHeight="true" outlineLevel="0" collapsed="false">
      <c r="A646" s="35" t="n">
        <v>645</v>
      </c>
      <c r="B646" s="36" t="s">
        <v>1481</v>
      </c>
      <c r="C646" s="35" t="s">
        <v>16</v>
      </c>
      <c r="D646" s="36" t="s">
        <v>880</v>
      </c>
      <c r="E646" s="37" t="n">
        <v>5</v>
      </c>
      <c r="F646" s="38"/>
      <c r="G646" s="38" t="s">
        <v>1511</v>
      </c>
      <c r="H646" s="38" t="s">
        <v>1483</v>
      </c>
      <c r="I646" s="38" t="s">
        <v>1213</v>
      </c>
      <c r="J646" s="38"/>
      <c r="K646" s="35" t="s">
        <v>44</v>
      </c>
    </row>
    <row r="647" customFormat="false" ht="21.75" hidden="false" customHeight="true" outlineLevel="0" collapsed="false">
      <c r="A647" s="39" t="n">
        <v>646</v>
      </c>
      <c r="B647" s="40" t="s">
        <v>1481</v>
      </c>
      <c r="C647" s="39" t="s">
        <v>16</v>
      </c>
      <c r="D647" s="40" t="s">
        <v>880</v>
      </c>
      <c r="E647" s="41" t="n">
        <v>5</v>
      </c>
      <c r="F647" s="42"/>
      <c r="G647" s="42" t="s">
        <v>1512</v>
      </c>
      <c r="H647" s="42" t="s">
        <v>1483</v>
      </c>
      <c r="I647" s="42" t="s">
        <v>1213</v>
      </c>
      <c r="J647" s="42"/>
      <c r="K647" s="39" t="s">
        <v>44</v>
      </c>
    </row>
    <row r="648" customFormat="false" ht="21.75" hidden="false" customHeight="true" outlineLevel="0" collapsed="false">
      <c r="A648" s="35" t="n">
        <v>647</v>
      </c>
      <c r="B648" s="36" t="s">
        <v>1481</v>
      </c>
      <c r="C648" s="35" t="s">
        <v>16</v>
      </c>
      <c r="D648" s="36" t="s">
        <v>880</v>
      </c>
      <c r="E648" s="37" t="n">
        <v>5</v>
      </c>
      <c r="F648" s="38"/>
      <c r="G648" s="38" t="s">
        <v>1513</v>
      </c>
      <c r="H648" s="38" t="s">
        <v>1483</v>
      </c>
      <c r="I648" s="38" t="s">
        <v>1213</v>
      </c>
      <c r="J648" s="38"/>
      <c r="K648" s="35" t="s">
        <v>44</v>
      </c>
    </row>
    <row r="649" customFormat="false" ht="21.75" hidden="false" customHeight="true" outlineLevel="0" collapsed="false">
      <c r="A649" s="39" t="n">
        <v>648</v>
      </c>
      <c r="B649" s="40" t="s">
        <v>1481</v>
      </c>
      <c r="C649" s="39" t="s">
        <v>16</v>
      </c>
      <c r="D649" s="40" t="s">
        <v>880</v>
      </c>
      <c r="E649" s="41" t="n">
        <v>5</v>
      </c>
      <c r="F649" s="42"/>
      <c r="G649" s="42" t="s">
        <v>1514</v>
      </c>
      <c r="H649" s="42" t="s">
        <v>1483</v>
      </c>
      <c r="I649" s="42" t="s">
        <v>1213</v>
      </c>
      <c r="J649" s="42"/>
      <c r="K649" s="39" t="s">
        <v>44</v>
      </c>
    </row>
    <row r="650" customFormat="false" ht="21.75" hidden="false" customHeight="true" outlineLevel="0" collapsed="false">
      <c r="A650" s="35" t="n">
        <v>649</v>
      </c>
      <c r="B650" s="36" t="s">
        <v>1481</v>
      </c>
      <c r="C650" s="35" t="s">
        <v>16</v>
      </c>
      <c r="D650" s="36" t="s">
        <v>880</v>
      </c>
      <c r="E650" s="37" t="n">
        <v>5</v>
      </c>
      <c r="F650" s="38"/>
      <c r="G650" s="38" t="s">
        <v>1515</v>
      </c>
      <c r="H650" s="38" t="s">
        <v>1483</v>
      </c>
      <c r="I650" s="38" t="s">
        <v>1213</v>
      </c>
      <c r="J650" s="38"/>
      <c r="K650" s="35" t="s">
        <v>44</v>
      </c>
    </row>
    <row r="651" customFormat="false" ht="21.75" hidden="false" customHeight="true" outlineLevel="0" collapsed="false">
      <c r="A651" s="39" t="n">
        <v>650</v>
      </c>
      <c r="B651" s="40" t="s">
        <v>1488</v>
      </c>
      <c r="C651" s="39" t="s">
        <v>16</v>
      </c>
      <c r="D651" s="40" t="s">
        <v>880</v>
      </c>
      <c r="E651" s="41" t="n">
        <v>5</v>
      </c>
      <c r="F651" s="42"/>
      <c r="G651" s="42" t="s">
        <v>1516</v>
      </c>
      <c r="H651" s="42" t="s">
        <v>1477</v>
      </c>
      <c r="I651" s="42" t="s">
        <v>1213</v>
      </c>
      <c r="J651" s="42"/>
      <c r="K651" s="39" t="s">
        <v>44</v>
      </c>
    </row>
    <row r="652" customFormat="false" ht="21.75" hidden="false" customHeight="true" outlineLevel="0" collapsed="false">
      <c r="A652" s="35" t="n">
        <v>651</v>
      </c>
      <c r="B652" s="36" t="s">
        <v>1488</v>
      </c>
      <c r="C652" s="35" t="s">
        <v>16</v>
      </c>
      <c r="D652" s="36" t="s">
        <v>880</v>
      </c>
      <c r="E652" s="37" t="n">
        <v>5</v>
      </c>
      <c r="F652" s="38"/>
      <c r="G652" s="38" t="s">
        <v>1516</v>
      </c>
      <c r="H652" s="38" t="s">
        <v>1477</v>
      </c>
      <c r="I652" s="38" t="s">
        <v>1213</v>
      </c>
      <c r="J652" s="38"/>
      <c r="K652" s="35" t="s">
        <v>44</v>
      </c>
    </row>
    <row r="653" customFormat="false" ht="21.75" hidden="false" customHeight="true" outlineLevel="0" collapsed="false">
      <c r="A653" s="39" t="n">
        <v>652</v>
      </c>
      <c r="B653" s="40" t="s">
        <v>1488</v>
      </c>
      <c r="C653" s="39" t="s">
        <v>16</v>
      </c>
      <c r="D653" s="40" t="s">
        <v>880</v>
      </c>
      <c r="E653" s="41" t="n">
        <v>5</v>
      </c>
      <c r="F653" s="42"/>
      <c r="G653" s="42" t="s">
        <v>1479</v>
      </c>
      <c r="H653" s="42" t="s">
        <v>1477</v>
      </c>
      <c r="I653" s="42" t="s">
        <v>1213</v>
      </c>
      <c r="J653" s="42"/>
      <c r="K653" s="39" t="s">
        <v>44</v>
      </c>
    </row>
    <row r="654" customFormat="false" ht="21.75" hidden="false" customHeight="true" outlineLevel="0" collapsed="false">
      <c r="A654" s="35" t="n">
        <v>653</v>
      </c>
      <c r="B654" s="36" t="s">
        <v>1488</v>
      </c>
      <c r="C654" s="35" t="s">
        <v>16</v>
      </c>
      <c r="D654" s="36" t="s">
        <v>880</v>
      </c>
      <c r="E654" s="37" t="n">
        <v>5</v>
      </c>
      <c r="F654" s="38"/>
      <c r="G654" s="38" t="s">
        <v>1517</v>
      </c>
      <c r="H654" s="38" t="s">
        <v>1477</v>
      </c>
      <c r="I654" s="38" t="s">
        <v>1213</v>
      </c>
      <c r="J654" s="38"/>
      <c r="K654" s="35" t="s">
        <v>44</v>
      </c>
    </row>
    <row r="655" customFormat="false" ht="21.75" hidden="false" customHeight="true" outlineLevel="0" collapsed="false">
      <c r="A655" s="39" t="n">
        <v>654</v>
      </c>
      <c r="B655" s="40" t="s">
        <v>1518</v>
      </c>
      <c r="C655" s="39" t="s">
        <v>16</v>
      </c>
      <c r="D655" s="40" t="s">
        <v>880</v>
      </c>
      <c r="E655" s="41" t="n">
        <v>5</v>
      </c>
      <c r="F655" s="42" t="s">
        <v>1519</v>
      </c>
      <c r="G655" s="42" t="s">
        <v>1520</v>
      </c>
      <c r="H655" s="42" t="s">
        <v>1521</v>
      </c>
      <c r="I655" s="42" t="s">
        <v>1213</v>
      </c>
      <c r="J655" s="42"/>
      <c r="K655" s="39" t="s">
        <v>44</v>
      </c>
    </row>
    <row r="656" customFormat="false" ht="21.75" hidden="false" customHeight="true" outlineLevel="0" collapsed="false">
      <c r="A656" s="35" t="n">
        <v>655</v>
      </c>
      <c r="B656" s="36" t="s">
        <v>1518</v>
      </c>
      <c r="C656" s="35" t="s">
        <v>16</v>
      </c>
      <c r="D656" s="36" t="s">
        <v>880</v>
      </c>
      <c r="E656" s="37" t="n">
        <v>5</v>
      </c>
      <c r="F656" s="38" t="s">
        <v>1522</v>
      </c>
      <c r="G656" s="38" t="s">
        <v>1523</v>
      </c>
      <c r="H656" s="38" t="s">
        <v>1521</v>
      </c>
      <c r="I656" s="38" t="s">
        <v>1213</v>
      </c>
      <c r="J656" s="38"/>
      <c r="K656" s="35" t="s">
        <v>44</v>
      </c>
    </row>
    <row r="657" customFormat="false" ht="21.75" hidden="false" customHeight="true" outlineLevel="0" collapsed="false">
      <c r="A657" s="39" t="n">
        <v>656</v>
      </c>
      <c r="B657" s="40" t="s">
        <v>1518</v>
      </c>
      <c r="C657" s="39" t="s">
        <v>16</v>
      </c>
      <c r="D657" s="40" t="s">
        <v>880</v>
      </c>
      <c r="E657" s="41" t="n">
        <v>5</v>
      </c>
      <c r="F657" s="42" t="s">
        <v>1524</v>
      </c>
      <c r="G657" s="42" t="s">
        <v>1525</v>
      </c>
      <c r="H657" s="42" t="s">
        <v>1521</v>
      </c>
      <c r="I657" s="42" t="s">
        <v>1213</v>
      </c>
      <c r="J657" s="42"/>
      <c r="K657" s="39" t="s">
        <v>44</v>
      </c>
    </row>
    <row r="658" customFormat="false" ht="21.75" hidden="false" customHeight="true" outlineLevel="0" collapsed="false">
      <c r="A658" s="35" t="n">
        <v>657</v>
      </c>
      <c r="B658" s="36" t="s">
        <v>1518</v>
      </c>
      <c r="C658" s="35" t="s">
        <v>16</v>
      </c>
      <c r="D658" s="36" t="s">
        <v>880</v>
      </c>
      <c r="E658" s="37" t="n">
        <v>5</v>
      </c>
      <c r="F658" s="38" t="s">
        <v>1526</v>
      </c>
      <c r="G658" s="38" t="s">
        <v>1527</v>
      </c>
      <c r="H658" s="38" t="s">
        <v>1521</v>
      </c>
      <c r="I658" s="38" t="s">
        <v>1213</v>
      </c>
      <c r="J658" s="38"/>
      <c r="K658" s="35" t="s">
        <v>44</v>
      </c>
    </row>
    <row r="659" customFormat="false" ht="21.75" hidden="false" customHeight="true" outlineLevel="0" collapsed="false">
      <c r="A659" s="39" t="n">
        <v>658</v>
      </c>
      <c r="B659" s="40" t="s">
        <v>1518</v>
      </c>
      <c r="C659" s="39" t="s">
        <v>16</v>
      </c>
      <c r="D659" s="40" t="s">
        <v>880</v>
      </c>
      <c r="E659" s="41" t="n">
        <v>5</v>
      </c>
      <c r="F659" s="42" t="s">
        <v>1528</v>
      </c>
      <c r="G659" s="42" t="s">
        <v>1529</v>
      </c>
      <c r="H659" s="42" t="s">
        <v>1521</v>
      </c>
      <c r="I659" s="42" t="s">
        <v>1213</v>
      </c>
      <c r="J659" s="42"/>
      <c r="K659" s="39" t="s">
        <v>44</v>
      </c>
    </row>
    <row r="660" customFormat="false" ht="21.75" hidden="false" customHeight="true" outlineLevel="0" collapsed="false">
      <c r="A660" s="35" t="n">
        <v>659</v>
      </c>
      <c r="B660" s="36" t="s">
        <v>1518</v>
      </c>
      <c r="C660" s="35" t="s">
        <v>16</v>
      </c>
      <c r="D660" s="36" t="s">
        <v>880</v>
      </c>
      <c r="E660" s="37" t="n">
        <v>5</v>
      </c>
      <c r="F660" s="38" t="s">
        <v>1530</v>
      </c>
      <c r="G660" s="38" t="s">
        <v>1531</v>
      </c>
      <c r="H660" s="38" t="s">
        <v>1521</v>
      </c>
      <c r="I660" s="38" t="s">
        <v>1213</v>
      </c>
      <c r="J660" s="38"/>
      <c r="K660" s="35" t="s">
        <v>44</v>
      </c>
    </row>
    <row r="661" customFormat="false" ht="21.75" hidden="false" customHeight="true" outlineLevel="0" collapsed="false">
      <c r="A661" s="39" t="n">
        <v>660</v>
      </c>
      <c r="B661" s="40" t="s">
        <v>1532</v>
      </c>
      <c r="C661" s="39" t="s">
        <v>16</v>
      </c>
      <c r="D661" s="40" t="s">
        <v>880</v>
      </c>
      <c r="E661" s="41" t="n">
        <v>5</v>
      </c>
      <c r="F661" s="42" t="s">
        <v>1533</v>
      </c>
      <c r="G661" s="42" t="s">
        <v>1534</v>
      </c>
      <c r="H661" s="42" t="s">
        <v>1535</v>
      </c>
      <c r="I661" s="42" t="s">
        <v>1213</v>
      </c>
      <c r="J661" s="42"/>
      <c r="K661" s="39" t="s">
        <v>44</v>
      </c>
    </row>
    <row r="662" customFormat="false" ht="21.75" hidden="false" customHeight="true" outlineLevel="0" collapsed="false">
      <c r="A662" s="35" t="n">
        <v>661</v>
      </c>
      <c r="B662" s="36" t="s">
        <v>1536</v>
      </c>
      <c r="C662" s="35" t="s">
        <v>16</v>
      </c>
      <c r="D662" s="36" t="s">
        <v>880</v>
      </c>
      <c r="E662" s="37" t="n">
        <v>5</v>
      </c>
      <c r="F662" s="38" t="s">
        <v>1537</v>
      </c>
      <c r="G662" s="38" t="s">
        <v>1538</v>
      </c>
      <c r="H662" s="38" t="s">
        <v>1521</v>
      </c>
      <c r="I662" s="38" t="s">
        <v>1213</v>
      </c>
      <c r="J662" s="38"/>
      <c r="K662" s="35" t="s">
        <v>44</v>
      </c>
    </row>
    <row r="663" customFormat="false" ht="21.75" hidden="false" customHeight="true" outlineLevel="0" collapsed="false">
      <c r="A663" s="39" t="n">
        <v>662</v>
      </c>
      <c r="B663" s="40" t="s">
        <v>1536</v>
      </c>
      <c r="C663" s="39" t="s">
        <v>16</v>
      </c>
      <c r="D663" s="40" t="s">
        <v>880</v>
      </c>
      <c r="E663" s="41" t="n">
        <v>5</v>
      </c>
      <c r="F663" s="42" t="s">
        <v>1539</v>
      </c>
      <c r="G663" s="42" t="s">
        <v>1540</v>
      </c>
      <c r="H663" s="42" t="s">
        <v>1521</v>
      </c>
      <c r="I663" s="42" t="s">
        <v>1213</v>
      </c>
      <c r="J663" s="42"/>
      <c r="K663" s="39" t="s">
        <v>44</v>
      </c>
    </row>
    <row r="664" customFormat="false" ht="21.75" hidden="false" customHeight="true" outlineLevel="0" collapsed="false">
      <c r="A664" s="35" t="n">
        <v>663</v>
      </c>
      <c r="B664" s="36" t="s">
        <v>1536</v>
      </c>
      <c r="C664" s="35" t="s">
        <v>16</v>
      </c>
      <c r="D664" s="36" t="s">
        <v>880</v>
      </c>
      <c r="E664" s="37" t="n">
        <v>5</v>
      </c>
      <c r="F664" s="38" t="s">
        <v>1541</v>
      </c>
      <c r="G664" s="38" t="s">
        <v>1542</v>
      </c>
      <c r="H664" s="38" t="s">
        <v>1521</v>
      </c>
      <c r="I664" s="38" t="s">
        <v>1213</v>
      </c>
      <c r="J664" s="38"/>
      <c r="K664" s="35" t="s">
        <v>44</v>
      </c>
    </row>
    <row r="665" customFormat="false" ht="21.75" hidden="false" customHeight="true" outlineLevel="0" collapsed="false">
      <c r="A665" s="39" t="n">
        <v>664</v>
      </c>
      <c r="B665" s="40" t="s">
        <v>1543</v>
      </c>
      <c r="C665" s="39" t="s">
        <v>16</v>
      </c>
      <c r="D665" s="40" t="s">
        <v>880</v>
      </c>
      <c r="E665" s="41" t="n">
        <v>5</v>
      </c>
      <c r="F665" s="42" t="s">
        <v>1544</v>
      </c>
      <c r="G665" s="42" t="s">
        <v>1545</v>
      </c>
      <c r="H665" s="42" t="s">
        <v>1535</v>
      </c>
      <c r="I665" s="42" t="s">
        <v>1213</v>
      </c>
      <c r="J665" s="42"/>
      <c r="K665" s="39" t="s">
        <v>44</v>
      </c>
    </row>
    <row r="666" customFormat="false" ht="21.75" hidden="false" customHeight="true" outlineLevel="0" collapsed="false">
      <c r="A666" s="35" t="n">
        <v>665</v>
      </c>
      <c r="B666" s="36" t="s">
        <v>1518</v>
      </c>
      <c r="C666" s="35" t="s">
        <v>16</v>
      </c>
      <c r="D666" s="36" t="s">
        <v>880</v>
      </c>
      <c r="E666" s="37" t="n">
        <v>5</v>
      </c>
      <c r="F666" s="38" t="s">
        <v>1546</v>
      </c>
      <c r="G666" s="38" t="s">
        <v>1547</v>
      </c>
      <c r="H666" s="38" t="s">
        <v>1535</v>
      </c>
      <c r="I666" s="38" t="s">
        <v>1213</v>
      </c>
      <c r="J666" s="38"/>
      <c r="K666" s="35" t="s">
        <v>44</v>
      </c>
    </row>
    <row r="667" customFormat="false" ht="21.75" hidden="false" customHeight="true" outlineLevel="0" collapsed="false">
      <c r="A667" s="39" t="n">
        <v>666</v>
      </c>
      <c r="B667" s="40" t="s">
        <v>1548</v>
      </c>
      <c r="C667" s="39" t="s">
        <v>16</v>
      </c>
      <c r="D667" s="40" t="s">
        <v>880</v>
      </c>
      <c r="E667" s="41" t="n">
        <v>5</v>
      </c>
      <c r="F667" s="42" t="s">
        <v>1549</v>
      </c>
      <c r="G667" s="42" t="s">
        <v>1550</v>
      </c>
      <c r="H667" s="42" t="s">
        <v>1535</v>
      </c>
      <c r="I667" s="42" t="s">
        <v>1213</v>
      </c>
      <c r="J667" s="42"/>
      <c r="K667" s="39" t="s">
        <v>44</v>
      </c>
    </row>
    <row r="668" customFormat="false" ht="21.75" hidden="false" customHeight="true" outlineLevel="0" collapsed="false">
      <c r="A668" s="35" t="n">
        <v>667</v>
      </c>
      <c r="B668" s="36" t="s">
        <v>1548</v>
      </c>
      <c r="C668" s="35" t="s">
        <v>16</v>
      </c>
      <c r="D668" s="36" t="s">
        <v>880</v>
      </c>
      <c r="E668" s="37" t="n">
        <v>5</v>
      </c>
      <c r="F668" s="38" t="s">
        <v>1551</v>
      </c>
      <c r="G668" s="38" t="s">
        <v>1552</v>
      </c>
      <c r="H668" s="38" t="s">
        <v>1535</v>
      </c>
      <c r="I668" s="38" t="s">
        <v>1213</v>
      </c>
      <c r="J668" s="38"/>
      <c r="K668" s="35" t="s">
        <v>44</v>
      </c>
    </row>
    <row r="669" customFormat="false" ht="21.75" hidden="false" customHeight="true" outlineLevel="0" collapsed="false">
      <c r="A669" s="39" t="n">
        <v>668</v>
      </c>
      <c r="B669" s="40" t="s">
        <v>1548</v>
      </c>
      <c r="C669" s="39" t="s">
        <v>16</v>
      </c>
      <c r="D669" s="40" t="s">
        <v>880</v>
      </c>
      <c r="E669" s="41" t="n">
        <v>5</v>
      </c>
      <c r="F669" s="42" t="s">
        <v>1553</v>
      </c>
      <c r="G669" s="42" t="s">
        <v>1554</v>
      </c>
      <c r="H669" s="42" t="s">
        <v>1535</v>
      </c>
      <c r="I669" s="42" t="s">
        <v>1213</v>
      </c>
      <c r="J669" s="42"/>
      <c r="K669" s="39" t="s">
        <v>44</v>
      </c>
    </row>
    <row r="670" customFormat="false" ht="21.75" hidden="false" customHeight="true" outlineLevel="0" collapsed="false">
      <c r="A670" s="35" t="n">
        <v>669</v>
      </c>
      <c r="B670" s="36" t="s">
        <v>1548</v>
      </c>
      <c r="C670" s="35" t="s">
        <v>16</v>
      </c>
      <c r="D670" s="36" t="s">
        <v>880</v>
      </c>
      <c r="E670" s="37" t="n">
        <v>5</v>
      </c>
      <c r="F670" s="38" t="s">
        <v>1555</v>
      </c>
      <c r="G670" s="38" t="s">
        <v>1556</v>
      </c>
      <c r="H670" s="38" t="s">
        <v>1535</v>
      </c>
      <c r="I670" s="38" t="s">
        <v>1213</v>
      </c>
      <c r="J670" s="38"/>
      <c r="K670" s="35" t="s">
        <v>44</v>
      </c>
    </row>
    <row r="671" customFormat="false" ht="21.75" hidden="false" customHeight="true" outlineLevel="0" collapsed="false">
      <c r="A671" s="39" t="n">
        <v>670</v>
      </c>
      <c r="B671" s="40" t="s">
        <v>1548</v>
      </c>
      <c r="C671" s="39" t="s">
        <v>16</v>
      </c>
      <c r="D671" s="40" t="s">
        <v>880</v>
      </c>
      <c r="E671" s="41" t="n">
        <v>5</v>
      </c>
      <c r="F671" s="42" t="s">
        <v>1557</v>
      </c>
      <c r="G671" s="42" t="s">
        <v>1558</v>
      </c>
      <c r="H671" s="42" t="s">
        <v>1535</v>
      </c>
      <c r="I671" s="42" t="s">
        <v>1213</v>
      </c>
      <c r="J671" s="42"/>
      <c r="K671" s="39" t="s">
        <v>44</v>
      </c>
    </row>
    <row r="672" customFormat="false" ht="21.75" hidden="false" customHeight="true" outlineLevel="0" collapsed="false">
      <c r="A672" s="35" t="n">
        <v>671</v>
      </c>
      <c r="B672" s="36" t="s">
        <v>1548</v>
      </c>
      <c r="C672" s="35" t="s">
        <v>16</v>
      </c>
      <c r="D672" s="36" t="s">
        <v>880</v>
      </c>
      <c r="E672" s="37" t="n">
        <v>5</v>
      </c>
      <c r="F672" s="38" t="s">
        <v>1559</v>
      </c>
      <c r="G672" s="38" t="s">
        <v>1560</v>
      </c>
      <c r="H672" s="38" t="s">
        <v>1535</v>
      </c>
      <c r="I672" s="38" t="s">
        <v>1213</v>
      </c>
      <c r="J672" s="38"/>
      <c r="K672" s="35" t="s">
        <v>44</v>
      </c>
    </row>
    <row r="673" customFormat="false" ht="21.75" hidden="false" customHeight="true" outlineLevel="0" collapsed="false">
      <c r="A673" s="39" t="n">
        <v>672</v>
      </c>
      <c r="B673" s="40" t="s">
        <v>1548</v>
      </c>
      <c r="C673" s="39" t="s">
        <v>16</v>
      </c>
      <c r="D673" s="40" t="s">
        <v>880</v>
      </c>
      <c r="E673" s="41" t="n">
        <v>5</v>
      </c>
      <c r="F673" s="42" t="s">
        <v>1561</v>
      </c>
      <c r="G673" s="42" t="s">
        <v>1562</v>
      </c>
      <c r="H673" s="42" t="s">
        <v>1535</v>
      </c>
      <c r="I673" s="42" t="s">
        <v>1213</v>
      </c>
      <c r="J673" s="42"/>
      <c r="K673" s="39" t="s">
        <v>44</v>
      </c>
    </row>
    <row r="674" customFormat="false" ht="21.75" hidden="false" customHeight="true" outlineLevel="0" collapsed="false">
      <c r="A674" s="35" t="n">
        <v>673</v>
      </c>
      <c r="B674" s="36" t="s">
        <v>1548</v>
      </c>
      <c r="C674" s="35" t="s">
        <v>16</v>
      </c>
      <c r="D674" s="36" t="s">
        <v>880</v>
      </c>
      <c r="E674" s="37" t="n">
        <v>5</v>
      </c>
      <c r="F674" s="38" t="s">
        <v>1563</v>
      </c>
      <c r="G674" s="38" t="s">
        <v>1564</v>
      </c>
      <c r="H674" s="38" t="s">
        <v>1535</v>
      </c>
      <c r="I674" s="38" t="s">
        <v>1213</v>
      </c>
      <c r="J674" s="38"/>
      <c r="K674" s="35" t="s">
        <v>44</v>
      </c>
    </row>
    <row r="675" customFormat="false" ht="21.75" hidden="false" customHeight="true" outlineLevel="0" collapsed="false">
      <c r="A675" s="39" t="n">
        <v>674</v>
      </c>
      <c r="B675" s="40" t="s">
        <v>1548</v>
      </c>
      <c r="C675" s="39" t="s">
        <v>16</v>
      </c>
      <c r="D675" s="40" t="s">
        <v>880</v>
      </c>
      <c r="E675" s="41" t="n">
        <v>5</v>
      </c>
      <c r="F675" s="42" t="s">
        <v>1565</v>
      </c>
      <c r="G675" s="42" t="s">
        <v>1566</v>
      </c>
      <c r="H675" s="42" t="s">
        <v>1535</v>
      </c>
      <c r="I675" s="42" t="s">
        <v>1213</v>
      </c>
      <c r="J675" s="42"/>
      <c r="K675" s="39" t="s">
        <v>44</v>
      </c>
    </row>
    <row r="676" customFormat="false" ht="21.75" hidden="false" customHeight="true" outlineLevel="0" collapsed="false">
      <c r="A676" s="35" t="n">
        <v>675</v>
      </c>
      <c r="B676" s="36" t="s">
        <v>1548</v>
      </c>
      <c r="C676" s="35" t="s">
        <v>16</v>
      </c>
      <c r="D676" s="36" t="s">
        <v>880</v>
      </c>
      <c r="E676" s="37" t="n">
        <v>5</v>
      </c>
      <c r="F676" s="38" t="s">
        <v>1567</v>
      </c>
      <c r="G676" s="38" t="s">
        <v>1568</v>
      </c>
      <c r="H676" s="38" t="s">
        <v>1535</v>
      </c>
      <c r="I676" s="38" t="s">
        <v>1213</v>
      </c>
      <c r="J676" s="38"/>
      <c r="K676" s="35" t="s">
        <v>44</v>
      </c>
    </row>
    <row r="677" customFormat="false" ht="21.75" hidden="false" customHeight="true" outlineLevel="0" collapsed="false">
      <c r="A677" s="39" t="n">
        <v>676</v>
      </c>
      <c r="B677" s="40" t="s">
        <v>1548</v>
      </c>
      <c r="C677" s="39" t="s">
        <v>16</v>
      </c>
      <c r="D677" s="40" t="s">
        <v>880</v>
      </c>
      <c r="E677" s="41" t="n">
        <v>5</v>
      </c>
      <c r="F677" s="42" t="s">
        <v>1569</v>
      </c>
      <c r="G677" s="42" t="s">
        <v>1570</v>
      </c>
      <c r="H677" s="42" t="s">
        <v>1535</v>
      </c>
      <c r="I677" s="42" t="s">
        <v>1213</v>
      </c>
      <c r="J677" s="42"/>
      <c r="K677" s="39" t="s">
        <v>44</v>
      </c>
    </row>
    <row r="678" customFormat="false" ht="21.75" hidden="false" customHeight="true" outlineLevel="0" collapsed="false">
      <c r="A678" s="35" t="n">
        <v>677</v>
      </c>
      <c r="B678" s="36" t="s">
        <v>1548</v>
      </c>
      <c r="C678" s="35" t="s">
        <v>16</v>
      </c>
      <c r="D678" s="36" t="s">
        <v>880</v>
      </c>
      <c r="E678" s="37" t="n">
        <v>5</v>
      </c>
      <c r="F678" s="38" t="s">
        <v>1571</v>
      </c>
      <c r="G678" s="38" t="s">
        <v>1572</v>
      </c>
      <c r="H678" s="38" t="s">
        <v>1535</v>
      </c>
      <c r="I678" s="38" t="s">
        <v>1213</v>
      </c>
      <c r="J678" s="38"/>
      <c r="K678" s="35" t="s">
        <v>44</v>
      </c>
    </row>
    <row r="679" customFormat="false" ht="21.75" hidden="false" customHeight="true" outlineLevel="0" collapsed="false">
      <c r="A679" s="39" t="n">
        <v>678</v>
      </c>
      <c r="B679" s="40" t="s">
        <v>1573</v>
      </c>
      <c r="C679" s="39" t="s">
        <v>16</v>
      </c>
      <c r="D679" s="40" t="s">
        <v>880</v>
      </c>
      <c r="E679" s="41" t="n">
        <v>5</v>
      </c>
      <c r="F679" s="42" t="s">
        <v>1574</v>
      </c>
      <c r="G679" s="42" t="s">
        <v>1575</v>
      </c>
      <c r="H679" s="42" t="s">
        <v>1535</v>
      </c>
      <c r="I679" s="42" t="s">
        <v>1213</v>
      </c>
      <c r="J679" s="42"/>
      <c r="K679" s="39" t="s">
        <v>44</v>
      </c>
    </row>
    <row r="680" customFormat="false" ht="21.75" hidden="false" customHeight="true" outlineLevel="0" collapsed="false">
      <c r="A680" s="35" t="n">
        <v>679</v>
      </c>
      <c r="B680" s="36" t="s">
        <v>1548</v>
      </c>
      <c r="C680" s="35" t="s">
        <v>16</v>
      </c>
      <c r="D680" s="36" t="s">
        <v>880</v>
      </c>
      <c r="E680" s="37" t="n">
        <v>5</v>
      </c>
      <c r="F680" s="38" t="s">
        <v>1576</v>
      </c>
      <c r="G680" s="38" t="s">
        <v>1577</v>
      </c>
      <c r="H680" s="38" t="s">
        <v>1535</v>
      </c>
      <c r="I680" s="38" t="s">
        <v>1213</v>
      </c>
      <c r="J680" s="38"/>
      <c r="K680" s="35" t="s">
        <v>44</v>
      </c>
    </row>
    <row r="681" customFormat="false" ht="21.75" hidden="false" customHeight="true" outlineLevel="0" collapsed="false">
      <c r="A681" s="39" t="n">
        <v>680</v>
      </c>
      <c r="B681" s="40" t="s">
        <v>1488</v>
      </c>
      <c r="C681" s="39" t="s">
        <v>16</v>
      </c>
      <c r="D681" s="40" t="s">
        <v>880</v>
      </c>
      <c r="E681" s="41" t="n">
        <v>5</v>
      </c>
      <c r="F681" s="42" t="s">
        <v>1578</v>
      </c>
      <c r="G681" s="42" t="s">
        <v>1579</v>
      </c>
      <c r="H681" s="42" t="s">
        <v>1535</v>
      </c>
      <c r="I681" s="42" t="s">
        <v>1213</v>
      </c>
      <c r="J681" s="42"/>
      <c r="K681" s="39" t="s">
        <v>44</v>
      </c>
    </row>
    <row r="682" customFormat="false" ht="21.75" hidden="false" customHeight="true" outlineLevel="0" collapsed="false">
      <c r="A682" s="35" t="n">
        <v>681</v>
      </c>
      <c r="B682" s="36" t="s">
        <v>1580</v>
      </c>
      <c r="C682" s="35" t="s">
        <v>16</v>
      </c>
      <c r="D682" s="36" t="s">
        <v>880</v>
      </c>
      <c r="E682" s="37" t="n">
        <v>5</v>
      </c>
      <c r="F682" s="38" t="s">
        <v>1581</v>
      </c>
      <c r="G682" s="38" t="s">
        <v>1582</v>
      </c>
      <c r="H682" s="38" t="s">
        <v>1535</v>
      </c>
      <c r="I682" s="38" t="s">
        <v>1213</v>
      </c>
      <c r="J682" s="38"/>
      <c r="K682" s="35" t="s">
        <v>44</v>
      </c>
    </row>
    <row r="683" customFormat="false" ht="21.75" hidden="false" customHeight="true" outlineLevel="0" collapsed="false">
      <c r="A683" s="39" t="n">
        <v>682</v>
      </c>
      <c r="B683" s="40" t="s">
        <v>1518</v>
      </c>
      <c r="C683" s="39" t="s">
        <v>16</v>
      </c>
      <c r="D683" s="40" t="s">
        <v>880</v>
      </c>
      <c r="E683" s="41" t="n">
        <v>5</v>
      </c>
      <c r="F683" s="42" t="s">
        <v>1583</v>
      </c>
      <c r="G683" s="42" t="s">
        <v>1584</v>
      </c>
      <c r="H683" s="42" t="s">
        <v>1535</v>
      </c>
      <c r="I683" s="42" t="s">
        <v>1213</v>
      </c>
      <c r="J683" s="42"/>
      <c r="K683" s="39" t="s">
        <v>44</v>
      </c>
    </row>
    <row r="684" customFormat="false" ht="21.75" hidden="false" customHeight="true" outlineLevel="0" collapsed="false">
      <c r="A684" s="35" t="n">
        <v>683</v>
      </c>
      <c r="B684" s="36" t="s">
        <v>1518</v>
      </c>
      <c r="C684" s="35" t="s">
        <v>16</v>
      </c>
      <c r="D684" s="36" t="s">
        <v>880</v>
      </c>
      <c r="E684" s="37" t="n">
        <v>5</v>
      </c>
      <c r="F684" s="38" t="s">
        <v>1585</v>
      </c>
      <c r="G684" s="38" t="s">
        <v>1586</v>
      </c>
      <c r="H684" s="38" t="s">
        <v>1535</v>
      </c>
      <c r="I684" s="38" t="s">
        <v>1213</v>
      </c>
      <c r="J684" s="38"/>
      <c r="K684" s="35" t="s">
        <v>44</v>
      </c>
    </row>
    <row r="685" customFormat="false" ht="21.75" hidden="false" customHeight="true" outlineLevel="0" collapsed="false">
      <c r="A685" s="39" t="n">
        <v>684</v>
      </c>
      <c r="B685" s="40" t="s">
        <v>1580</v>
      </c>
      <c r="C685" s="39" t="s">
        <v>16</v>
      </c>
      <c r="D685" s="40" t="s">
        <v>880</v>
      </c>
      <c r="E685" s="41" t="n">
        <v>5</v>
      </c>
      <c r="F685" s="42" t="s">
        <v>1587</v>
      </c>
      <c r="G685" s="42" t="s">
        <v>1588</v>
      </c>
      <c r="H685" s="42" t="s">
        <v>1521</v>
      </c>
      <c r="I685" s="42" t="s">
        <v>1213</v>
      </c>
      <c r="J685" s="42"/>
      <c r="K685" s="39" t="s">
        <v>44</v>
      </c>
    </row>
    <row r="686" customFormat="false" ht="21.75" hidden="false" customHeight="true" outlineLevel="0" collapsed="false">
      <c r="A686" s="35" t="n">
        <v>685</v>
      </c>
      <c r="B686" s="36" t="s">
        <v>1536</v>
      </c>
      <c r="C686" s="35" t="s">
        <v>16</v>
      </c>
      <c r="D686" s="36" t="s">
        <v>880</v>
      </c>
      <c r="E686" s="37" t="n">
        <v>5</v>
      </c>
      <c r="F686" s="38" t="s">
        <v>1589</v>
      </c>
      <c r="G686" s="38" t="s">
        <v>1590</v>
      </c>
      <c r="H686" s="38" t="s">
        <v>1521</v>
      </c>
      <c r="I686" s="38" t="s">
        <v>1213</v>
      </c>
      <c r="J686" s="38"/>
      <c r="K686" s="35" t="s">
        <v>44</v>
      </c>
    </row>
    <row r="687" customFormat="false" ht="21.75" hidden="false" customHeight="true" outlineLevel="0" collapsed="false">
      <c r="A687" s="39" t="n">
        <v>686</v>
      </c>
      <c r="B687" s="40" t="s">
        <v>1536</v>
      </c>
      <c r="C687" s="39" t="s">
        <v>16</v>
      </c>
      <c r="D687" s="40" t="s">
        <v>880</v>
      </c>
      <c r="E687" s="41" t="n">
        <v>5</v>
      </c>
      <c r="F687" s="42" t="s">
        <v>1591</v>
      </c>
      <c r="G687" s="42" t="s">
        <v>1592</v>
      </c>
      <c r="H687" s="42" t="s">
        <v>1521</v>
      </c>
      <c r="I687" s="42" t="s">
        <v>1213</v>
      </c>
      <c r="J687" s="42"/>
      <c r="K687" s="39" t="s">
        <v>44</v>
      </c>
    </row>
    <row r="688" customFormat="false" ht="21.75" hidden="false" customHeight="true" outlineLevel="0" collapsed="false">
      <c r="A688" s="35" t="n">
        <v>687</v>
      </c>
      <c r="B688" s="36" t="s">
        <v>1593</v>
      </c>
      <c r="C688" s="35" t="s">
        <v>16</v>
      </c>
      <c r="D688" s="36" t="s">
        <v>880</v>
      </c>
      <c r="E688" s="37" t="n">
        <v>5</v>
      </c>
      <c r="F688" s="38" t="s">
        <v>1594</v>
      </c>
      <c r="G688" s="38" t="s">
        <v>1595</v>
      </c>
      <c r="H688" s="38" t="s">
        <v>1521</v>
      </c>
      <c r="I688" s="38" t="s">
        <v>1213</v>
      </c>
      <c r="J688" s="38"/>
      <c r="K688" s="35" t="s">
        <v>44</v>
      </c>
    </row>
    <row r="689" customFormat="false" ht="21.75" hidden="false" customHeight="true" outlineLevel="0" collapsed="false">
      <c r="A689" s="39" t="n">
        <v>688</v>
      </c>
      <c r="B689" s="40" t="s">
        <v>1518</v>
      </c>
      <c r="C689" s="39" t="s">
        <v>16</v>
      </c>
      <c r="D689" s="40" t="s">
        <v>880</v>
      </c>
      <c r="E689" s="41" t="n">
        <v>5</v>
      </c>
      <c r="F689" s="42" t="s">
        <v>1596</v>
      </c>
      <c r="G689" s="42" t="s">
        <v>1597</v>
      </c>
      <c r="H689" s="42" t="s">
        <v>1521</v>
      </c>
      <c r="I689" s="42" t="s">
        <v>1213</v>
      </c>
      <c r="J689" s="42"/>
      <c r="K689" s="39" t="s">
        <v>44</v>
      </c>
    </row>
    <row r="690" customFormat="false" ht="21.75" hidden="false" customHeight="true" outlineLevel="0" collapsed="false">
      <c r="A690" s="35" t="n">
        <v>689</v>
      </c>
      <c r="B690" s="36" t="s">
        <v>1536</v>
      </c>
      <c r="C690" s="35" t="s">
        <v>16</v>
      </c>
      <c r="D690" s="36" t="s">
        <v>880</v>
      </c>
      <c r="E690" s="37" t="n">
        <v>5</v>
      </c>
      <c r="F690" s="38" t="s">
        <v>1598</v>
      </c>
      <c r="G690" s="38" t="s">
        <v>1599</v>
      </c>
      <c r="H690" s="38" t="s">
        <v>1521</v>
      </c>
      <c r="I690" s="38" t="s">
        <v>1213</v>
      </c>
      <c r="J690" s="38"/>
      <c r="K690" s="35" t="s">
        <v>44</v>
      </c>
    </row>
    <row r="691" customFormat="false" ht="21.75" hidden="false" customHeight="true" outlineLevel="0" collapsed="false">
      <c r="A691" s="39" t="n">
        <v>690</v>
      </c>
      <c r="B691" s="40" t="s">
        <v>1536</v>
      </c>
      <c r="C691" s="39" t="s">
        <v>16</v>
      </c>
      <c r="D691" s="40" t="s">
        <v>880</v>
      </c>
      <c r="E691" s="41" t="n">
        <v>5</v>
      </c>
      <c r="F691" s="42" t="s">
        <v>1600</v>
      </c>
      <c r="G691" s="42" t="s">
        <v>1601</v>
      </c>
      <c r="H691" s="42" t="s">
        <v>1521</v>
      </c>
      <c r="I691" s="42" t="s">
        <v>1213</v>
      </c>
      <c r="J691" s="42"/>
      <c r="K691" s="39" t="s">
        <v>44</v>
      </c>
    </row>
    <row r="692" customFormat="false" ht="21.75" hidden="false" customHeight="true" outlineLevel="0" collapsed="false">
      <c r="A692" s="35" t="n">
        <v>691</v>
      </c>
      <c r="B692" s="36" t="s">
        <v>1536</v>
      </c>
      <c r="C692" s="35" t="s">
        <v>16</v>
      </c>
      <c r="D692" s="36" t="s">
        <v>880</v>
      </c>
      <c r="E692" s="37" t="n">
        <v>5</v>
      </c>
      <c r="F692" s="38" t="s">
        <v>1602</v>
      </c>
      <c r="G692" s="38" t="s">
        <v>1603</v>
      </c>
      <c r="H692" s="38" t="s">
        <v>1521</v>
      </c>
      <c r="I692" s="38" t="s">
        <v>1213</v>
      </c>
      <c r="J692" s="38"/>
      <c r="K692" s="35" t="s">
        <v>44</v>
      </c>
    </row>
    <row r="693" customFormat="false" ht="21.75" hidden="false" customHeight="true" outlineLevel="0" collapsed="false">
      <c r="A693" s="39" t="n">
        <v>692</v>
      </c>
      <c r="B693" s="40" t="s">
        <v>1536</v>
      </c>
      <c r="C693" s="39" t="s">
        <v>16</v>
      </c>
      <c r="D693" s="40" t="s">
        <v>880</v>
      </c>
      <c r="E693" s="41" t="n">
        <v>5</v>
      </c>
      <c r="F693" s="42" t="s">
        <v>1604</v>
      </c>
      <c r="G693" s="42" t="s">
        <v>1605</v>
      </c>
      <c r="H693" s="42" t="s">
        <v>1521</v>
      </c>
      <c r="I693" s="42" t="s">
        <v>1213</v>
      </c>
      <c r="J693" s="42"/>
      <c r="K693" s="39" t="s">
        <v>44</v>
      </c>
    </row>
    <row r="694" customFormat="false" ht="21.75" hidden="false" customHeight="true" outlineLevel="0" collapsed="false">
      <c r="A694" s="35" t="n">
        <v>693</v>
      </c>
      <c r="B694" s="36" t="s">
        <v>1606</v>
      </c>
      <c r="C694" s="35" t="s">
        <v>16</v>
      </c>
      <c r="D694" s="36" t="s">
        <v>880</v>
      </c>
      <c r="E694" s="37" t="n">
        <v>5</v>
      </c>
      <c r="F694" s="38"/>
      <c r="G694" s="38" t="s">
        <v>1607</v>
      </c>
      <c r="H694" s="38" t="s">
        <v>1608</v>
      </c>
      <c r="I694" s="38" t="s">
        <v>1213</v>
      </c>
      <c r="J694" s="38"/>
      <c r="K694" s="35" t="s">
        <v>44</v>
      </c>
    </row>
    <row r="695" customFormat="false" ht="21.75" hidden="false" customHeight="true" outlineLevel="0" collapsed="false">
      <c r="A695" s="39" t="n">
        <v>694</v>
      </c>
      <c r="B695" s="40" t="s">
        <v>1606</v>
      </c>
      <c r="C695" s="39" t="s">
        <v>16</v>
      </c>
      <c r="D695" s="40" t="s">
        <v>880</v>
      </c>
      <c r="E695" s="41" t="n">
        <v>5</v>
      </c>
      <c r="F695" s="42"/>
      <c r="G695" s="42" t="s">
        <v>1609</v>
      </c>
      <c r="H695" s="42" t="s">
        <v>1608</v>
      </c>
      <c r="I695" s="42" t="s">
        <v>1213</v>
      </c>
      <c r="J695" s="42"/>
      <c r="K695" s="39" t="s">
        <v>44</v>
      </c>
    </row>
    <row r="696" customFormat="false" ht="21.75" hidden="false" customHeight="true" outlineLevel="0" collapsed="false">
      <c r="A696" s="35" t="n">
        <v>695</v>
      </c>
      <c r="B696" s="36" t="s">
        <v>1606</v>
      </c>
      <c r="C696" s="35" t="s">
        <v>16</v>
      </c>
      <c r="D696" s="36" t="s">
        <v>880</v>
      </c>
      <c r="E696" s="37" t="n">
        <v>5</v>
      </c>
      <c r="F696" s="38"/>
      <c r="G696" s="38" t="s">
        <v>1610</v>
      </c>
      <c r="H696" s="38" t="s">
        <v>1608</v>
      </c>
      <c r="I696" s="38" t="s">
        <v>1213</v>
      </c>
      <c r="J696" s="38"/>
      <c r="K696" s="35" t="s">
        <v>44</v>
      </c>
    </row>
    <row r="697" customFormat="false" ht="21.75" hidden="false" customHeight="true" outlineLevel="0" collapsed="false">
      <c r="A697" s="39" t="n">
        <v>696</v>
      </c>
      <c r="B697" s="40" t="s">
        <v>1606</v>
      </c>
      <c r="C697" s="39" t="s">
        <v>16</v>
      </c>
      <c r="D697" s="40" t="s">
        <v>880</v>
      </c>
      <c r="E697" s="41" t="n">
        <v>5</v>
      </c>
      <c r="F697" s="42"/>
      <c r="G697" s="42" t="s">
        <v>1611</v>
      </c>
      <c r="H697" s="42" t="s">
        <v>1608</v>
      </c>
      <c r="I697" s="42" t="s">
        <v>1213</v>
      </c>
      <c r="J697" s="42"/>
      <c r="K697" s="39" t="s">
        <v>44</v>
      </c>
    </row>
    <row r="698" customFormat="false" ht="21.75" hidden="false" customHeight="true" outlineLevel="0" collapsed="false">
      <c r="A698" s="35" t="n">
        <v>697</v>
      </c>
      <c r="B698" s="36" t="s">
        <v>1606</v>
      </c>
      <c r="C698" s="35" t="s">
        <v>16</v>
      </c>
      <c r="D698" s="36" t="s">
        <v>880</v>
      </c>
      <c r="E698" s="37" t="n">
        <v>5</v>
      </c>
      <c r="F698" s="38"/>
      <c r="G698" s="38" t="s">
        <v>1612</v>
      </c>
      <c r="H698" s="38" t="s">
        <v>1608</v>
      </c>
      <c r="I698" s="38" t="s">
        <v>1213</v>
      </c>
      <c r="J698" s="38"/>
      <c r="K698" s="35" t="s">
        <v>44</v>
      </c>
    </row>
    <row r="699" customFormat="false" ht="21.75" hidden="false" customHeight="true" outlineLevel="0" collapsed="false">
      <c r="A699" s="39" t="n">
        <v>698</v>
      </c>
      <c r="B699" s="40" t="s">
        <v>1613</v>
      </c>
      <c r="C699" s="39" t="s">
        <v>16</v>
      </c>
      <c r="D699" s="40" t="s">
        <v>880</v>
      </c>
      <c r="E699" s="41" t="n">
        <v>5</v>
      </c>
      <c r="F699" s="42"/>
      <c r="G699" s="42" t="s">
        <v>1614</v>
      </c>
      <c r="H699" s="42" t="s">
        <v>1608</v>
      </c>
      <c r="I699" s="42" t="s">
        <v>1213</v>
      </c>
      <c r="J699" s="42"/>
      <c r="K699" s="39" t="s">
        <v>44</v>
      </c>
    </row>
    <row r="700" customFormat="false" ht="21.75" hidden="false" customHeight="true" outlineLevel="0" collapsed="false">
      <c r="A700" s="35" t="n">
        <v>699</v>
      </c>
      <c r="B700" s="36" t="s">
        <v>1606</v>
      </c>
      <c r="C700" s="35" t="s">
        <v>16</v>
      </c>
      <c r="D700" s="36" t="s">
        <v>880</v>
      </c>
      <c r="E700" s="37" t="n">
        <v>5</v>
      </c>
      <c r="F700" s="38"/>
      <c r="G700" s="38" t="s">
        <v>1615</v>
      </c>
      <c r="H700" s="38" t="s">
        <v>1608</v>
      </c>
      <c r="I700" s="38" t="s">
        <v>1213</v>
      </c>
      <c r="J700" s="38"/>
      <c r="K700" s="35" t="s">
        <v>44</v>
      </c>
    </row>
    <row r="701" customFormat="false" ht="21.75" hidden="false" customHeight="true" outlineLevel="0" collapsed="false">
      <c r="A701" s="39" t="n">
        <v>700</v>
      </c>
      <c r="B701" s="40" t="s">
        <v>1616</v>
      </c>
      <c r="C701" s="39" t="s">
        <v>16</v>
      </c>
      <c r="D701" s="40" t="s">
        <v>880</v>
      </c>
      <c r="E701" s="41" t="n">
        <v>5</v>
      </c>
      <c r="F701" s="42"/>
      <c r="G701" s="42" t="s">
        <v>1617</v>
      </c>
      <c r="H701" s="42" t="s">
        <v>1608</v>
      </c>
      <c r="I701" s="42" t="s">
        <v>1213</v>
      </c>
      <c r="J701" s="42"/>
      <c r="K701" s="39" t="s">
        <v>44</v>
      </c>
    </row>
    <row r="702" customFormat="false" ht="21.75" hidden="false" customHeight="true" outlineLevel="0" collapsed="false">
      <c r="A702" s="35" t="n">
        <v>701</v>
      </c>
      <c r="B702" s="36" t="s">
        <v>1618</v>
      </c>
      <c r="C702" s="35" t="s">
        <v>16</v>
      </c>
      <c r="D702" s="36" t="s">
        <v>880</v>
      </c>
      <c r="E702" s="37" t="n">
        <v>5</v>
      </c>
      <c r="F702" s="38"/>
      <c r="G702" s="38" t="s">
        <v>1619</v>
      </c>
      <c r="H702" s="38" t="s">
        <v>1608</v>
      </c>
      <c r="I702" s="38" t="s">
        <v>1213</v>
      </c>
      <c r="J702" s="38"/>
      <c r="K702" s="35" t="s">
        <v>44</v>
      </c>
    </row>
    <row r="703" customFormat="false" ht="21.75" hidden="false" customHeight="true" outlineLevel="0" collapsed="false">
      <c r="A703" s="39" t="n">
        <v>702</v>
      </c>
      <c r="B703" s="40" t="s">
        <v>1618</v>
      </c>
      <c r="C703" s="39" t="s">
        <v>16</v>
      </c>
      <c r="D703" s="40" t="s">
        <v>880</v>
      </c>
      <c r="E703" s="41" t="n">
        <v>5</v>
      </c>
      <c r="F703" s="42"/>
      <c r="G703" s="42" t="s">
        <v>1620</v>
      </c>
      <c r="H703" s="42" t="s">
        <v>1608</v>
      </c>
      <c r="I703" s="42" t="s">
        <v>1213</v>
      </c>
      <c r="J703" s="42"/>
      <c r="K703" s="39" t="s">
        <v>44</v>
      </c>
    </row>
    <row r="704" customFormat="false" ht="21.75" hidden="false" customHeight="true" outlineLevel="0" collapsed="false">
      <c r="A704" s="35" t="n">
        <v>703</v>
      </c>
      <c r="B704" s="36" t="s">
        <v>1621</v>
      </c>
      <c r="C704" s="35" t="s">
        <v>16</v>
      </c>
      <c r="D704" s="36" t="s">
        <v>880</v>
      </c>
      <c r="E704" s="37" t="n">
        <v>5</v>
      </c>
      <c r="F704" s="38"/>
      <c r="G704" s="38" t="s">
        <v>1622</v>
      </c>
      <c r="H704" s="38" t="s">
        <v>1608</v>
      </c>
      <c r="I704" s="38" t="s">
        <v>1213</v>
      </c>
      <c r="J704" s="38"/>
      <c r="K704" s="35" t="s">
        <v>44</v>
      </c>
    </row>
    <row r="705" customFormat="false" ht="21.75" hidden="false" customHeight="true" outlineLevel="0" collapsed="false">
      <c r="A705" s="39" t="n">
        <v>704</v>
      </c>
      <c r="B705" s="40" t="s">
        <v>1623</v>
      </c>
      <c r="C705" s="39" t="s">
        <v>16</v>
      </c>
      <c r="D705" s="40" t="s">
        <v>880</v>
      </c>
      <c r="E705" s="41" t="n">
        <v>5</v>
      </c>
      <c r="F705" s="42"/>
      <c r="G705" s="42" t="s">
        <v>1624</v>
      </c>
      <c r="H705" s="42" t="s">
        <v>1608</v>
      </c>
      <c r="I705" s="42" t="s">
        <v>1213</v>
      </c>
      <c r="J705" s="42"/>
      <c r="K705" s="39" t="s">
        <v>44</v>
      </c>
    </row>
    <row r="706" customFormat="false" ht="21.75" hidden="false" customHeight="true" outlineLevel="0" collapsed="false">
      <c r="A706" s="35" t="n">
        <v>705</v>
      </c>
      <c r="B706" s="36" t="s">
        <v>1623</v>
      </c>
      <c r="C706" s="35" t="s">
        <v>16</v>
      </c>
      <c r="D706" s="36" t="s">
        <v>880</v>
      </c>
      <c r="E706" s="37" t="n">
        <v>5</v>
      </c>
      <c r="F706" s="38"/>
      <c r="G706" s="38" t="s">
        <v>1625</v>
      </c>
      <c r="H706" s="38" t="s">
        <v>1608</v>
      </c>
      <c r="I706" s="38" t="s">
        <v>1213</v>
      </c>
      <c r="J706" s="38"/>
      <c r="K706" s="35" t="s">
        <v>44</v>
      </c>
    </row>
    <row r="707" customFormat="false" ht="21.75" hidden="false" customHeight="true" outlineLevel="0" collapsed="false">
      <c r="A707" s="39" t="n">
        <v>706</v>
      </c>
      <c r="B707" s="40" t="s">
        <v>1623</v>
      </c>
      <c r="C707" s="39" t="s">
        <v>16</v>
      </c>
      <c r="D707" s="40" t="s">
        <v>880</v>
      </c>
      <c r="E707" s="41" t="n">
        <v>5</v>
      </c>
      <c r="F707" s="42"/>
      <c r="G707" s="42" t="s">
        <v>1626</v>
      </c>
      <c r="H707" s="42" t="s">
        <v>1608</v>
      </c>
      <c r="I707" s="42" t="s">
        <v>1213</v>
      </c>
      <c r="J707" s="42"/>
      <c r="K707" s="39" t="s">
        <v>44</v>
      </c>
    </row>
    <row r="708" customFormat="false" ht="21.75" hidden="false" customHeight="true" outlineLevel="0" collapsed="false">
      <c r="A708" s="35" t="n">
        <v>707</v>
      </c>
      <c r="B708" s="36" t="s">
        <v>1616</v>
      </c>
      <c r="C708" s="35" t="s">
        <v>16</v>
      </c>
      <c r="D708" s="36" t="s">
        <v>880</v>
      </c>
      <c r="E708" s="37" t="n">
        <v>5</v>
      </c>
      <c r="F708" s="38"/>
      <c r="G708" s="38" t="s">
        <v>1627</v>
      </c>
      <c r="H708" s="38" t="s">
        <v>1608</v>
      </c>
      <c r="I708" s="38" t="s">
        <v>1213</v>
      </c>
      <c r="J708" s="38"/>
      <c r="K708" s="35" t="s">
        <v>44</v>
      </c>
    </row>
    <row r="709" customFormat="false" ht="21.75" hidden="false" customHeight="true" outlineLevel="0" collapsed="false">
      <c r="A709" s="39" t="n">
        <v>708</v>
      </c>
      <c r="B709" s="40" t="s">
        <v>1618</v>
      </c>
      <c r="C709" s="39" t="s">
        <v>16</v>
      </c>
      <c r="D709" s="40" t="s">
        <v>880</v>
      </c>
      <c r="E709" s="41" t="n">
        <v>5</v>
      </c>
      <c r="F709" s="42"/>
      <c r="G709" s="42" t="s">
        <v>1628</v>
      </c>
      <c r="H709" s="42" t="s">
        <v>1608</v>
      </c>
      <c r="I709" s="42" t="s">
        <v>1213</v>
      </c>
      <c r="J709" s="42"/>
      <c r="K709" s="39" t="s">
        <v>44</v>
      </c>
    </row>
    <row r="710" customFormat="false" ht="21.75" hidden="false" customHeight="true" outlineLevel="0" collapsed="false">
      <c r="A710" s="35" t="n">
        <v>709</v>
      </c>
      <c r="B710" s="36" t="s">
        <v>1621</v>
      </c>
      <c r="C710" s="35" t="s">
        <v>16</v>
      </c>
      <c r="D710" s="36" t="s">
        <v>880</v>
      </c>
      <c r="E710" s="37" t="n">
        <v>5</v>
      </c>
      <c r="F710" s="38"/>
      <c r="G710" s="38" t="s">
        <v>1629</v>
      </c>
      <c r="H710" s="38" t="s">
        <v>1608</v>
      </c>
      <c r="I710" s="38" t="s">
        <v>1213</v>
      </c>
      <c r="J710" s="38"/>
      <c r="K710" s="35" t="s">
        <v>44</v>
      </c>
    </row>
    <row r="711" customFormat="false" ht="21.75" hidden="false" customHeight="true" outlineLevel="0" collapsed="false">
      <c r="A711" s="39" t="n">
        <v>710</v>
      </c>
      <c r="B711" s="40" t="s">
        <v>1630</v>
      </c>
      <c r="C711" s="39" t="s">
        <v>16</v>
      </c>
      <c r="D711" s="40" t="s">
        <v>880</v>
      </c>
      <c r="E711" s="41" t="n">
        <v>5</v>
      </c>
      <c r="F711" s="42"/>
      <c r="G711" s="42" t="s">
        <v>1631</v>
      </c>
      <c r="H711" s="42" t="s">
        <v>1608</v>
      </c>
      <c r="I711" s="42" t="s">
        <v>1213</v>
      </c>
      <c r="J711" s="42"/>
      <c r="K711" s="39" t="s">
        <v>44</v>
      </c>
    </row>
    <row r="712" customFormat="false" ht="21.75" hidden="false" customHeight="true" outlineLevel="0" collapsed="false">
      <c r="A712" s="35" t="n">
        <v>711</v>
      </c>
      <c r="B712" s="36" t="s">
        <v>1630</v>
      </c>
      <c r="C712" s="35" t="s">
        <v>16</v>
      </c>
      <c r="D712" s="36" t="s">
        <v>880</v>
      </c>
      <c r="E712" s="37" t="n">
        <v>5</v>
      </c>
      <c r="F712" s="38"/>
      <c r="G712" s="38" t="s">
        <v>1632</v>
      </c>
      <c r="H712" s="38" t="s">
        <v>1608</v>
      </c>
      <c r="I712" s="38" t="s">
        <v>1213</v>
      </c>
      <c r="J712" s="38"/>
      <c r="K712" s="35" t="s">
        <v>44</v>
      </c>
    </row>
    <row r="713" customFormat="false" ht="21.75" hidden="false" customHeight="true" outlineLevel="0" collapsed="false">
      <c r="A713" s="39" t="n">
        <v>712</v>
      </c>
      <c r="B713" s="40" t="s">
        <v>1630</v>
      </c>
      <c r="C713" s="39" t="s">
        <v>16</v>
      </c>
      <c r="D713" s="40" t="s">
        <v>880</v>
      </c>
      <c r="E713" s="41" t="n">
        <v>5</v>
      </c>
      <c r="F713" s="42"/>
      <c r="G713" s="42" t="s">
        <v>1633</v>
      </c>
      <c r="H713" s="42" t="s">
        <v>1608</v>
      </c>
      <c r="I713" s="42" t="s">
        <v>1213</v>
      </c>
      <c r="J713" s="42"/>
      <c r="K713" s="39" t="s">
        <v>44</v>
      </c>
    </row>
    <row r="714" customFormat="false" ht="21.75" hidden="false" customHeight="true" outlineLevel="0" collapsed="false">
      <c r="A714" s="35" t="n">
        <v>713</v>
      </c>
      <c r="B714" s="36" t="s">
        <v>1630</v>
      </c>
      <c r="C714" s="35" t="s">
        <v>16</v>
      </c>
      <c r="D714" s="36" t="s">
        <v>880</v>
      </c>
      <c r="E714" s="37" t="n">
        <v>5</v>
      </c>
      <c r="F714" s="38"/>
      <c r="G714" s="38" t="s">
        <v>1634</v>
      </c>
      <c r="H714" s="38" t="s">
        <v>1608</v>
      </c>
      <c r="I714" s="38" t="s">
        <v>1213</v>
      </c>
      <c r="J714" s="38"/>
      <c r="K714" s="35" t="s">
        <v>44</v>
      </c>
    </row>
    <row r="715" customFormat="false" ht="21.75" hidden="false" customHeight="true" outlineLevel="0" collapsed="false">
      <c r="A715" s="39" t="n">
        <v>714</v>
      </c>
      <c r="B715" s="40" t="s">
        <v>1630</v>
      </c>
      <c r="C715" s="39" t="s">
        <v>16</v>
      </c>
      <c r="D715" s="40" t="s">
        <v>880</v>
      </c>
      <c r="E715" s="41" t="n">
        <v>5</v>
      </c>
      <c r="F715" s="42"/>
      <c r="G715" s="42" t="s">
        <v>1635</v>
      </c>
      <c r="H715" s="42" t="s">
        <v>1608</v>
      </c>
      <c r="I715" s="42" t="s">
        <v>1213</v>
      </c>
      <c r="J715" s="42"/>
      <c r="K715" s="39" t="s">
        <v>44</v>
      </c>
    </row>
    <row r="716" customFormat="false" ht="21.75" hidden="false" customHeight="true" outlineLevel="0" collapsed="false">
      <c r="A716" s="35" t="n">
        <v>715</v>
      </c>
      <c r="B716" s="36" t="s">
        <v>1636</v>
      </c>
      <c r="C716" s="35" t="s">
        <v>16</v>
      </c>
      <c r="D716" s="36" t="s">
        <v>880</v>
      </c>
      <c r="E716" s="37" t="n">
        <v>5</v>
      </c>
      <c r="F716" s="38"/>
      <c r="G716" s="38" t="s">
        <v>1637</v>
      </c>
      <c r="H716" s="38" t="s">
        <v>1608</v>
      </c>
      <c r="I716" s="38" t="s">
        <v>1213</v>
      </c>
      <c r="J716" s="38"/>
      <c r="K716" s="35" t="s">
        <v>44</v>
      </c>
    </row>
    <row r="717" customFormat="false" ht="21.75" hidden="false" customHeight="true" outlineLevel="0" collapsed="false">
      <c r="A717" s="39" t="n">
        <v>716</v>
      </c>
      <c r="B717" s="40" t="s">
        <v>1636</v>
      </c>
      <c r="C717" s="39" t="s">
        <v>16</v>
      </c>
      <c r="D717" s="40" t="s">
        <v>880</v>
      </c>
      <c r="E717" s="41" t="n">
        <v>5</v>
      </c>
      <c r="F717" s="42"/>
      <c r="G717" s="42" t="s">
        <v>1638</v>
      </c>
      <c r="H717" s="42" t="s">
        <v>1608</v>
      </c>
      <c r="I717" s="42" t="s">
        <v>1213</v>
      </c>
      <c r="J717" s="42"/>
      <c r="K717" s="39" t="s">
        <v>44</v>
      </c>
    </row>
    <row r="718" customFormat="false" ht="21.75" hidden="false" customHeight="true" outlineLevel="0" collapsed="false">
      <c r="A718" s="35" t="n">
        <v>717</v>
      </c>
      <c r="B718" s="36" t="s">
        <v>1636</v>
      </c>
      <c r="C718" s="35" t="s">
        <v>16</v>
      </c>
      <c r="D718" s="36" t="s">
        <v>880</v>
      </c>
      <c r="E718" s="37" t="n">
        <v>5</v>
      </c>
      <c r="F718" s="38"/>
      <c r="G718" s="38" t="s">
        <v>1639</v>
      </c>
      <c r="H718" s="38" t="s">
        <v>1608</v>
      </c>
      <c r="I718" s="38" t="s">
        <v>1213</v>
      </c>
      <c r="J718" s="38"/>
      <c r="K718" s="35" t="s">
        <v>44</v>
      </c>
    </row>
    <row r="719" customFormat="false" ht="21.75" hidden="false" customHeight="true" outlineLevel="0" collapsed="false">
      <c r="A719" s="39" t="n">
        <v>718</v>
      </c>
      <c r="B719" s="40" t="s">
        <v>1636</v>
      </c>
      <c r="C719" s="39" t="s">
        <v>16</v>
      </c>
      <c r="D719" s="40" t="s">
        <v>880</v>
      </c>
      <c r="E719" s="41" t="n">
        <v>5</v>
      </c>
      <c r="F719" s="42"/>
      <c r="G719" s="42" t="s">
        <v>1640</v>
      </c>
      <c r="H719" s="42" t="s">
        <v>1608</v>
      </c>
      <c r="I719" s="42" t="s">
        <v>1213</v>
      </c>
      <c r="J719" s="42"/>
      <c r="K719" s="39" t="s">
        <v>44</v>
      </c>
    </row>
    <row r="720" customFormat="false" ht="21.75" hidden="false" customHeight="true" outlineLevel="0" collapsed="false">
      <c r="A720" s="35" t="n">
        <v>719</v>
      </c>
      <c r="B720" s="36" t="s">
        <v>1636</v>
      </c>
      <c r="C720" s="35" t="s">
        <v>16</v>
      </c>
      <c r="D720" s="36" t="s">
        <v>880</v>
      </c>
      <c r="E720" s="37" t="n">
        <v>5</v>
      </c>
      <c r="F720" s="38"/>
      <c r="G720" s="38" t="s">
        <v>1641</v>
      </c>
      <c r="H720" s="38" t="s">
        <v>1608</v>
      </c>
      <c r="I720" s="38" t="s">
        <v>1213</v>
      </c>
      <c r="J720" s="38"/>
      <c r="K720" s="35" t="s">
        <v>44</v>
      </c>
    </row>
    <row r="721" customFormat="false" ht="21.75" hidden="false" customHeight="true" outlineLevel="0" collapsed="false">
      <c r="A721" s="39" t="n">
        <v>720</v>
      </c>
      <c r="B721" s="40" t="s">
        <v>1339</v>
      </c>
      <c r="C721" s="39" t="s">
        <v>16</v>
      </c>
      <c r="D721" s="40" t="s">
        <v>880</v>
      </c>
      <c r="E721" s="41" t="n">
        <v>5</v>
      </c>
      <c r="F721" s="42"/>
      <c r="G721" s="42" t="s">
        <v>1642</v>
      </c>
      <c r="H721" s="42" t="s">
        <v>1608</v>
      </c>
      <c r="I721" s="42" t="s">
        <v>1213</v>
      </c>
      <c r="J721" s="42"/>
      <c r="K721" s="39" t="s">
        <v>44</v>
      </c>
    </row>
    <row r="722" customFormat="false" ht="21.75" hidden="false" customHeight="true" outlineLevel="0" collapsed="false">
      <c r="A722" s="35" t="n">
        <v>721</v>
      </c>
      <c r="B722" s="36" t="s">
        <v>1636</v>
      </c>
      <c r="C722" s="35" t="s">
        <v>16</v>
      </c>
      <c r="D722" s="36" t="s">
        <v>880</v>
      </c>
      <c r="E722" s="37" t="n">
        <v>5</v>
      </c>
      <c r="F722" s="38"/>
      <c r="G722" s="38" t="s">
        <v>1643</v>
      </c>
      <c r="H722" s="38" t="s">
        <v>1608</v>
      </c>
      <c r="I722" s="38" t="s">
        <v>1213</v>
      </c>
      <c r="J722" s="38"/>
      <c r="K722" s="35" t="s">
        <v>44</v>
      </c>
    </row>
    <row r="723" customFormat="false" ht="21.75" hidden="false" customHeight="true" outlineLevel="0" collapsed="false">
      <c r="A723" s="39" t="n">
        <v>722</v>
      </c>
      <c r="B723" s="40" t="s">
        <v>1636</v>
      </c>
      <c r="C723" s="39" t="s">
        <v>16</v>
      </c>
      <c r="D723" s="40" t="s">
        <v>880</v>
      </c>
      <c r="E723" s="41" t="n">
        <v>5</v>
      </c>
      <c r="F723" s="42"/>
      <c r="G723" s="42" t="s">
        <v>1644</v>
      </c>
      <c r="H723" s="42" t="s">
        <v>1608</v>
      </c>
      <c r="I723" s="42" t="s">
        <v>1213</v>
      </c>
      <c r="J723" s="42"/>
      <c r="K723" s="39" t="s">
        <v>44</v>
      </c>
    </row>
    <row r="724" customFormat="false" ht="21.75" hidden="false" customHeight="true" outlineLevel="0" collapsed="false">
      <c r="A724" s="35" t="n">
        <v>723</v>
      </c>
      <c r="B724" s="36" t="s">
        <v>1618</v>
      </c>
      <c r="C724" s="35" t="s">
        <v>16</v>
      </c>
      <c r="D724" s="36" t="s">
        <v>880</v>
      </c>
      <c r="E724" s="37" t="n">
        <v>5</v>
      </c>
      <c r="F724" s="38"/>
      <c r="G724" s="38" t="s">
        <v>1645</v>
      </c>
      <c r="H724" s="38" t="s">
        <v>1608</v>
      </c>
      <c r="I724" s="38" t="s">
        <v>1213</v>
      </c>
      <c r="J724" s="38"/>
      <c r="K724" s="35" t="s">
        <v>44</v>
      </c>
    </row>
    <row r="725" customFormat="false" ht="21.75" hidden="false" customHeight="true" outlineLevel="0" collapsed="false">
      <c r="A725" s="39" t="n">
        <v>724</v>
      </c>
      <c r="B725" s="40" t="s">
        <v>1621</v>
      </c>
      <c r="C725" s="39" t="s">
        <v>16</v>
      </c>
      <c r="D725" s="40" t="s">
        <v>880</v>
      </c>
      <c r="E725" s="41" t="n">
        <v>5</v>
      </c>
      <c r="F725" s="42"/>
      <c r="G725" s="42" t="s">
        <v>1646</v>
      </c>
      <c r="H725" s="42" t="s">
        <v>1608</v>
      </c>
      <c r="I725" s="42" t="s">
        <v>1213</v>
      </c>
      <c r="J725" s="42"/>
      <c r="K725" s="39" t="s">
        <v>44</v>
      </c>
    </row>
    <row r="726" customFormat="false" ht="21.75" hidden="false" customHeight="true" outlineLevel="0" collapsed="false">
      <c r="A726" s="35" t="n">
        <v>725</v>
      </c>
      <c r="B726" s="36" t="s">
        <v>1606</v>
      </c>
      <c r="C726" s="35" t="s">
        <v>16</v>
      </c>
      <c r="D726" s="36" t="s">
        <v>880</v>
      </c>
      <c r="E726" s="37" t="n">
        <v>5</v>
      </c>
      <c r="F726" s="38"/>
      <c r="G726" s="38" t="s">
        <v>1647</v>
      </c>
      <c r="H726" s="38" t="s">
        <v>1608</v>
      </c>
      <c r="I726" s="38" t="s">
        <v>1213</v>
      </c>
      <c r="J726" s="38"/>
      <c r="K726" s="35" t="s">
        <v>44</v>
      </c>
    </row>
    <row r="727" customFormat="false" ht="21.75" hidden="false" customHeight="true" outlineLevel="0" collapsed="false">
      <c r="A727" s="39" t="n">
        <v>726</v>
      </c>
      <c r="B727" s="40" t="s">
        <v>1606</v>
      </c>
      <c r="C727" s="39" t="s">
        <v>16</v>
      </c>
      <c r="D727" s="40" t="s">
        <v>880</v>
      </c>
      <c r="E727" s="41" t="n">
        <v>5</v>
      </c>
      <c r="F727" s="42"/>
      <c r="G727" s="42" t="s">
        <v>1648</v>
      </c>
      <c r="H727" s="42" t="s">
        <v>1608</v>
      </c>
      <c r="I727" s="42" t="s">
        <v>1213</v>
      </c>
      <c r="J727" s="42"/>
      <c r="K727" s="39" t="s">
        <v>44</v>
      </c>
    </row>
    <row r="728" customFormat="false" ht="21.75" hidden="false" customHeight="true" outlineLevel="0" collapsed="false">
      <c r="A728" s="35" t="n">
        <v>727</v>
      </c>
      <c r="B728" s="36" t="s">
        <v>1606</v>
      </c>
      <c r="C728" s="35" t="s">
        <v>16</v>
      </c>
      <c r="D728" s="36" t="s">
        <v>880</v>
      </c>
      <c r="E728" s="37" t="n">
        <v>5</v>
      </c>
      <c r="F728" s="38"/>
      <c r="G728" s="38" t="s">
        <v>1649</v>
      </c>
      <c r="H728" s="38" t="s">
        <v>1608</v>
      </c>
      <c r="I728" s="38" t="s">
        <v>1213</v>
      </c>
      <c r="J728" s="38"/>
      <c r="K728" s="35" t="s">
        <v>44</v>
      </c>
    </row>
    <row r="729" customFormat="false" ht="21.75" hidden="false" customHeight="true" outlineLevel="0" collapsed="false">
      <c r="A729" s="39" t="n">
        <v>728</v>
      </c>
      <c r="B729" s="40" t="s">
        <v>1606</v>
      </c>
      <c r="C729" s="39" t="s">
        <v>16</v>
      </c>
      <c r="D729" s="40" t="s">
        <v>880</v>
      </c>
      <c r="E729" s="41" t="n">
        <v>5</v>
      </c>
      <c r="F729" s="42"/>
      <c r="G729" s="42" t="s">
        <v>1650</v>
      </c>
      <c r="H729" s="42" t="s">
        <v>1608</v>
      </c>
      <c r="I729" s="42" t="s">
        <v>1213</v>
      </c>
      <c r="J729" s="42"/>
      <c r="K729" s="39" t="s">
        <v>44</v>
      </c>
    </row>
    <row r="730" customFormat="false" ht="21.75" hidden="false" customHeight="true" outlineLevel="0" collapsed="false">
      <c r="A730" s="35" t="n">
        <v>729</v>
      </c>
      <c r="B730" s="36" t="s">
        <v>1606</v>
      </c>
      <c r="C730" s="35" t="s">
        <v>16</v>
      </c>
      <c r="D730" s="36" t="s">
        <v>880</v>
      </c>
      <c r="E730" s="37" t="n">
        <v>5</v>
      </c>
      <c r="F730" s="38"/>
      <c r="G730" s="38" t="s">
        <v>1651</v>
      </c>
      <c r="H730" s="38" t="s">
        <v>1608</v>
      </c>
      <c r="I730" s="38" t="s">
        <v>1213</v>
      </c>
      <c r="J730" s="38"/>
      <c r="K730" s="35" t="s">
        <v>44</v>
      </c>
    </row>
    <row r="731" customFormat="false" ht="21.75" hidden="false" customHeight="true" outlineLevel="0" collapsed="false">
      <c r="A731" s="39" t="n">
        <v>730</v>
      </c>
      <c r="B731" s="40" t="s">
        <v>1606</v>
      </c>
      <c r="C731" s="39" t="s">
        <v>16</v>
      </c>
      <c r="D731" s="40" t="s">
        <v>880</v>
      </c>
      <c r="E731" s="41" t="n">
        <v>5</v>
      </c>
      <c r="F731" s="42"/>
      <c r="G731" s="42" t="s">
        <v>1652</v>
      </c>
      <c r="H731" s="42" t="s">
        <v>1608</v>
      </c>
      <c r="I731" s="42" t="s">
        <v>1213</v>
      </c>
      <c r="J731" s="42"/>
      <c r="K731" s="39" t="s">
        <v>44</v>
      </c>
    </row>
    <row r="732" customFormat="false" ht="21.75" hidden="false" customHeight="true" outlineLevel="0" collapsed="false">
      <c r="A732" s="35" t="n">
        <v>731</v>
      </c>
      <c r="B732" s="36" t="s">
        <v>1621</v>
      </c>
      <c r="C732" s="35" t="s">
        <v>16</v>
      </c>
      <c r="D732" s="36" t="s">
        <v>880</v>
      </c>
      <c r="E732" s="37" t="n">
        <v>5</v>
      </c>
      <c r="F732" s="38"/>
      <c r="G732" s="38" t="s">
        <v>1653</v>
      </c>
      <c r="H732" s="38" t="s">
        <v>1608</v>
      </c>
      <c r="I732" s="38" t="s">
        <v>1213</v>
      </c>
      <c r="J732" s="38"/>
      <c r="K732" s="35" t="s">
        <v>44</v>
      </c>
    </row>
    <row r="733" customFormat="false" ht="21.75" hidden="false" customHeight="true" outlineLevel="0" collapsed="false">
      <c r="A733" s="39" t="n">
        <v>732</v>
      </c>
      <c r="B733" s="40" t="s">
        <v>1621</v>
      </c>
      <c r="C733" s="39" t="s">
        <v>16</v>
      </c>
      <c r="D733" s="40" t="s">
        <v>880</v>
      </c>
      <c r="E733" s="41" t="n">
        <v>5</v>
      </c>
      <c r="F733" s="42"/>
      <c r="G733" s="42" t="s">
        <v>1654</v>
      </c>
      <c r="H733" s="42" t="s">
        <v>1608</v>
      </c>
      <c r="I733" s="42" t="s">
        <v>1213</v>
      </c>
      <c r="J733" s="42"/>
      <c r="K733" s="39" t="s">
        <v>44</v>
      </c>
    </row>
    <row r="734" customFormat="false" ht="21.75" hidden="false" customHeight="true" outlineLevel="0" collapsed="false">
      <c r="A734" s="35" t="n">
        <v>733</v>
      </c>
      <c r="B734" s="36" t="s">
        <v>1606</v>
      </c>
      <c r="C734" s="35" t="s">
        <v>16</v>
      </c>
      <c r="D734" s="36" t="s">
        <v>880</v>
      </c>
      <c r="E734" s="37" t="n">
        <v>5</v>
      </c>
      <c r="F734" s="38"/>
      <c r="G734" s="38" t="s">
        <v>1655</v>
      </c>
      <c r="H734" s="38" t="s">
        <v>1608</v>
      </c>
      <c r="I734" s="38" t="s">
        <v>1213</v>
      </c>
      <c r="J734" s="38"/>
      <c r="K734" s="35" t="s">
        <v>44</v>
      </c>
    </row>
    <row r="735" customFormat="false" ht="21.75" hidden="false" customHeight="true" outlineLevel="0" collapsed="false">
      <c r="A735" s="39" t="n">
        <v>734</v>
      </c>
      <c r="B735" s="40" t="s">
        <v>1656</v>
      </c>
      <c r="C735" s="39" t="s">
        <v>16</v>
      </c>
      <c r="D735" s="40" t="s">
        <v>880</v>
      </c>
      <c r="E735" s="41" t="n">
        <v>5</v>
      </c>
      <c r="F735" s="42" t="s">
        <v>1657</v>
      </c>
      <c r="G735" s="42" t="s">
        <v>1658</v>
      </c>
      <c r="H735" s="42" t="s">
        <v>1659</v>
      </c>
      <c r="I735" s="42" t="s">
        <v>1213</v>
      </c>
      <c r="J735" s="42"/>
      <c r="K735" s="39" t="s">
        <v>44</v>
      </c>
    </row>
    <row r="736" customFormat="false" ht="21.75" hidden="false" customHeight="true" outlineLevel="0" collapsed="false">
      <c r="A736" s="35" t="n">
        <v>735</v>
      </c>
      <c r="B736" s="36" t="s">
        <v>1656</v>
      </c>
      <c r="C736" s="35" t="s">
        <v>16</v>
      </c>
      <c r="D736" s="36" t="s">
        <v>880</v>
      </c>
      <c r="E736" s="37" t="n">
        <v>5</v>
      </c>
      <c r="F736" s="38" t="s">
        <v>1660</v>
      </c>
      <c r="G736" s="38" t="s">
        <v>1661</v>
      </c>
      <c r="H736" s="38" t="s">
        <v>1659</v>
      </c>
      <c r="I736" s="38" t="s">
        <v>1213</v>
      </c>
      <c r="J736" s="38"/>
      <c r="K736" s="35" t="s">
        <v>44</v>
      </c>
    </row>
    <row r="737" customFormat="false" ht="21.75" hidden="false" customHeight="true" outlineLevel="0" collapsed="false">
      <c r="A737" s="39" t="n">
        <v>736</v>
      </c>
      <c r="B737" s="40" t="s">
        <v>1656</v>
      </c>
      <c r="C737" s="39" t="s">
        <v>16</v>
      </c>
      <c r="D737" s="40" t="s">
        <v>880</v>
      </c>
      <c r="E737" s="41" t="n">
        <v>5</v>
      </c>
      <c r="F737" s="42" t="s">
        <v>1662</v>
      </c>
      <c r="G737" s="42" t="s">
        <v>1663</v>
      </c>
      <c r="H737" s="42" t="s">
        <v>1659</v>
      </c>
      <c r="I737" s="42" t="s">
        <v>1213</v>
      </c>
      <c r="J737" s="42"/>
      <c r="K737" s="39" t="s">
        <v>44</v>
      </c>
    </row>
    <row r="738" customFormat="false" ht="21.75" hidden="false" customHeight="true" outlineLevel="0" collapsed="false">
      <c r="A738" s="35" t="n">
        <v>737</v>
      </c>
      <c r="B738" s="36" t="s">
        <v>1656</v>
      </c>
      <c r="C738" s="35" t="s">
        <v>16</v>
      </c>
      <c r="D738" s="36" t="s">
        <v>880</v>
      </c>
      <c r="E738" s="37" t="n">
        <v>5</v>
      </c>
      <c r="F738" s="38" t="s">
        <v>1664</v>
      </c>
      <c r="G738" s="38" t="s">
        <v>1665</v>
      </c>
      <c r="H738" s="38" t="s">
        <v>1659</v>
      </c>
      <c r="I738" s="38" t="s">
        <v>1213</v>
      </c>
      <c r="J738" s="38"/>
      <c r="K738" s="35" t="s">
        <v>44</v>
      </c>
    </row>
    <row r="739" customFormat="false" ht="21.75" hidden="false" customHeight="true" outlineLevel="0" collapsed="false">
      <c r="A739" s="39" t="n">
        <v>738</v>
      </c>
      <c r="B739" s="40" t="s">
        <v>1656</v>
      </c>
      <c r="C739" s="39" t="s">
        <v>16</v>
      </c>
      <c r="D739" s="40" t="s">
        <v>880</v>
      </c>
      <c r="E739" s="41" t="n">
        <v>5</v>
      </c>
      <c r="F739" s="42" t="s">
        <v>1666</v>
      </c>
      <c r="G739" s="42" t="s">
        <v>1667</v>
      </c>
      <c r="H739" s="42" t="s">
        <v>1659</v>
      </c>
      <c r="I739" s="42" t="s">
        <v>1213</v>
      </c>
      <c r="J739" s="42"/>
      <c r="K739" s="39" t="s">
        <v>44</v>
      </c>
    </row>
    <row r="740" customFormat="false" ht="21.75" hidden="false" customHeight="true" outlineLevel="0" collapsed="false">
      <c r="A740" s="35" t="n">
        <v>739</v>
      </c>
      <c r="B740" s="36" t="s">
        <v>1668</v>
      </c>
      <c r="C740" s="35" t="s">
        <v>16</v>
      </c>
      <c r="D740" s="36" t="s">
        <v>880</v>
      </c>
      <c r="E740" s="37" t="n">
        <v>5</v>
      </c>
      <c r="F740" s="38" t="s">
        <v>1669</v>
      </c>
      <c r="G740" s="38" t="s">
        <v>1670</v>
      </c>
      <c r="H740" s="38" t="s">
        <v>1659</v>
      </c>
      <c r="I740" s="38" t="s">
        <v>1213</v>
      </c>
      <c r="J740" s="38"/>
      <c r="K740" s="35" t="s">
        <v>44</v>
      </c>
    </row>
    <row r="741" customFormat="false" ht="21.75" hidden="false" customHeight="true" outlineLevel="0" collapsed="false">
      <c r="A741" s="39" t="n">
        <v>740</v>
      </c>
      <c r="B741" s="40" t="s">
        <v>1668</v>
      </c>
      <c r="C741" s="39" t="s">
        <v>16</v>
      </c>
      <c r="D741" s="40" t="s">
        <v>880</v>
      </c>
      <c r="E741" s="41" t="n">
        <v>5</v>
      </c>
      <c r="F741" s="42" t="s">
        <v>1671</v>
      </c>
      <c r="G741" s="42" t="s">
        <v>1672</v>
      </c>
      <c r="H741" s="42" t="s">
        <v>1659</v>
      </c>
      <c r="I741" s="42" t="s">
        <v>1213</v>
      </c>
      <c r="J741" s="42"/>
      <c r="K741" s="39" t="s">
        <v>44</v>
      </c>
    </row>
    <row r="742" customFormat="false" ht="21.75" hidden="false" customHeight="true" outlineLevel="0" collapsed="false">
      <c r="A742" s="35" t="n">
        <v>741</v>
      </c>
      <c r="B742" s="36" t="s">
        <v>1668</v>
      </c>
      <c r="C742" s="35" t="s">
        <v>16</v>
      </c>
      <c r="D742" s="36" t="s">
        <v>880</v>
      </c>
      <c r="E742" s="37" t="n">
        <v>5</v>
      </c>
      <c r="F742" s="38" t="s">
        <v>1673</v>
      </c>
      <c r="G742" s="38" t="s">
        <v>1674</v>
      </c>
      <c r="H742" s="38" t="s">
        <v>1659</v>
      </c>
      <c r="I742" s="38" t="s">
        <v>1213</v>
      </c>
      <c r="J742" s="38"/>
      <c r="K742" s="35" t="s">
        <v>44</v>
      </c>
    </row>
    <row r="743" customFormat="false" ht="21.75" hidden="false" customHeight="true" outlineLevel="0" collapsed="false">
      <c r="A743" s="39" t="n">
        <v>742</v>
      </c>
      <c r="B743" s="40" t="s">
        <v>1668</v>
      </c>
      <c r="C743" s="39" t="s">
        <v>16</v>
      </c>
      <c r="D743" s="40" t="s">
        <v>880</v>
      </c>
      <c r="E743" s="41" t="n">
        <v>5</v>
      </c>
      <c r="F743" s="42" t="s">
        <v>1675</v>
      </c>
      <c r="G743" s="42" t="s">
        <v>1676</v>
      </c>
      <c r="H743" s="42" t="s">
        <v>1659</v>
      </c>
      <c r="I743" s="42" t="s">
        <v>1213</v>
      </c>
      <c r="J743" s="42"/>
      <c r="K743" s="39" t="s">
        <v>44</v>
      </c>
    </row>
    <row r="744" customFormat="false" ht="21.75" hidden="false" customHeight="true" outlineLevel="0" collapsed="false">
      <c r="A744" s="35" t="n">
        <v>743</v>
      </c>
      <c r="B744" s="36" t="s">
        <v>1668</v>
      </c>
      <c r="C744" s="35" t="s">
        <v>16</v>
      </c>
      <c r="D744" s="36" t="s">
        <v>880</v>
      </c>
      <c r="E744" s="37" t="n">
        <v>5</v>
      </c>
      <c r="F744" s="38" t="s">
        <v>1677</v>
      </c>
      <c r="G744" s="38" t="s">
        <v>1678</v>
      </c>
      <c r="H744" s="38" t="s">
        <v>1659</v>
      </c>
      <c r="I744" s="38" t="s">
        <v>1213</v>
      </c>
      <c r="J744" s="38"/>
      <c r="K744" s="35" t="s">
        <v>44</v>
      </c>
    </row>
    <row r="745" customFormat="false" ht="21.75" hidden="false" customHeight="true" outlineLevel="0" collapsed="false">
      <c r="A745" s="39" t="n">
        <v>744</v>
      </c>
      <c r="B745" s="40" t="s">
        <v>1668</v>
      </c>
      <c r="C745" s="39" t="s">
        <v>16</v>
      </c>
      <c r="D745" s="40" t="s">
        <v>880</v>
      </c>
      <c r="E745" s="41" t="n">
        <v>5</v>
      </c>
      <c r="F745" s="42" t="s">
        <v>1679</v>
      </c>
      <c r="G745" s="42" t="s">
        <v>1680</v>
      </c>
      <c r="H745" s="42" t="s">
        <v>1659</v>
      </c>
      <c r="I745" s="42" t="s">
        <v>1213</v>
      </c>
      <c r="J745" s="42"/>
      <c r="K745" s="39" t="s">
        <v>44</v>
      </c>
    </row>
    <row r="746" customFormat="false" ht="21.75" hidden="false" customHeight="true" outlineLevel="0" collapsed="false">
      <c r="A746" s="35" t="n">
        <v>745</v>
      </c>
      <c r="B746" s="36" t="s">
        <v>1681</v>
      </c>
      <c r="C746" s="35" t="s">
        <v>16</v>
      </c>
      <c r="D746" s="36" t="s">
        <v>880</v>
      </c>
      <c r="E746" s="37" t="n">
        <v>5</v>
      </c>
      <c r="F746" s="38" t="s">
        <v>1682</v>
      </c>
      <c r="G746" s="38" t="s">
        <v>1683</v>
      </c>
      <c r="H746" s="38" t="s">
        <v>1659</v>
      </c>
      <c r="I746" s="38" t="s">
        <v>1213</v>
      </c>
      <c r="J746" s="38"/>
      <c r="K746" s="35" t="s">
        <v>44</v>
      </c>
    </row>
    <row r="747" customFormat="false" ht="21.75" hidden="false" customHeight="true" outlineLevel="0" collapsed="false">
      <c r="A747" s="39" t="n">
        <v>746</v>
      </c>
      <c r="B747" s="40" t="s">
        <v>1681</v>
      </c>
      <c r="C747" s="39" t="s">
        <v>16</v>
      </c>
      <c r="D747" s="40" t="s">
        <v>880</v>
      </c>
      <c r="E747" s="41" t="n">
        <v>5</v>
      </c>
      <c r="F747" s="42" t="s">
        <v>1684</v>
      </c>
      <c r="G747" s="42" t="s">
        <v>1685</v>
      </c>
      <c r="H747" s="42" t="s">
        <v>1659</v>
      </c>
      <c r="I747" s="42" t="s">
        <v>1213</v>
      </c>
      <c r="J747" s="42"/>
      <c r="K747" s="39" t="s">
        <v>44</v>
      </c>
    </row>
    <row r="748" customFormat="false" ht="21.75" hidden="false" customHeight="true" outlineLevel="0" collapsed="false">
      <c r="A748" s="35" t="n">
        <v>747</v>
      </c>
      <c r="B748" s="36" t="s">
        <v>1681</v>
      </c>
      <c r="C748" s="35" t="s">
        <v>16</v>
      </c>
      <c r="D748" s="36" t="s">
        <v>880</v>
      </c>
      <c r="E748" s="37" t="n">
        <v>5</v>
      </c>
      <c r="F748" s="38" t="s">
        <v>1686</v>
      </c>
      <c r="G748" s="38" t="s">
        <v>1687</v>
      </c>
      <c r="H748" s="38" t="s">
        <v>1659</v>
      </c>
      <c r="I748" s="38" t="s">
        <v>1213</v>
      </c>
      <c r="J748" s="38"/>
      <c r="K748" s="35" t="s">
        <v>44</v>
      </c>
    </row>
    <row r="749" customFormat="false" ht="21.75" hidden="false" customHeight="true" outlineLevel="0" collapsed="false">
      <c r="A749" s="39" t="n">
        <v>748</v>
      </c>
      <c r="B749" s="40" t="s">
        <v>1681</v>
      </c>
      <c r="C749" s="39" t="s">
        <v>16</v>
      </c>
      <c r="D749" s="40" t="s">
        <v>880</v>
      </c>
      <c r="E749" s="41" t="n">
        <v>5</v>
      </c>
      <c r="F749" s="42" t="s">
        <v>1688</v>
      </c>
      <c r="G749" s="42" t="s">
        <v>1689</v>
      </c>
      <c r="H749" s="42" t="s">
        <v>1659</v>
      </c>
      <c r="I749" s="42" t="s">
        <v>1213</v>
      </c>
      <c r="J749" s="42"/>
      <c r="K749" s="39" t="s">
        <v>44</v>
      </c>
    </row>
    <row r="750" customFormat="false" ht="21.75" hidden="false" customHeight="true" outlineLevel="0" collapsed="false">
      <c r="A750" s="35" t="n">
        <v>749</v>
      </c>
      <c r="B750" s="36" t="s">
        <v>1668</v>
      </c>
      <c r="C750" s="35" t="s">
        <v>16</v>
      </c>
      <c r="D750" s="36" t="s">
        <v>880</v>
      </c>
      <c r="E750" s="37" t="n">
        <v>5</v>
      </c>
      <c r="F750" s="38" t="s">
        <v>1690</v>
      </c>
      <c r="G750" s="38" t="s">
        <v>1691</v>
      </c>
      <c r="H750" s="38" t="s">
        <v>1659</v>
      </c>
      <c r="I750" s="38" t="s">
        <v>1213</v>
      </c>
      <c r="J750" s="38"/>
      <c r="K750" s="35" t="s">
        <v>44</v>
      </c>
    </row>
    <row r="751" customFormat="false" ht="21.75" hidden="false" customHeight="true" outlineLevel="0" collapsed="false">
      <c r="A751" s="39" t="n">
        <v>750</v>
      </c>
      <c r="B751" s="40" t="s">
        <v>1668</v>
      </c>
      <c r="C751" s="39" t="s">
        <v>16</v>
      </c>
      <c r="D751" s="40" t="s">
        <v>880</v>
      </c>
      <c r="E751" s="41" t="n">
        <v>5</v>
      </c>
      <c r="F751" s="42" t="s">
        <v>1692</v>
      </c>
      <c r="G751" s="42" t="s">
        <v>1693</v>
      </c>
      <c r="H751" s="42" t="s">
        <v>1659</v>
      </c>
      <c r="I751" s="42" t="s">
        <v>1213</v>
      </c>
      <c r="J751" s="42"/>
      <c r="K751" s="39" t="s">
        <v>44</v>
      </c>
    </row>
    <row r="752" customFormat="false" ht="21.75" hidden="false" customHeight="true" outlineLevel="0" collapsed="false">
      <c r="A752" s="35" t="n">
        <v>751</v>
      </c>
      <c r="B752" s="36" t="s">
        <v>1668</v>
      </c>
      <c r="C752" s="35" t="s">
        <v>16</v>
      </c>
      <c r="D752" s="36" t="s">
        <v>880</v>
      </c>
      <c r="E752" s="37" t="n">
        <v>5</v>
      </c>
      <c r="F752" s="38" t="s">
        <v>1694</v>
      </c>
      <c r="G752" s="38" t="s">
        <v>1695</v>
      </c>
      <c r="H752" s="38" t="s">
        <v>1659</v>
      </c>
      <c r="I752" s="38" t="s">
        <v>1213</v>
      </c>
      <c r="J752" s="38"/>
      <c r="K752" s="35" t="s">
        <v>44</v>
      </c>
    </row>
    <row r="753" customFormat="false" ht="21.75" hidden="false" customHeight="true" outlineLevel="0" collapsed="false">
      <c r="A753" s="39" t="n">
        <v>752</v>
      </c>
      <c r="B753" s="40" t="s">
        <v>1668</v>
      </c>
      <c r="C753" s="39" t="s">
        <v>16</v>
      </c>
      <c r="D753" s="40" t="s">
        <v>880</v>
      </c>
      <c r="E753" s="41" t="n">
        <v>5</v>
      </c>
      <c r="F753" s="42" t="s">
        <v>1696</v>
      </c>
      <c r="G753" s="42" t="s">
        <v>1697</v>
      </c>
      <c r="H753" s="42" t="s">
        <v>1659</v>
      </c>
      <c r="I753" s="42" t="s">
        <v>1213</v>
      </c>
      <c r="J753" s="42"/>
      <c r="K753" s="39" t="s">
        <v>44</v>
      </c>
    </row>
    <row r="754" customFormat="false" ht="21.75" hidden="false" customHeight="true" outlineLevel="0" collapsed="false">
      <c r="A754" s="35" t="n">
        <v>753</v>
      </c>
      <c r="B754" s="36" t="s">
        <v>1668</v>
      </c>
      <c r="C754" s="35" t="s">
        <v>16</v>
      </c>
      <c r="D754" s="36" t="s">
        <v>880</v>
      </c>
      <c r="E754" s="37" t="n">
        <v>5</v>
      </c>
      <c r="F754" s="38" t="s">
        <v>1698</v>
      </c>
      <c r="G754" s="38" t="s">
        <v>1699</v>
      </c>
      <c r="H754" s="38" t="s">
        <v>1659</v>
      </c>
      <c r="I754" s="38" t="s">
        <v>1213</v>
      </c>
      <c r="J754" s="38"/>
      <c r="K754" s="35" t="s">
        <v>44</v>
      </c>
    </row>
    <row r="755" customFormat="false" ht="21.75" hidden="false" customHeight="true" outlineLevel="0" collapsed="false">
      <c r="A755" s="39" t="n">
        <v>754</v>
      </c>
      <c r="B755" s="40" t="s">
        <v>1668</v>
      </c>
      <c r="C755" s="39" t="s">
        <v>16</v>
      </c>
      <c r="D755" s="40" t="s">
        <v>880</v>
      </c>
      <c r="E755" s="41" t="n">
        <v>5</v>
      </c>
      <c r="F755" s="42" t="s">
        <v>1700</v>
      </c>
      <c r="G755" s="42" t="s">
        <v>1701</v>
      </c>
      <c r="H755" s="42" t="s">
        <v>1659</v>
      </c>
      <c r="I755" s="42" t="s">
        <v>1213</v>
      </c>
      <c r="J755" s="42"/>
      <c r="K755" s="39" t="s">
        <v>44</v>
      </c>
    </row>
    <row r="756" customFormat="false" ht="21.75" hidden="false" customHeight="true" outlineLevel="0" collapsed="false">
      <c r="A756" s="35" t="n">
        <v>755</v>
      </c>
      <c r="B756" s="36" t="s">
        <v>1668</v>
      </c>
      <c r="C756" s="35" t="s">
        <v>16</v>
      </c>
      <c r="D756" s="36" t="s">
        <v>880</v>
      </c>
      <c r="E756" s="37" t="n">
        <v>5</v>
      </c>
      <c r="F756" s="38" t="s">
        <v>1702</v>
      </c>
      <c r="G756" s="38" t="s">
        <v>1703</v>
      </c>
      <c r="H756" s="38" t="s">
        <v>1659</v>
      </c>
      <c r="I756" s="38" t="s">
        <v>1213</v>
      </c>
      <c r="J756" s="38"/>
      <c r="K756" s="35" t="s">
        <v>44</v>
      </c>
    </row>
    <row r="757" customFormat="false" ht="21.75" hidden="false" customHeight="true" outlineLevel="0" collapsed="false">
      <c r="A757" s="39" t="n">
        <v>756</v>
      </c>
      <c r="B757" s="40" t="s">
        <v>1668</v>
      </c>
      <c r="C757" s="39" t="s">
        <v>16</v>
      </c>
      <c r="D757" s="40" t="s">
        <v>880</v>
      </c>
      <c r="E757" s="41" t="n">
        <v>5</v>
      </c>
      <c r="F757" s="42" t="s">
        <v>1704</v>
      </c>
      <c r="G757" s="42" t="s">
        <v>1705</v>
      </c>
      <c r="H757" s="42" t="s">
        <v>1659</v>
      </c>
      <c r="I757" s="42" t="s">
        <v>1213</v>
      </c>
      <c r="J757" s="42"/>
      <c r="K757" s="39" t="s">
        <v>44</v>
      </c>
    </row>
    <row r="758" customFormat="false" ht="21.75" hidden="false" customHeight="true" outlineLevel="0" collapsed="false">
      <c r="A758" s="35" t="n">
        <v>757</v>
      </c>
      <c r="B758" s="36" t="s">
        <v>1668</v>
      </c>
      <c r="C758" s="35" t="s">
        <v>16</v>
      </c>
      <c r="D758" s="36" t="s">
        <v>880</v>
      </c>
      <c r="E758" s="37" t="n">
        <v>5</v>
      </c>
      <c r="F758" s="38" t="s">
        <v>1706</v>
      </c>
      <c r="G758" s="38" t="s">
        <v>1707</v>
      </c>
      <c r="H758" s="38" t="s">
        <v>1659</v>
      </c>
      <c r="I758" s="38" t="s">
        <v>1213</v>
      </c>
      <c r="J758" s="38"/>
      <c r="K758" s="35" t="s">
        <v>44</v>
      </c>
    </row>
    <row r="759" customFormat="false" ht="21.75" hidden="false" customHeight="true" outlineLevel="0" collapsed="false">
      <c r="A759" s="39" t="n">
        <v>758</v>
      </c>
      <c r="B759" s="40" t="s">
        <v>1668</v>
      </c>
      <c r="C759" s="39" t="s">
        <v>16</v>
      </c>
      <c r="D759" s="40" t="s">
        <v>880</v>
      </c>
      <c r="E759" s="41" t="n">
        <v>5</v>
      </c>
      <c r="F759" s="42" t="s">
        <v>1708</v>
      </c>
      <c r="G759" s="42" t="s">
        <v>1709</v>
      </c>
      <c r="H759" s="42" t="s">
        <v>1659</v>
      </c>
      <c r="I759" s="42" t="s">
        <v>1213</v>
      </c>
      <c r="J759" s="42"/>
      <c r="K759" s="39" t="s">
        <v>44</v>
      </c>
    </row>
    <row r="760" customFormat="false" ht="21.75" hidden="false" customHeight="true" outlineLevel="0" collapsed="false">
      <c r="A760" s="35" t="n">
        <v>759</v>
      </c>
      <c r="B760" s="36" t="s">
        <v>1668</v>
      </c>
      <c r="C760" s="35" t="s">
        <v>16</v>
      </c>
      <c r="D760" s="36" t="s">
        <v>880</v>
      </c>
      <c r="E760" s="37" t="n">
        <v>5</v>
      </c>
      <c r="F760" s="38" t="s">
        <v>1710</v>
      </c>
      <c r="G760" s="38" t="s">
        <v>1711</v>
      </c>
      <c r="H760" s="38" t="s">
        <v>1659</v>
      </c>
      <c r="I760" s="38" t="s">
        <v>1213</v>
      </c>
      <c r="J760" s="38"/>
      <c r="K760" s="35" t="s">
        <v>44</v>
      </c>
    </row>
    <row r="761" customFormat="false" ht="21.75" hidden="false" customHeight="true" outlineLevel="0" collapsed="false">
      <c r="A761" s="39" t="n">
        <v>760</v>
      </c>
      <c r="B761" s="40" t="s">
        <v>1712</v>
      </c>
      <c r="C761" s="39" t="s">
        <v>16</v>
      </c>
      <c r="D761" s="40" t="s">
        <v>880</v>
      </c>
      <c r="E761" s="41" t="n">
        <v>5</v>
      </c>
      <c r="F761" s="42" t="s">
        <v>1713</v>
      </c>
      <c r="G761" s="42" t="s">
        <v>1714</v>
      </c>
      <c r="H761" s="42" t="s">
        <v>1659</v>
      </c>
      <c r="I761" s="42" t="s">
        <v>1213</v>
      </c>
      <c r="J761" s="42"/>
      <c r="K761" s="39" t="s">
        <v>44</v>
      </c>
    </row>
    <row r="762" customFormat="false" ht="21.75" hidden="false" customHeight="true" outlineLevel="0" collapsed="false">
      <c r="A762" s="35" t="n">
        <v>761</v>
      </c>
      <c r="B762" s="36" t="s">
        <v>1712</v>
      </c>
      <c r="C762" s="35" t="s">
        <v>16</v>
      </c>
      <c r="D762" s="36" t="s">
        <v>880</v>
      </c>
      <c r="E762" s="37" t="n">
        <v>5</v>
      </c>
      <c r="F762" s="38" t="s">
        <v>1715</v>
      </c>
      <c r="G762" s="38" t="s">
        <v>1716</v>
      </c>
      <c r="H762" s="38" t="s">
        <v>1659</v>
      </c>
      <c r="I762" s="38" t="s">
        <v>1213</v>
      </c>
      <c r="J762" s="38"/>
      <c r="K762" s="35" t="s">
        <v>44</v>
      </c>
    </row>
    <row r="763" customFormat="false" ht="21.75" hidden="false" customHeight="true" outlineLevel="0" collapsed="false">
      <c r="A763" s="39" t="n">
        <v>762</v>
      </c>
      <c r="B763" s="40" t="s">
        <v>1712</v>
      </c>
      <c r="C763" s="39" t="s">
        <v>16</v>
      </c>
      <c r="D763" s="40" t="s">
        <v>880</v>
      </c>
      <c r="E763" s="41" t="n">
        <v>5</v>
      </c>
      <c r="F763" s="42" t="s">
        <v>1717</v>
      </c>
      <c r="G763" s="42" t="s">
        <v>1718</v>
      </c>
      <c r="H763" s="42" t="s">
        <v>1659</v>
      </c>
      <c r="I763" s="42" t="s">
        <v>1213</v>
      </c>
      <c r="J763" s="42"/>
      <c r="K763" s="39" t="s">
        <v>44</v>
      </c>
    </row>
    <row r="764" customFormat="false" ht="21.75" hidden="false" customHeight="true" outlineLevel="0" collapsed="false">
      <c r="A764" s="35" t="n">
        <v>763</v>
      </c>
      <c r="B764" s="36" t="s">
        <v>1712</v>
      </c>
      <c r="C764" s="35" t="s">
        <v>16</v>
      </c>
      <c r="D764" s="36" t="s">
        <v>880</v>
      </c>
      <c r="E764" s="37" t="n">
        <v>5</v>
      </c>
      <c r="F764" s="38" t="s">
        <v>1719</v>
      </c>
      <c r="G764" s="38" t="s">
        <v>1720</v>
      </c>
      <c r="H764" s="38" t="s">
        <v>1659</v>
      </c>
      <c r="I764" s="38" t="s">
        <v>1213</v>
      </c>
      <c r="J764" s="38"/>
      <c r="K764" s="35" t="s">
        <v>44</v>
      </c>
    </row>
    <row r="765" customFormat="false" ht="21.75" hidden="false" customHeight="true" outlineLevel="0" collapsed="false">
      <c r="A765" s="39" t="n">
        <v>764</v>
      </c>
      <c r="B765" s="40" t="s">
        <v>1712</v>
      </c>
      <c r="C765" s="39" t="s">
        <v>16</v>
      </c>
      <c r="D765" s="40" t="s">
        <v>880</v>
      </c>
      <c r="E765" s="41" t="n">
        <v>5</v>
      </c>
      <c r="F765" s="42" t="s">
        <v>1721</v>
      </c>
      <c r="G765" s="42" t="s">
        <v>1722</v>
      </c>
      <c r="H765" s="42" t="s">
        <v>1659</v>
      </c>
      <c r="I765" s="42" t="s">
        <v>1213</v>
      </c>
      <c r="J765" s="42"/>
      <c r="K765" s="39" t="s">
        <v>44</v>
      </c>
    </row>
    <row r="766" customFormat="false" ht="21.75" hidden="false" customHeight="true" outlineLevel="0" collapsed="false">
      <c r="A766" s="35" t="n">
        <v>765</v>
      </c>
      <c r="B766" s="36" t="s">
        <v>1723</v>
      </c>
      <c r="C766" s="35" t="s">
        <v>16</v>
      </c>
      <c r="D766" s="36" t="s">
        <v>880</v>
      </c>
      <c r="E766" s="37" t="n">
        <v>5</v>
      </c>
      <c r="F766" s="38" t="s">
        <v>1724</v>
      </c>
      <c r="G766" s="38" t="s">
        <v>1725</v>
      </c>
      <c r="H766" s="38" t="s">
        <v>1659</v>
      </c>
      <c r="I766" s="38" t="s">
        <v>1213</v>
      </c>
      <c r="J766" s="38"/>
      <c r="K766" s="35" t="s">
        <v>44</v>
      </c>
    </row>
    <row r="767" customFormat="false" ht="21.75" hidden="false" customHeight="true" outlineLevel="0" collapsed="false">
      <c r="A767" s="39" t="n">
        <v>766</v>
      </c>
      <c r="B767" s="40" t="s">
        <v>1712</v>
      </c>
      <c r="C767" s="39" t="s">
        <v>16</v>
      </c>
      <c r="D767" s="40" t="s">
        <v>880</v>
      </c>
      <c r="E767" s="41" t="n">
        <v>5</v>
      </c>
      <c r="F767" s="42" t="s">
        <v>1726</v>
      </c>
      <c r="G767" s="42" t="s">
        <v>1727</v>
      </c>
      <c r="H767" s="42" t="s">
        <v>1659</v>
      </c>
      <c r="I767" s="42" t="s">
        <v>1213</v>
      </c>
      <c r="J767" s="42"/>
      <c r="K767" s="39" t="s">
        <v>44</v>
      </c>
    </row>
    <row r="768" customFormat="false" ht="21.75" hidden="false" customHeight="true" outlineLevel="0" collapsed="false">
      <c r="A768" s="35" t="n">
        <v>767</v>
      </c>
      <c r="B768" s="36" t="s">
        <v>1712</v>
      </c>
      <c r="C768" s="35" t="s">
        <v>16</v>
      </c>
      <c r="D768" s="36" t="s">
        <v>880</v>
      </c>
      <c r="E768" s="37" t="n">
        <v>5</v>
      </c>
      <c r="F768" s="38" t="s">
        <v>1728</v>
      </c>
      <c r="G768" s="38" t="s">
        <v>1729</v>
      </c>
      <c r="H768" s="38" t="s">
        <v>1659</v>
      </c>
      <c r="I768" s="38" t="s">
        <v>1213</v>
      </c>
      <c r="J768" s="38"/>
      <c r="K768" s="35" t="s">
        <v>44</v>
      </c>
    </row>
    <row r="769" customFormat="false" ht="21.75" hidden="false" customHeight="true" outlineLevel="0" collapsed="false">
      <c r="A769" s="39" t="n">
        <v>768</v>
      </c>
      <c r="B769" s="40" t="s">
        <v>1712</v>
      </c>
      <c r="C769" s="39" t="s">
        <v>16</v>
      </c>
      <c r="D769" s="40" t="s">
        <v>880</v>
      </c>
      <c r="E769" s="41" t="n">
        <v>5</v>
      </c>
      <c r="F769" s="42" t="s">
        <v>1730</v>
      </c>
      <c r="G769" s="42" t="s">
        <v>1731</v>
      </c>
      <c r="H769" s="42" t="s">
        <v>1659</v>
      </c>
      <c r="I769" s="42" t="s">
        <v>1213</v>
      </c>
      <c r="J769" s="42"/>
      <c r="K769" s="39" t="s">
        <v>44</v>
      </c>
    </row>
    <row r="770" customFormat="false" ht="21.75" hidden="false" customHeight="true" outlineLevel="0" collapsed="false">
      <c r="A770" s="35" t="n">
        <v>769</v>
      </c>
      <c r="B770" s="36" t="s">
        <v>1712</v>
      </c>
      <c r="C770" s="35" t="s">
        <v>16</v>
      </c>
      <c r="D770" s="36" t="s">
        <v>880</v>
      </c>
      <c r="E770" s="37" t="n">
        <v>5</v>
      </c>
      <c r="F770" s="38" t="s">
        <v>1732</v>
      </c>
      <c r="G770" s="38" t="s">
        <v>1733</v>
      </c>
      <c r="H770" s="38" t="s">
        <v>1659</v>
      </c>
      <c r="I770" s="38" t="s">
        <v>1213</v>
      </c>
      <c r="J770" s="38"/>
      <c r="K770" s="35" t="s">
        <v>44</v>
      </c>
    </row>
    <row r="771" customFormat="false" ht="21.75" hidden="false" customHeight="true" outlineLevel="0" collapsed="false">
      <c r="A771" s="39" t="n">
        <v>770</v>
      </c>
      <c r="B771" s="40" t="s">
        <v>1712</v>
      </c>
      <c r="C771" s="39" t="s">
        <v>16</v>
      </c>
      <c r="D771" s="40" t="s">
        <v>880</v>
      </c>
      <c r="E771" s="41" t="n">
        <v>5</v>
      </c>
      <c r="F771" s="42" t="s">
        <v>1734</v>
      </c>
      <c r="G771" s="42" t="s">
        <v>1735</v>
      </c>
      <c r="H771" s="42" t="s">
        <v>1659</v>
      </c>
      <c r="I771" s="42" t="s">
        <v>1213</v>
      </c>
      <c r="J771" s="42"/>
      <c r="K771" s="39" t="s">
        <v>44</v>
      </c>
    </row>
    <row r="772" customFormat="false" ht="21.75" hidden="false" customHeight="true" outlineLevel="0" collapsed="false">
      <c r="A772" s="35" t="n">
        <v>771</v>
      </c>
      <c r="B772" s="36" t="s">
        <v>1712</v>
      </c>
      <c r="C772" s="35" t="s">
        <v>16</v>
      </c>
      <c r="D772" s="36" t="s">
        <v>880</v>
      </c>
      <c r="E772" s="37" t="n">
        <v>5</v>
      </c>
      <c r="F772" s="38" t="s">
        <v>1736</v>
      </c>
      <c r="G772" s="38" t="s">
        <v>1737</v>
      </c>
      <c r="H772" s="38" t="s">
        <v>1659</v>
      </c>
      <c r="I772" s="38" t="s">
        <v>1213</v>
      </c>
      <c r="J772" s="38"/>
      <c r="K772" s="35" t="s">
        <v>44</v>
      </c>
    </row>
    <row r="773" customFormat="false" ht="21.75" hidden="false" customHeight="true" outlineLevel="0" collapsed="false">
      <c r="A773" s="39" t="n">
        <v>772</v>
      </c>
      <c r="B773" s="40" t="s">
        <v>1712</v>
      </c>
      <c r="C773" s="39" t="s">
        <v>16</v>
      </c>
      <c r="D773" s="40" t="s">
        <v>880</v>
      </c>
      <c r="E773" s="41" t="n">
        <v>5</v>
      </c>
      <c r="F773" s="42" t="s">
        <v>1738</v>
      </c>
      <c r="G773" s="42" t="s">
        <v>1739</v>
      </c>
      <c r="H773" s="42" t="s">
        <v>1659</v>
      </c>
      <c r="I773" s="42" t="s">
        <v>1213</v>
      </c>
      <c r="J773" s="42"/>
      <c r="K773" s="39" t="s">
        <v>44</v>
      </c>
    </row>
    <row r="774" customFormat="false" ht="21.75" hidden="false" customHeight="true" outlineLevel="0" collapsed="false">
      <c r="A774" s="35" t="n">
        <v>773</v>
      </c>
      <c r="B774" s="36" t="s">
        <v>1712</v>
      </c>
      <c r="C774" s="35" t="s">
        <v>16</v>
      </c>
      <c r="D774" s="36" t="s">
        <v>880</v>
      </c>
      <c r="E774" s="37" t="n">
        <v>5</v>
      </c>
      <c r="F774" s="38" t="s">
        <v>1740</v>
      </c>
      <c r="G774" s="38" t="s">
        <v>1741</v>
      </c>
      <c r="H774" s="38" t="s">
        <v>1659</v>
      </c>
      <c r="I774" s="38" t="s">
        <v>1213</v>
      </c>
      <c r="J774" s="38"/>
      <c r="K774" s="35" t="s">
        <v>44</v>
      </c>
    </row>
    <row r="775" customFormat="false" ht="21.75" hidden="false" customHeight="true" outlineLevel="0" collapsed="false">
      <c r="A775" s="39" t="n">
        <v>774</v>
      </c>
      <c r="B775" s="40" t="s">
        <v>1712</v>
      </c>
      <c r="C775" s="39" t="s">
        <v>16</v>
      </c>
      <c r="D775" s="40" t="s">
        <v>880</v>
      </c>
      <c r="E775" s="41" t="n">
        <v>5</v>
      </c>
      <c r="F775" s="42" t="s">
        <v>1742</v>
      </c>
      <c r="G775" s="42" t="s">
        <v>1743</v>
      </c>
      <c r="H775" s="42" t="s">
        <v>1659</v>
      </c>
      <c r="I775" s="42" t="s">
        <v>1213</v>
      </c>
      <c r="J775" s="42"/>
      <c r="K775" s="39" t="s">
        <v>44</v>
      </c>
    </row>
    <row r="776" customFormat="false" ht="21.75" hidden="false" customHeight="true" outlineLevel="0" collapsed="false">
      <c r="A776" s="35" t="n">
        <v>775</v>
      </c>
      <c r="B776" s="36" t="s">
        <v>1744</v>
      </c>
      <c r="C776" s="35" t="s">
        <v>16</v>
      </c>
      <c r="D776" s="36" t="s">
        <v>880</v>
      </c>
      <c r="E776" s="37" t="n">
        <v>5</v>
      </c>
      <c r="F776" s="38"/>
      <c r="G776" s="38" t="s">
        <v>1745</v>
      </c>
      <c r="H776" s="38" t="s">
        <v>1746</v>
      </c>
      <c r="I776" s="38" t="s">
        <v>1213</v>
      </c>
      <c r="J776" s="38"/>
      <c r="K776" s="35" t="s">
        <v>44</v>
      </c>
    </row>
    <row r="777" customFormat="false" ht="21.75" hidden="false" customHeight="true" outlineLevel="0" collapsed="false">
      <c r="A777" s="39" t="n">
        <v>776</v>
      </c>
      <c r="B777" s="40" t="s">
        <v>1744</v>
      </c>
      <c r="C777" s="39" t="s">
        <v>16</v>
      </c>
      <c r="D777" s="40" t="s">
        <v>880</v>
      </c>
      <c r="E777" s="41" t="n">
        <v>5</v>
      </c>
      <c r="F777" s="42"/>
      <c r="G777" s="42" t="s">
        <v>1747</v>
      </c>
      <c r="H777" s="42" t="s">
        <v>1746</v>
      </c>
      <c r="I777" s="42" t="s">
        <v>1213</v>
      </c>
      <c r="J777" s="42"/>
      <c r="K777" s="39" t="s">
        <v>44</v>
      </c>
    </row>
    <row r="778" customFormat="false" ht="21.75" hidden="false" customHeight="true" outlineLevel="0" collapsed="false">
      <c r="A778" s="35" t="n">
        <v>777</v>
      </c>
      <c r="B778" s="36" t="s">
        <v>1744</v>
      </c>
      <c r="C778" s="35" t="s">
        <v>16</v>
      </c>
      <c r="D778" s="36" t="s">
        <v>880</v>
      </c>
      <c r="E778" s="37" t="n">
        <v>5</v>
      </c>
      <c r="F778" s="38"/>
      <c r="G778" s="38" t="s">
        <v>1748</v>
      </c>
      <c r="H778" s="38" t="s">
        <v>1746</v>
      </c>
      <c r="I778" s="38" t="s">
        <v>1213</v>
      </c>
      <c r="J778" s="38"/>
      <c r="K778" s="35" t="s">
        <v>44</v>
      </c>
    </row>
    <row r="779" customFormat="false" ht="21.75" hidden="false" customHeight="true" outlineLevel="0" collapsed="false">
      <c r="A779" s="39" t="n">
        <v>778</v>
      </c>
      <c r="B779" s="40" t="s">
        <v>1749</v>
      </c>
      <c r="C779" s="39" t="s">
        <v>16</v>
      </c>
      <c r="D779" s="40" t="s">
        <v>880</v>
      </c>
      <c r="E779" s="41" t="n">
        <v>5</v>
      </c>
      <c r="F779" s="42"/>
      <c r="G779" s="42" t="s">
        <v>1750</v>
      </c>
      <c r="H779" s="42" t="s">
        <v>1746</v>
      </c>
      <c r="I779" s="42" t="s">
        <v>1213</v>
      </c>
      <c r="J779" s="42"/>
      <c r="K779" s="39" t="s">
        <v>44</v>
      </c>
    </row>
    <row r="780" customFormat="false" ht="21.75" hidden="false" customHeight="true" outlineLevel="0" collapsed="false">
      <c r="A780" s="35" t="n">
        <v>779</v>
      </c>
      <c r="B780" s="36" t="s">
        <v>1751</v>
      </c>
      <c r="C780" s="35" t="s">
        <v>16</v>
      </c>
      <c r="D780" s="36" t="s">
        <v>880</v>
      </c>
      <c r="E780" s="37" t="n">
        <v>5</v>
      </c>
      <c r="F780" s="38"/>
      <c r="G780" s="38" t="s">
        <v>1752</v>
      </c>
      <c r="H780" s="38" t="s">
        <v>1746</v>
      </c>
      <c r="I780" s="38" t="s">
        <v>1213</v>
      </c>
      <c r="J780" s="38"/>
      <c r="K780" s="35" t="s">
        <v>44</v>
      </c>
    </row>
    <row r="781" customFormat="false" ht="21.75" hidden="false" customHeight="true" outlineLevel="0" collapsed="false">
      <c r="A781" s="39" t="n">
        <v>780</v>
      </c>
      <c r="B781" s="40" t="s">
        <v>1753</v>
      </c>
      <c r="C781" s="39" t="s">
        <v>16</v>
      </c>
      <c r="D781" s="40" t="s">
        <v>880</v>
      </c>
      <c r="E781" s="41" t="n">
        <v>5</v>
      </c>
      <c r="F781" s="42"/>
      <c r="G781" s="42" t="s">
        <v>1754</v>
      </c>
      <c r="H781" s="42" t="s">
        <v>1746</v>
      </c>
      <c r="I781" s="42" t="s">
        <v>1213</v>
      </c>
      <c r="J781" s="42"/>
      <c r="K781" s="39" t="s">
        <v>44</v>
      </c>
    </row>
    <row r="782" customFormat="false" ht="21.75" hidden="false" customHeight="true" outlineLevel="0" collapsed="false">
      <c r="A782" s="35" t="n">
        <v>781</v>
      </c>
      <c r="B782" s="36" t="s">
        <v>1755</v>
      </c>
      <c r="C782" s="35" t="s">
        <v>16</v>
      </c>
      <c r="D782" s="36" t="s">
        <v>880</v>
      </c>
      <c r="E782" s="37" t="n">
        <v>5</v>
      </c>
      <c r="F782" s="38"/>
      <c r="G782" s="38" t="s">
        <v>1756</v>
      </c>
      <c r="H782" s="38" t="s">
        <v>1746</v>
      </c>
      <c r="I782" s="38" t="s">
        <v>1213</v>
      </c>
      <c r="J782" s="38"/>
      <c r="K782" s="35" t="s">
        <v>44</v>
      </c>
    </row>
    <row r="783" customFormat="false" ht="21.75" hidden="false" customHeight="true" outlineLevel="0" collapsed="false">
      <c r="A783" s="39" t="n">
        <v>782</v>
      </c>
      <c r="B783" s="40" t="s">
        <v>1757</v>
      </c>
      <c r="C783" s="39" t="s">
        <v>16</v>
      </c>
      <c r="D783" s="40" t="s">
        <v>880</v>
      </c>
      <c r="E783" s="41" t="n">
        <v>5</v>
      </c>
      <c r="F783" s="42"/>
      <c r="G783" s="42" t="s">
        <v>1758</v>
      </c>
      <c r="H783" s="42" t="s">
        <v>1746</v>
      </c>
      <c r="I783" s="42" t="s">
        <v>1213</v>
      </c>
      <c r="J783" s="42"/>
      <c r="K783" s="39" t="s">
        <v>44</v>
      </c>
    </row>
    <row r="784" customFormat="false" ht="21.75" hidden="false" customHeight="true" outlineLevel="0" collapsed="false">
      <c r="A784" s="35" t="n">
        <v>783</v>
      </c>
      <c r="B784" s="36" t="s">
        <v>1759</v>
      </c>
      <c r="C784" s="35" t="s">
        <v>16</v>
      </c>
      <c r="D784" s="36" t="s">
        <v>880</v>
      </c>
      <c r="E784" s="37" t="n">
        <v>5</v>
      </c>
      <c r="F784" s="38"/>
      <c r="G784" s="38" t="s">
        <v>1760</v>
      </c>
      <c r="H784" s="38" t="s">
        <v>1746</v>
      </c>
      <c r="I784" s="38" t="s">
        <v>1213</v>
      </c>
      <c r="J784" s="38"/>
      <c r="K784" s="35" t="s">
        <v>44</v>
      </c>
    </row>
    <row r="785" customFormat="false" ht="21.75" hidden="false" customHeight="true" outlineLevel="0" collapsed="false">
      <c r="A785" s="39" t="n">
        <v>784</v>
      </c>
      <c r="B785" s="40" t="s">
        <v>1751</v>
      </c>
      <c r="C785" s="39" t="s">
        <v>16</v>
      </c>
      <c r="D785" s="40" t="s">
        <v>880</v>
      </c>
      <c r="E785" s="41" t="n">
        <v>5</v>
      </c>
      <c r="F785" s="42"/>
      <c r="G785" s="42" t="s">
        <v>1761</v>
      </c>
      <c r="H785" s="42" t="s">
        <v>1746</v>
      </c>
      <c r="I785" s="42" t="s">
        <v>1213</v>
      </c>
      <c r="J785" s="42"/>
      <c r="K785" s="39" t="s">
        <v>44</v>
      </c>
    </row>
    <row r="786" customFormat="false" ht="21.75" hidden="false" customHeight="true" outlineLevel="0" collapsed="false">
      <c r="A786" s="35" t="n">
        <v>785</v>
      </c>
      <c r="B786" s="36" t="s">
        <v>1751</v>
      </c>
      <c r="C786" s="35" t="s">
        <v>16</v>
      </c>
      <c r="D786" s="36" t="s">
        <v>880</v>
      </c>
      <c r="E786" s="37" t="n">
        <v>5</v>
      </c>
      <c r="F786" s="38"/>
      <c r="G786" s="38" t="s">
        <v>1762</v>
      </c>
      <c r="H786" s="38" t="s">
        <v>1746</v>
      </c>
      <c r="I786" s="38" t="s">
        <v>1213</v>
      </c>
      <c r="J786" s="38"/>
      <c r="K786" s="35" t="s">
        <v>44</v>
      </c>
    </row>
    <row r="787" customFormat="false" ht="21.75" hidden="false" customHeight="true" outlineLevel="0" collapsed="false">
      <c r="A787" s="39" t="n">
        <v>786</v>
      </c>
      <c r="B787" s="40" t="s">
        <v>1755</v>
      </c>
      <c r="C787" s="39" t="s">
        <v>16</v>
      </c>
      <c r="D787" s="40" t="s">
        <v>880</v>
      </c>
      <c r="E787" s="41" t="n">
        <v>5</v>
      </c>
      <c r="F787" s="42"/>
      <c r="G787" s="42" t="s">
        <v>1763</v>
      </c>
      <c r="H787" s="42" t="s">
        <v>1746</v>
      </c>
      <c r="I787" s="42" t="s">
        <v>1213</v>
      </c>
      <c r="J787" s="42"/>
      <c r="K787" s="39" t="s">
        <v>44</v>
      </c>
    </row>
    <row r="788" customFormat="false" ht="21.75" hidden="false" customHeight="true" outlineLevel="0" collapsed="false">
      <c r="A788" s="35" t="n">
        <v>787</v>
      </c>
      <c r="B788" s="36" t="s">
        <v>1744</v>
      </c>
      <c r="C788" s="35" t="s">
        <v>16</v>
      </c>
      <c r="D788" s="36" t="s">
        <v>880</v>
      </c>
      <c r="E788" s="37" t="n">
        <v>5</v>
      </c>
      <c r="F788" s="38"/>
      <c r="G788" s="38" t="s">
        <v>1764</v>
      </c>
      <c r="H788" s="38" t="s">
        <v>1746</v>
      </c>
      <c r="I788" s="38" t="s">
        <v>1213</v>
      </c>
      <c r="J788" s="38"/>
      <c r="K788" s="35" t="s">
        <v>44</v>
      </c>
    </row>
    <row r="789" customFormat="false" ht="21.75" hidden="false" customHeight="true" outlineLevel="0" collapsed="false">
      <c r="A789" s="39" t="n">
        <v>788</v>
      </c>
      <c r="B789" s="40" t="s">
        <v>1765</v>
      </c>
      <c r="C789" s="39" t="s">
        <v>16</v>
      </c>
      <c r="D789" s="40" t="s">
        <v>880</v>
      </c>
      <c r="E789" s="41" t="n">
        <v>5</v>
      </c>
      <c r="F789" s="42"/>
      <c r="G789" s="42" t="s">
        <v>1766</v>
      </c>
      <c r="H789" s="42" t="s">
        <v>1746</v>
      </c>
      <c r="I789" s="42" t="s">
        <v>1213</v>
      </c>
      <c r="J789" s="42"/>
      <c r="K789" s="39" t="s">
        <v>44</v>
      </c>
    </row>
    <row r="790" customFormat="false" ht="21.75" hidden="false" customHeight="true" outlineLevel="0" collapsed="false">
      <c r="A790" s="35" t="n">
        <v>789</v>
      </c>
      <c r="B790" s="36" t="s">
        <v>1767</v>
      </c>
      <c r="C790" s="35" t="s">
        <v>16</v>
      </c>
      <c r="D790" s="36" t="s">
        <v>880</v>
      </c>
      <c r="E790" s="37" t="n">
        <v>5</v>
      </c>
      <c r="F790" s="38"/>
      <c r="G790" s="38" t="s">
        <v>1768</v>
      </c>
      <c r="H790" s="38" t="s">
        <v>1746</v>
      </c>
      <c r="I790" s="38" t="s">
        <v>1213</v>
      </c>
      <c r="J790" s="38"/>
      <c r="K790" s="35" t="s">
        <v>44</v>
      </c>
    </row>
    <row r="791" customFormat="false" ht="21.75" hidden="false" customHeight="true" outlineLevel="0" collapsed="false">
      <c r="A791" s="39" t="n">
        <v>790</v>
      </c>
      <c r="B791" s="40" t="s">
        <v>1769</v>
      </c>
      <c r="C791" s="39" t="s">
        <v>16</v>
      </c>
      <c r="D791" s="40" t="s">
        <v>880</v>
      </c>
      <c r="E791" s="41" t="n">
        <v>5</v>
      </c>
      <c r="F791" s="42"/>
      <c r="G791" s="42" t="s">
        <v>1770</v>
      </c>
      <c r="H791" s="42" t="s">
        <v>1746</v>
      </c>
      <c r="I791" s="42" t="s">
        <v>1213</v>
      </c>
      <c r="J791" s="42"/>
      <c r="K791" s="39" t="s">
        <v>44</v>
      </c>
    </row>
    <row r="792" customFormat="false" ht="21.75" hidden="false" customHeight="true" outlineLevel="0" collapsed="false">
      <c r="A792" s="35" t="n">
        <v>791</v>
      </c>
      <c r="B792" s="36" t="s">
        <v>1769</v>
      </c>
      <c r="C792" s="35" t="s">
        <v>16</v>
      </c>
      <c r="D792" s="36" t="s">
        <v>880</v>
      </c>
      <c r="E792" s="37" t="n">
        <v>5</v>
      </c>
      <c r="F792" s="38"/>
      <c r="G792" s="38" t="s">
        <v>1771</v>
      </c>
      <c r="H792" s="38" t="s">
        <v>1746</v>
      </c>
      <c r="I792" s="38" t="s">
        <v>1213</v>
      </c>
      <c r="J792" s="38"/>
      <c r="K792" s="35" t="s">
        <v>44</v>
      </c>
    </row>
    <row r="793" customFormat="false" ht="21.75" hidden="false" customHeight="true" outlineLevel="0" collapsed="false">
      <c r="A793" s="39" t="n">
        <v>792</v>
      </c>
      <c r="B793" s="40" t="s">
        <v>1767</v>
      </c>
      <c r="C793" s="39" t="s">
        <v>16</v>
      </c>
      <c r="D793" s="40" t="s">
        <v>880</v>
      </c>
      <c r="E793" s="41" t="n">
        <v>5</v>
      </c>
      <c r="F793" s="42"/>
      <c r="G793" s="42" t="s">
        <v>1772</v>
      </c>
      <c r="H793" s="42" t="s">
        <v>1746</v>
      </c>
      <c r="I793" s="42" t="s">
        <v>1213</v>
      </c>
      <c r="J793" s="42"/>
      <c r="K793" s="39" t="s">
        <v>44</v>
      </c>
    </row>
    <row r="794" customFormat="false" ht="21.75" hidden="false" customHeight="true" outlineLevel="0" collapsed="false">
      <c r="A794" s="35" t="n">
        <v>793</v>
      </c>
      <c r="B794" s="36" t="s">
        <v>1755</v>
      </c>
      <c r="C794" s="35" t="s">
        <v>16</v>
      </c>
      <c r="D794" s="36" t="s">
        <v>880</v>
      </c>
      <c r="E794" s="37" t="n">
        <v>5</v>
      </c>
      <c r="F794" s="38"/>
      <c r="G794" s="38" t="s">
        <v>1773</v>
      </c>
      <c r="H794" s="38" t="s">
        <v>1746</v>
      </c>
      <c r="I794" s="38" t="s">
        <v>1213</v>
      </c>
      <c r="J794" s="38"/>
      <c r="K794" s="35" t="s">
        <v>44</v>
      </c>
    </row>
    <row r="795" customFormat="false" ht="21.75" hidden="false" customHeight="true" outlineLevel="0" collapsed="false">
      <c r="A795" s="39" t="n">
        <v>794</v>
      </c>
      <c r="B795" s="40" t="s">
        <v>1755</v>
      </c>
      <c r="C795" s="39" t="s">
        <v>16</v>
      </c>
      <c r="D795" s="40" t="s">
        <v>880</v>
      </c>
      <c r="E795" s="41" t="n">
        <v>5</v>
      </c>
      <c r="F795" s="42"/>
      <c r="G795" s="42" t="s">
        <v>1774</v>
      </c>
      <c r="H795" s="42" t="s">
        <v>1746</v>
      </c>
      <c r="I795" s="42" t="s">
        <v>1213</v>
      </c>
      <c r="J795" s="42"/>
      <c r="K795" s="39" t="s">
        <v>44</v>
      </c>
    </row>
    <row r="796" customFormat="false" ht="21.75" hidden="false" customHeight="true" outlineLevel="0" collapsed="false">
      <c r="A796" s="35" t="n">
        <v>795</v>
      </c>
      <c r="B796" s="36" t="s">
        <v>1755</v>
      </c>
      <c r="C796" s="35" t="s">
        <v>16</v>
      </c>
      <c r="D796" s="36" t="s">
        <v>880</v>
      </c>
      <c r="E796" s="37" t="n">
        <v>5</v>
      </c>
      <c r="F796" s="38"/>
      <c r="G796" s="38" t="s">
        <v>1775</v>
      </c>
      <c r="H796" s="38" t="s">
        <v>1746</v>
      </c>
      <c r="I796" s="38" t="s">
        <v>1213</v>
      </c>
      <c r="J796" s="38"/>
      <c r="K796" s="35" t="s">
        <v>44</v>
      </c>
    </row>
    <row r="797" customFormat="false" ht="21.75" hidden="false" customHeight="true" outlineLevel="0" collapsed="false">
      <c r="A797" s="39" t="n">
        <v>796</v>
      </c>
      <c r="B797" s="40" t="s">
        <v>1759</v>
      </c>
      <c r="C797" s="39" t="s">
        <v>16</v>
      </c>
      <c r="D797" s="40" t="s">
        <v>880</v>
      </c>
      <c r="E797" s="41" t="n">
        <v>5</v>
      </c>
      <c r="F797" s="42"/>
      <c r="G797" s="42" t="s">
        <v>1776</v>
      </c>
      <c r="H797" s="42" t="s">
        <v>1746</v>
      </c>
      <c r="I797" s="42" t="s">
        <v>1213</v>
      </c>
      <c r="J797" s="42"/>
      <c r="K797" s="39" t="s">
        <v>44</v>
      </c>
    </row>
    <row r="798" customFormat="false" ht="21.75" hidden="false" customHeight="true" outlineLevel="0" collapsed="false">
      <c r="A798" s="35" t="n">
        <v>797</v>
      </c>
      <c r="B798" s="36" t="s">
        <v>1753</v>
      </c>
      <c r="C798" s="35" t="s">
        <v>16</v>
      </c>
      <c r="D798" s="36" t="s">
        <v>880</v>
      </c>
      <c r="E798" s="37" t="n">
        <v>5</v>
      </c>
      <c r="F798" s="38"/>
      <c r="G798" s="38" t="s">
        <v>1777</v>
      </c>
      <c r="H798" s="38" t="s">
        <v>1746</v>
      </c>
      <c r="I798" s="38" t="s">
        <v>1213</v>
      </c>
      <c r="J798" s="38"/>
      <c r="K798" s="35" t="s">
        <v>44</v>
      </c>
    </row>
    <row r="799" customFormat="false" ht="21.75" hidden="false" customHeight="true" outlineLevel="0" collapsed="false">
      <c r="A799" s="39" t="n">
        <v>798</v>
      </c>
      <c r="B799" s="40" t="s">
        <v>1778</v>
      </c>
      <c r="C799" s="39" t="s">
        <v>16</v>
      </c>
      <c r="D799" s="40" t="s">
        <v>880</v>
      </c>
      <c r="E799" s="41" t="n">
        <v>5</v>
      </c>
      <c r="F799" s="42"/>
      <c r="G799" s="42" t="s">
        <v>1779</v>
      </c>
      <c r="H799" s="42" t="s">
        <v>1746</v>
      </c>
      <c r="I799" s="42" t="s">
        <v>1213</v>
      </c>
      <c r="J799" s="42"/>
      <c r="K799" s="39" t="s">
        <v>44</v>
      </c>
    </row>
    <row r="800" customFormat="false" ht="21.75" hidden="false" customHeight="true" outlineLevel="0" collapsed="false">
      <c r="A800" s="35" t="n">
        <v>799</v>
      </c>
      <c r="B800" s="36" t="s">
        <v>1751</v>
      </c>
      <c r="C800" s="35" t="s">
        <v>16</v>
      </c>
      <c r="D800" s="36" t="s">
        <v>880</v>
      </c>
      <c r="E800" s="37" t="n">
        <v>5</v>
      </c>
      <c r="F800" s="38"/>
      <c r="G800" s="38" t="s">
        <v>1780</v>
      </c>
      <c r="H800" s="38" t="s">
        <v>1746</v>
      </c>
      <c r="I800" s="38" t="s">
        <v>1213</v>
      </c>
      <c r="J800" s="38"/>
      <c r="K800" s="35" t="s">
        <v>44</v>
      </c>
    </row>
    <row r="801" customFormat="false" ht="21.75" hidden="false" customHeight="true" outlineLevel="0" collapsed="false">
      <c r="A801" s="39" t="n">
        <v>800</v>
      </c>
      <c r="B801" s="40" t="s">
        <v>1749</v>
      </c>
      <c r="C801" s="39" t="s">
        <v>16</v>
      </c>
      <c r="D801" s="40" t="s">
        <v>880</v>
      </c>
      <c r="E801" s="41" t="n">
        <v>5</v>
      </c>
      <c r="F801" s="42"/>
      <c r="G801" s="42" t="s">
        <v>1781</v>
      </c>
      <c r="H801" s="42" t="s">
        <v>1746</v>
      </c>
      <c r="I801" s="42" t="s">
        <v>1213</v>
      </c>
      <c r="J801" s="42"/>
      <c r="K801" s="39" t="s">
        <v>44</v>
      </c>
    </row>
    <row r="802" customFormat="false" ht="21.75" hidden="false" customHeight="true" outlineLevel="0" collapsed="false">
      <c r="A802" s="35" t="n">
        <v>801</v>
      </c>
      <c r="B802" s="36" t="s">
        <v>1782</v>
      </c>
      <c r="C802" s="35" t="s">
        <v>16</v>
      </c>
      <c r="D802" s="36" t="s">
        <v>880</v>
      </c>
      <c r="E802" s="37" t="n">
        <v>5</v>
      </c>
      <c r="F802" s="38"/>
      <c r="G802" s="38" t="s">
        <v>1783</v>
      </c>
      <c r="H802" s="38" t="s">
        <v>1746</v>
      </c>
      <c r="I802" s="38" t="s">
        <v>1213</v>
      </c>
      <c r="J802" s="38"/>
      <c r="K802" s="35" t="s">
        <v>44</v>
      </c>
    </row>
    <row r="803" customFormat="false" ht="21.75" hidden="false" customHeight="true" outlineLevel="0" collapsed="false">
      <c r="A803" s="39" t="n">
        <v>802</v>
      </c>
      <c r="B803" s="40" t="s">
        <v>1749</v>
      </c>
      <c r="C803" s="39" t="s">
        <v>16</v>
      </c>
      <c r="D803" s="40" t="s">
        <v>880</v>
      </c>
      <c r="E803" s="41" t="n">
        <v>5</v>
      </c>
      <c r="F803" s="42"/>
      <c r="G803" s="42" t="s">
        <v>1784</v>
      </c>
      <c r="H803" s="42" t="s">
        <v>1746</v>
      </c>
      <c r="I803" s="42" t="s">
        <v>1213</v>
      </c>
      <c r="J803" s="42"/>
      <c r="K803" s="39" t="s">
        <v>44</v>
      </c>
    </row>
    <row r="804" customFormat="false" ht="21.75" hidden="false" customHeight="true" outlineLevel="0" collapsed="false">
      <c r="A804" s="35" t="n">
        <v>803</v>
      </c>
      <c r="B804" s="36" t="s">
        <v>1753</v>
      </c>
      <c r="C804" s="35" t="s">
        <v>16</v>
      </c>
      <c r="D804" s="36" t="s">
        <v>880</v>
      </c>
      <c r="E804" s="37" t="n">
        <v>5</v>
      </c>
      <c r="F804" s="38"/>
      <c r="G804" s="38" t="s">
        <v>1785</v>
      </c>
      <c r="H804" s="38" t="s">
        <v>1746</v>
      </c>
      <c r="I804" s="38" t="s">
        <v>1213</v>
      </c>
      <c r="J804" s="38"/>
      <c r="K804" s="35" t="s">
        <v>44</v>
      </c>
    </row>
    <row r="805" customFormat="false" ht="21.75" hidden="false" customHeight="true" outlineLevel="0" collapsed="false">
      <c r="A805" s="39" t="n">
        <v>804</v>
      </c>
      <c r="B805" s="40" t="s">
        <v>1786</v>
      </c>
      <c r="C805" s="39" t="s">
        <v>16</v>
      </c>
      <c r="D805" s="40" t="s">
        <v>880</v>
      </c>
      <c r="E805" s="41" t="n">
        <v>5</v>
      </c>
      <c r="F805" s="42"/>
      <c r="G805" s="42" t="s">
        <v>1787</v>
      </c>
      <c r="H805" s="42" t="s">
        <v>1746</v>
      </c>
      <c r="I805" s="42" t="s">
        <v>1213</v>
      </c>
      <c r="J805" s="42"/>
      <c r="K805" s="39" t="s">
        <v>44</v>
      </c>
    </row>
    <row r="806" customFormat="false" ht="21.75" hidden="false" customHeight="true" outlineLevel="0" collapsed="false">
      <c r="A806" s="35" t="n">
        <v>805</v>
      </c>
      <c r="B806" s="36" t="s">
        <v>1786</v>
      </c>
      <c r="C806" s="35" t="s">
        <v>16</v>
      </c>
      <c r="D806" s="36" t="s">
        <v>880</v>
      </c>
      <c r="E806" s="37" t="n">
        <v>5</v>
      </c>
      <c r="F806" s="38"/>
      <c r="G806" s="38" t="s">
        <v>1788</v>
      </c>
      <c r="H806" s="38" t="s">
        <v>1746</v>
      </c>
      <c r="I806" s="38" t="s">
        <v>1213</v>
      </c>
      <c r="J806" s="38"/>
      <c r="K806" s="35" t="s">
        <v>44</v>
      </c>
    </row>
    <row r="807" customFormat="false" ht="21.75" hidden="false" customHeight="true" outlineLevel="0" collapsed="false">
      <c r="A807" s="39" t="n">
        <v>806</v>
      </c>
      <c r="B807" s="40" t="s">
        <v>1759</v>
      </c>
      <c r="C807" s="39" t="s">
        <v>16</v>
      </c>
      <c r="D807" s="40" t="s">
        <v>880</v>
      </c>
      <c r="E807" s="41" t="n">
        <v>5</v>
      </c>
      <c r="F807" s="42"/>
      <c r="G807" s="42" t="s">
        <v>1789</v>
      </c>
      <c r="H807" s="42" t="s">
        <v>1746</v>
      </c>
      <c r="I807" s="42" t="s">
        <v>1213</v>
      </c>
      <c r="J807" s="42"/>
      <c r="K807" s="39" t="s">
        <v>44</v>
      </c>
    </row>
    <row r="808" customFormat="false" ht="21.75" hidden="false" customHeight="true" outlineLevel="0" collapsed="false">
      <c r="A808" s="35" t="n">
        <v>807</v>
      </c>
      <c r="B808" s="36" t="s">
        <v>1759</v>
      </c>
      <c r="C808" s="35" t="s">
        <v>16</v>
      </c>
      <c r="D808" s="36" t="s">
        <v>880</v>
      </c>
      <c r="E808" s="37" t="n">
        <v>5</v>
      </c>
      <c r="F808" s="38"/>
      <c r="G808" s="38" t="s">
        <v>1790</v>
      </c>
      <c r="H808" s="38" t="s">
        <v>1746</v>
      </c>
      <c r="I808" s="38" t="s">
        <v>1213</v>
      </c>
      <c r="J808" s="38"/>
      <c r="K808" s="35" t="s">
        <v>44</v>
      </c>
    </row>
    <row r="809" customFormat="false" ht="21.75" hidden="false" customHeight="true" outlineLevel="0" collapsed="false">
      <c r="A809" s="39" t="n">
        <v>808</v>
      </c>
      <c r="B809" s="40" t="s">
        <v>1791</v>
      </c>
      <c r="C809" s="39" t="s">
        <v>16</v>
      </c>
      <c r="D809" s="40" t="s">
        <v>880</v>
      </c>
      <c r="E809" s="41" t="n">
        <v>5</v>
      </c>
      <c r="F809" s="42"/>
      <c r="G809" s="42" t="s">
        <v>1792</v>
      </c>
      <c r="H809" s="42" t="s">
        <v>1746</v>
      </c>
      <c r="I809" s="42" t="s">
        <v>1213</v>
      </c>
      <c r="J809" s="42"/>
      <c r="K809" s="39" t="s">
        <v>44</v>
      </c>
    </row>
    <row r="810" customFormat="false" ht="21.75" hidden="false" customHeight="true" outlineLevel="0" collapsed="false">
      <c r="A810" s="35" t="n">
        <v>809</v>
      </c>
      <c r="B810" s="36" t="s">
        <v>1791</v>
      </c>
      <c r="C810" s="35" t="s">
        <v>16</v>
      </c>
      <c r="D810" s="36" t="s">
        <v>880</v>
      </c>
      <c r="E810" s="37" t="n">
        <v>5</v>
      </c>
      <c r="F810" s="38"/>
      <c r="G810" s="38" t="s">
        <v>1793</v>
      </c>
      <c r="H810" s="38" t="s">
        <v>1746</v>
      </c>
      <c r="I810" s="38" t="s">
        <v>1213</v>
      </c>
      <c r="J810" s="38"/>
      <c r="K810" s="35" t="s">
        <v>44</v>
      </c>
    </row>
    <row r="811" customFormat="false" ht="21.75" hidden="false" customHeight="true" outlineLevel="0" collapsed="false">
      <c r="A811" s="39" t="n">
        <v>810</v>
      </c>
      <c r="B811" s="40" t="s">
        <v>1791</v>
      </c>
      <c r="C811" s="39" t="s">
        <v>16</v>
      </c>
      <c r="D811" s="40" t="s">
        <v>880</v>
      </c>
      <c r="E811" s="41" t="n">
        <v>5</v>
      </c>
      <c r="F811" s="42"/>
      <c r="G811" s="42" t="s">
        <v>1794</v>
      </c>
      <c r="H811" s="42" t="s">
        <v>1746</v>
      </c>
      <c r="I811" s="42" t="s">
        <v>1213</v>
      </c>
      <c r="J811" s="42"/>
      <c r="K811" s="39" t="s">
        <v>44</v>
      </c>
    </row>
    <row r="812" customFormat="false" ht="21.75" hidden="false" customHeight="true" outlineLevel="0" collapsed="false">
      <c r="A812" s="35" t="n">
        <v>811</v>
      </c>
      <c r="B812" s="36" t="s">
        <v>1791</v>
      </c>
      <c r="C812" s="35" t="s">
        <v>16</v>
      </c>
      <c r="D812" s="36" t="s">
        <v>880</v>
      </c>
      <c r="E812" s="37" t="n">
        <v>5</v>
      </c>
      <c r="F812" s="38"/>
      <c r="G812" s="38" t="s">
        <v>1795</v>
      </c>
      <c r="H812" s="38" t="s">
        <v>1746</v>
      </c>
      <c r="I812" s="38" t="s">
        <v>1213</v>
      </c>
      <c r="J812" s="38"/>
      <c r="K812" s="35" t="s">
        <v>44</v>
      </c>
    </row>
    <row r="813" customFormat="false" ht="21.75" hidden="false" customHeight="true" outlineLevel="0" collapsed="false">
      <c r="A813" s="39" t="n">
        <v>812</v>
      </c>
      <c r="B813" s="40" t="s">
        <v>1791</v>
      </c>
      <c r="C813" s="39" t="s">
        <v>16</v>
      </c>
      <c r="D813" s="40" t="s">
        <v>880</v>
      </c>
      <c r="E813" s="41" t="n">
        <v>5</v>
      </c>
      <c r="F813" s="42"/>
      <c r="G813" s="42" t="s">
        <v>1796</v>
      </c>
      <c r="H813" s="42" t="s">
        <v>1746</v>
      </c>
      <c r="I813" s="42" t="s">
        <v>1213</v>
      </c>
      <c r="J813" s="42"/>
      <c r="K813" s="39" t="s">
        <v>44</v>
      </c>
    </row>
    <row r="814" customFormat="false" ht="21.75" hidden="false" customHeight="true" outlineLevel="0" collapsed="false">
      <c r="A814" s="35" t="n">
        <v>813</v>
      </c>
      <c r="B814" s="36" t="s">
        <v>1791</v>
      </c>
      <c r="C814" s="35" t="s">
        <v>16</v>
      </c>
      <c r="D814" s="36" t="s">
        <v>880</v>
      </c>
      <c r="E814" s="37" t="n">
        <v>5</v>
      </c>
      <c r="F814" s="38"/>
      <c r="G814" s="38" t="s">
        <v>1797</v>
      </c>
      <c r="H814" s="38" t="s">
        <v>1746</v>
      </c>
      <c r="I814" s="38" t="s">
        <v>1213</v>
      </c>
      <c r="J814" s="38"/>
      <c r="K814" s="35" t="s">
        <v>44</v>
      </c>
    </row>
    <row r="815" customFormat="false" ht="21.75" hidden="false" customHeight="true" outlineLevel="0" collapsed="false">
      <c r="A815" s="39" t="n">
        <v>814</v>
      </c>
      <c r="B815" s="40" t="s">
        <v>1791</v>
      </c>
      <c r="C815" s="39" t="s">
        <v>16</v>
      </c>
      <c r="D815" s="40" t="s">
        <v>880</v>
      </c>
      <c r="E815" s="41" t="n">
        <v>5</v>
      </c>
      <c r="F815" s="42"/>
      <c r="G815" s="42" t="s">
        <v>1798</v>
      </c>
      <c r="H815" s="42" t="s">
        <v>1746</v>
      </c>
      <c r="I815" s="42" t="s">
        <v>1213</v>
      </c>
      <c r="J815" s="42"/>
      <c r="K815" s="39" t="s">
        <v>44</v>
      </c>
    </row>
    <row r="816" customFormat="false" ht="21.75" hidden="false" customHeight="true" outlineLevel="0" collapsed="false">
      <c r="A816" s="35" t="n">
        <v>815</v>
      </c>
      <c r="B816" s="36" t="s">
        <v>1791</v>
      </c>
      <c r="C816" s="35" t="s">
        <v>16</v>
      </c>
      <c r="D816" s="36" t="s">
        <v>880</v>
      </c>
      <c r="E816" s="37" t="n">
        <v>5</v>
      </c>
      <c r="F816" s="38"/>
      <c r="G816" s="38" t="s">
        <v>1799</v>
      </c>
      <c r="H816" s="38" t="s">
        <v>1746</v>
      </c>
      <c r="I816" s="38" t="s">
        <v>1213</v>
      </c>
      <c r="J816" s="38"/>
      <c r="K816" s="35" t="s">
        <v>44</v>
      </c>
    </row>
    <row r="817" customFormat="false" ht="21.75" hidden="false" customHeight="true" outlineLevel="0" collapsed="false">
      <c r="A817" s="39" t="n">
        <v>816</v>
      </c>
      <c r="B817" s="40" t="s">
        <v>1800</v>
      </c>
      <c r="C817" s="39" t="s">
        <v>16</v>
      </c>
      <c r="D817" s="40" t="s">
        <v>880</v>
      </c>
      <c r="E817" s="41" t="n">
        <v>5</v>
      </c>
      <c r="F817" s="42" t="s">
        <v>1801</v>
      </c>
      <c r="G817" s="42" t="s">
        <v>1802</v>
      </c>
      <c r="H817" s="42" t="s">
        <v>1803</v>
      </c>
      <c r="I817" s="42" t="s">
        <v>1213</v>
      </c>
      <c r="J817" s="42"/>
      <c r="K817" s="39" t="s">
        <v>44</v>
      </c>
    </row>
    <row r="818" customFormat="false" ht="21.75" hidden="false" customHeight="true" outlineLevel="0" collapsed="false">
      <c r="A818" s="35" t="n">
        <v>817</v>
      </c>
      <c r="B818" s="36" t="s">
        <v>1800</v>
      </c>
      <c r="C818" s="35" t="s">
        <v>16</v>
      </c>
      <c r="D818" s="36" t="s">
        <v>880</v>
      </c>
      <c r="E818" s="37" t="n">
        <v>5</v>
      </c>
      <c r="F818" s="38" t="s">
        <v>1804</v>
      </c>
      <c r="G818" s="38" t="s">
        <v>1805</v>
      </c>
      <c r="H818" s="38" t="s">
        <v>1803</v>
      </c>
      <c r="I818" s="38" t="s">
        <v>1213</v>
      </c>
      <c r="J818" s="38"/>
      <c r="K818" s="35" t="s">
        <v>44</v>
      </c>
    </row>
    <row r="819" customFormat="false" ht="21.75" hidden="false" customHeight="true" outlineLevel="0" collapsed="false">
      <c r="A819" s="39" t="n">
        <v>818</v>
      </c>
      <c r="B819" s="40" t="s">
        <v>1800</v>
      </c>
      <c r="C819" s="39" t="s">
        <v>16</v>
      </c>
      <c r="D819" s="40" t="s">
        <v>880</v>
      </c>
      <c r="E819" s="41" t="n">
        <v>5</v>
      </c>
      <c r="F819" s="42" t="s">
        <v>1806</v>
      </c>
      <c r="G819" s="42" t="s">
        <v>1807</v>
      </c>
      <c r="H819" s="42" t="s">
        <v>1803</v>
      </c>
      <c r="I819" s="42" t="s">
        <v>1213</v>
      </c>
      <c r="J819" s="42"/>
      <c r="K819" s="39" t="s">
        <v>44</v>
      </c>
    </row>
    <row r="820" customFormat="false" ht="21.75" hidden="false" customHeight="true" outlineLevel="0" collapsed="false">
      <c r="A820" s="35" t="n">
        <v>819</v>
      </c>
      <c r="B820" s="36" t="s">
        <v>1800</v>
      </c>
      <c r="C820" s="35" t="s">
        <v>16</v>
      </c>
      <c r="D820" s="36" t="s">
        <v>880</v>
      </c>
      <c r="E820" s="37" t="n">
        <v>5</v>
      </c>
      <c r="F820" s="38" t="s">
        <v>1808</v>
      </c>
      <c r="G820" s="38" t="s">
        <v>1809</v>
      </c>
      <c r="H820" s="38" t="s">
        <v>1803</v>
      </c>
      <c r="I820" s="38" t="s">
        <v>1213</v>
      </c>
      <c r="J820" s="38"/>
      <c r="K820" s="35" t="s">
        <v>44</v>
      </c>
    </row>
    <row r="821" customFormat="false" ht="21.75" hidden="false" customHeight="true" outlineLevel="0" collapsed="false">
      <c r="A821" s="39" t="n">
        <v>820</v>
      </c>
      <c r="B821" s="40" t="s">
        <v>1800</v>
      </c>
      <c r="C821" s="39" t="s">
        <v>16</v>
      </c>
      <c r="D821" s="40" t="s">
        <v>880</v>
      </c>
      <c r="E821" s="41" t="n">
        <v>5</v>
      </c>
      <c r="F821" s="42" t="s">
        <v>1810</v>
      </c>
      <c r="G821" s="42" t="s">
        <v>1811</v>
      </c>
      <c r="H821" s="42" t="s">
        <v>1803</v>
      </c>
      <c r="I821" s="42" t="s">
        <v>1213</v>
      </c>
      <c r="J821" s="42"/>
      <c r="K821" s="39" t="s">
        <v>44</v>
      </c>
    </row>
    <row r="822" customFormat="false" ht="21.75" hidden="false" customHeight="true" outlineLevel="0" collapsed="false">
      <c r="A822" s="35" t="n">
        <v>821</v>
      </c>
      <c r="B822" s="36" t="s">
        <v>1800</v>
      </c>
      <c r="C822" s="35" t="s">
        <v>16</v>
      </c>
      <c r="D822" s="36" t="s">
        <v>880</v>
      </c>
      <c r="E822" s="37" t="n">
        <v>5</v>
      </c>
      <c r="F822" s="38" t="s">
        <v>1812</v>
      </c>
      <c r="G822" s="38" t="s">
        <v>1813</v>
      </c>
      <c r="H822" s="38" t="s">
        <v>1803</v>
      </c>
      <c r="I822" s="38" t="s">
        <v>1213</v>
      </c>
      <c r="J822" s="38"/>
      <c r="K822" s="35" t="s">
        <v>44</v>
      </c>
    </row>
    <row r="823" customFormat="false" ht="21.75" hidden="false" customHeight="true" outlineLevel="0" collapsed="false">
      <c r="A823" s="39" t="n">
        <v>822</v>
      </c>
      <c r="B823" s="40" t="s">
        <v>1800</v>
      </c>
      <c r="C823" s="39" t="s">
        <v>16</v>
      </c>
      <c r="D823" s="40" t="s">
        <v>880</v>
      </c>
      <c r="E823" s="41" t="n">
        <v>5</v>
      </c>
      <c r="F823" s="42" t="s">
        <v>1814</v>
      </c>
      <c r="G823" s="42" t="s">
        <v>1815</v>
      </c>
      <c r="H823" s="42" t="s">
        <v>1803</v>
      </c>
      <c r="I823" s="42" t="s">
        <v>1213</v>
      </c>
      <c r="J823" s="42"/>
      <c r="K823" s="39" t="s">
        <v>44</v>
      </c>
    </row>
    <row r="824" customFormat="false" ht="21.75" hidden="false" customHeight="true" outlineLevel="0" collapsed="false">
      <c r="A824" s="35" t="n">
        <v>823</v>
      </c>
      <c r="B824" s="36" t="s">
        <v>1800</v>
      </c>
      <c r="C824" s="35" t="s">
        <v>16</v>
      </c>
      <c r="D824" s="36" t="s">
        <v>880</v>
      </c>
      <c r="E824" s="37" t="n">
        <v>5</v>
      </c>
      <c r="F824" s="38" t="s">
        <v>1816</v>
      </c>
      <c r="G824" s="38" t="s">
        <v>1817</v>
      </c>
      <c r="H824" s="38" t="s">
        <v>1803</v>
      </c>
      <c r="I824" s="38" t="s">
        <v>1213</v>
      </c>
      <c r="J824" s="38"/>
      <c r="K824" s="35" t="s">
        <v>44</v>
      </c>
    </row>
    <row r="825" customFormat="false" ht="21.75" hidden="false" customHeight="true" outlineLevel="0" collapsed="false">
      <c r="A825" s="39" t="n">
        <v>824</v>
      </c>
      <c r="B825" s="40" t="s">
        <v>1800</v>
      </c>
      <c r="C825" s="39" t="s">
        <v>16</v>
      </c>
      <c r="D825" s="40" t="s">
        <v>880</v>
      </c>
      <c r="E825" s="41" t="n">
        <v>5</v>
      </c>
      <c r="F825" s="42" t="s">
        <v>1818</v>
      </c>
      <c r="G825" s="42" t="s">
        <v>1819</v>
      </c>
      <c r="H825" s="42" t="s">
        <v>1803</v>
      </c>
      <c r="I825" s="42" t="s">
        <v>1213</v>
      </c>
      <c r="J825" s="42"/>
      <c r="K825" s="39" t="s">
        <v>44</v>
      </c>
    </row>
    <row r="826" customFormat="false" ht="21.75" hidden="false" customHeight="true" outlineLevel="0" collapsed="false">
      <c r="A826" s="35" t="n">
        <v>825</v>
      </c>
      <c r="B826" s="36" t="s">
        <v>1800</v>
      </c>
      <c r="C826" s="35" t="s">
        <v>16</v>
      </c>
      <c r="D826" s="36" t="s">
        <v>880</v>
      </c>
      <c r="E826" s="37" t="n">
        <v>5</v>
      </c>
      <c r="F826" s="38" t="s">
        <v>1820</v>
      </c>
      <c r="G826" s="38" t="s">
        <v>1821</v>
      </c>
      <c r="H826" s="38" t="s">
        <v>1803</v>
      </c>
      <c r="I826" s="38" t="s">
        <v>1213</v>
      </c>
      <c r="J826" s="38"/>
      <c r="K826" s="35" t="s">
        <v>44</v>
      </c>
    </row>
    <row r="827" customFormat="false" ht="21.75" hidden="false" customHeight="true" outlineLevel="0" collapsed="false">
      <c r="A827" s="39" t="n">
        <v>826</v>
      </c>
      <c r="B827" s="40" t="s">
        <v>1822</v>
      </c>
      <c r="C827" s="39" t="s">
        <v>16</v>
      </c>
      <c r="D827" s="40" t="s">
        <v>880</v>
      </c>
      <c r="E827" s="41" t="n">
        <v>5</v>
      </c>
      <c r="F827" s="42" t="s">
        <v>1823</v>
      </c>
      <c r="G827" s="42" t="s">
        <v>1824</v>
      </c>
      <c r="H827" s="42" t="s">
        <v>1803</v>
      </c>
      <c r="I827" s="42" t="s">
        <v>1213</v>
      </c>
      <c r="J827" s="42"/>
      <c r="K827" s="39" t="s">
        <v>44</v>
      </c>
    </row>
    <row r="828" customFormat="false" ht="21.75" hidden="false" customHeight="true" outlineLevel="0" collapsed="false">
      <c r="A828" s="35" t="n">
        <v>827</v>
      </c>
      <c r="B828" s="36" t="s">
        <v>1822</v>
      </c>
      <c r="C828" s="35" t="s">
        <v>16</v>
      </c>
      <c r="D828" s="36" t="s">
        <v>880</v>
      </c>
      <c r="E828" s="37" t="n">
        <v>5</v>
      </c>
      <c r="F828" s="38" t="s">
        <v>1825</v>
      </c>
      <c r="G828" s="38" t="s">
        <v>1826</v>
      </c>
      <c r="H828" s="38" t="s">
        <v>1803</v>
      </c>
      <c r="I828" s="38" t="s">
        <v>1213</v>
      </c>
      <c r="J828" s="38"/>
      <c r="K828" s="35" t="s">
        <v>44</v>
      </c>
    </row>
    <row r="829" customFormat="false" ht="21.75" hidden="false" customHeight="true" outlineLevel="0" collapsed="false">
      <c r="A829" s="39" t="n">
        <v>828</v>
      </c>
      <c r="B829" s="40" t="s">
        <v>1822</v>
      </c>
      <c r="C829" s="39" t="s">
        <v>16</v>
      </c>
      <c r="D829" s="40" t="s">
        <v>880</v>
      </c>
      <c r="E829" s="41" t="n">
        <v>5</v>
      </c>
      <c r="F829" s="42" t="s">
        <v>1827</v>
      </c>
      <c r="G829" s="42" t="s">
        <v>1828</v>
      </c>
      <c r="H829" s="42" t="s">
        <v>1803</v>
      </c>
      <c r="I829" s="42" t="s">
        <v>1213</v>
      </c>
      <c r="J829" s="42"/>
      <c r="K829" s="39" t="s">
        <v>44</v>
      </c>
    </row>
    <row r="830" customFormat="false" ht="21.75" hidden="false" customHeight="true" outlineLevel="0" collapsed="false">
      <c r="A830" s="35" t="n">
        <v>829</v>
      </c>
      <c r="B830" s="36" t="s">
        <v>1822</v>
      </c>
      <c r="C830" s="35" t="s">
        <v>16</v>
      </c>
      <c r="D830" s="36" t="s">
        <v>880</v>
      </c>
      <c r="E830" s="37" t="n">
        <v>5</v>
      </c>
      <c r="F830" s="38" t="s">
        <v>1829</v>
      </c>
      <c r="G830" s="38" t="s">
        <v>1830</v>
      </c>
      <c r="H830" s="38" t="s">
        <v>1803</v>
      </c>
      <c r="I830" s="38" t="s">
        <v>1213</v>
      </c>
      <c r="J830" s="38"/>
      <c r="K830" s="35" t="s">
        <v>44</v>
      </c>
    </row>
    <row r="831" customFormat="false" ht="21.75" hidden="false" customHeight="true" outlineLevel="0" collapsed="false">
      <c r="A831" s="39" t="n">
        <v>830</v>
      </c>
      <c r="B831" s="40" t="s">
        <v>1822</v>
      </c>
      <c r="C831" s="39" t="s">
        <v>16</v>
      </c>
      <c r="D831" s="40" t="s">
        <v>880</v>
      </c>
      <c r="E831" s="41" t="n">
        <v>5</v>
      </c>
      <c r="F831" s="42" t="s">
        <v>1831</v>
      </c>
      <c r="G831" s="42" t="s">
        <v>1832</v>
      </c>
      <c r="H831" s="42" t="s">
        <v>1803</v>
      </c>
      <c r="I831" s="42" t="s">
        <v>1213</v>
      </c>
      <c r="J831" s="42"/>
      <c r="K831" s="39" t="s">
        <v>44</v>
      </c>
    </row>
    <row r="832" customFormat="false" ht="21.75" hidden="false" customHeight="true" outlineLevel="0" collapsed="false">
      <c r="A832" s="35" t="n">
        <v>831</v>
      </c>
      <c r="B832" s="36" t="s">
        <v>1822</v>
      </c>
      <c r="C832" s="35" t="s">
        <v>16</v>
      </c>
      <c r="D832" s="36" t="s">
        <v>880</v>
      </c>
      <c r="E832" s="37" t="n">
        <v>5</v>
      </c>
      <c r="F832" s="38" t="s">
        <v>1833</v>
      </c>
      <c r="G832" s="38" t="s">
        <v>1834</v>
      </c>
      <c r="H832" s="38" t="s">
        <v>1803</v>
      </c>
      <c r="I832" s="38" t="s">
        <v>1213</v>
      </c>
      <c r="J832" s="38"/>
      <c r="K832" s="35" t="s">
        <v>44</v>
      </c>
    </row>
    <row r="833" customFormat="false" ht="21.75" hidden="false" customHeight="true" outlineLevel="0" collapsed="false">
      <c r="A833" s="39" t="n">
        <v>832</v>
      </c>
      <c r="B833" s="40" t="s">
        <v>1822</v>
      </c>
      <c r="C833" s="39" t="s">
        <v>16</v>
      </c>
      <c r="D833" s="40" t="s">
        <v>880</v>
      </c>
      <c r="E833" s="41" t="n">
        <v>5</v>
      </c>
      <c r="F833" s="42" t="s">
        <v>1835</v>
      </c>
      <c r="G833" s="42" t="s">
        <v>1836</v>
      </c>
      <c r="H833" s="42" t="s">
        <v>1803</v>
      </c>
      <c r="I833" s="42" t="s">
        <v>1213</v>
      </c>
      <c r="J833" s="42"/>
      <c r="K833" s="39" t="s">
        <v>44</v>
      </c>
    </row>
    <row r="834" customFormat="false" ht="21.75" hidden="false" customHeight="true" outlineLevel="0" collapsed="false">
      <c r="A834" s="35" t="n">
        <v>833</v>
      </c>
      <c r="B834" s="36" t="s">
        <v>1822</v>
      </c>
      <c r="C834" s="35" t="s">
        <v>16</v>
      </c>
      <c r="D834" s="36" t="s">
        <v>880</v>
      </c>
      <c r="E834" s="37" t="n">
        <v>5</v>
      </c>
      <c r="F834" s="38" t="s">
        <v>1837</v>
      </c>
      <c r="G834" s="38" t="s">
        <v>1838</v>
      </c>
      <c r="H834" s="38" t="s">
        <v>1803</v>
      </c>
      <c r="I834" s="38" t="s">
        <v>1213</v>
      </c>
      <c r="J834" s="38"/>
      <c r="K834" s="35" t="s">
        <v>44</v>
      </c>
    </row>
    <row r="835" customFormat="false" ht="21.75" hidden="false" customHeight="true" outlineLevel="0" collapsed="false">
      <c r="A835" s="39" t="n">
        <v>834</v>
      </c>
      <c r="B835" s="40" t="s">
        <v>1822</v>
      </c>
      <c r="C835" s="39" t="s">
        <v>16</v>
      </c>
      <c r="D835" s="40" t="s">
        <v>880</v>
      </c>
      <c r="E835" s="41" t="n">
        <v>5</v>
      </c>
      <c r="F835" s="42" t="s">
        <v>1839</v>
      </c>
      <c r="G835" s="42" t="s">
        <v>1840</v>
      </c>
      <c r="H835" s="42" t="s">
        <v>1803</v>
      </c>
      <c r="I835" s="42" t="s">
        <v>1213</v>
      </c>
      <c r="J835" s="42"/>
      <c r="K835" s="39" t="s">
        <v>44</v>
      </c>
    </row>
    <row r="836" customFormat="false" ht="21.75" hidden="false" customHeight="true" outlineLevel="0" collapsed="false">
      <c r="A836" s="35" t="n">
        <v>835</v>
      </c>
      <c r="B836" s="36" t="s">
        <v>1841</v>
      </c>
      <c r="C836" s="35" t="s">
        <v>16</v>
      </c>
      <c r="D836" s="36" t="s">
        <v>880</v>
      </c>
      <c r="E836" s="37" t="n">
        <v>5</v>
      </c>
      <c r="F836" s="38" t="s">
        <v>1842</v>
      </c>
      <c r="G836" s="38" t="s">
        <v>1843</v>
      </c>
      <c r="H836" s="38" t="s">
        <v>1803</v>
      </c>
      <c r="I836" s="38" t="s">
        <v>1213</v>
      </c>
      <c r="J836" s="38"/>
      <c r="K836" s="35" t="s">
        <v>44</v>
      </c>
    </row>
    <row r="837" customFormat="false" ht="21.75" hidden="false" customHeight="true" outlineLevel="0" collapsed="false">
      <c r="A837" s="39" t="n">
        <v>836</v>
      </c>
      <c r="B837" s="40" t="s">
        <v>1844</v>
      </c>
      <c r="C837" s="39" t="s">
        <v>16</v>
      </c>
      <c r="D837" s="40" t="s">
        <v>880</v>
      </c>
      <c r="E837" s="41" t="n">
        <v>5</v>
      </c>
      <c r="F837" s="42" t="s">
        <v>1845</v>
      </c>
      <c r="G837" s="42" t="s">
        <v>1846</v>
      </c>
      <c r="H837" s="42" t="s">
        <v>1803</v>
      </c>
      <c r="I837" s="42" t="s">
        <v>1213</v>
      </c>
      <c r="J837" s="42"/>
      <c r="K837" s="39" t="s">
        <v>44</v>
      </c>
    </row>
    <row r="838" customFormat="false" ht="21.75" hidden="false" customHeight="true" outlineLevel="0" collapsed="false">
      <c r="A838" s="35" t="n">
        <v>837</v>
      </c>
      <c r="B838" s="36" t="s">
        <v>1844</v>
      </c>
      <c r="C838" s="35" t="s">
        <v>16</v>
      </c>
      <c r="D838" s="36" t="s">
        <v>880</v>
      </c>
      <c r="E838" s="37" t="n">
        <v>5</v>
      </c>
      <c r="F838" s="38" t="s">
        <v>1847</v>
      </c>
      <c r="G838" s="38" t="s">
        <v>1848</v>
      </c>
      <c r="H838" s="38" t="s">
        <v>1849</v>
      </c>
      <c r="I838" s="38" t="s">
        <v>1213</v>
      </c>
      <c r="J838" s="38"/>
      <c r="K838" s="35" t="s">
        <v>44</v>
      </c>
    </row>
    <row r="839" customFormat="false" ht="21.75" hidden="false" customHeight="true" outlineLevel="0" collapsed="false">
      <c r="A839" s="39" t="n">
        <v>838</v>
      </c>
      <c r="B839" s="40" t="s">
        <v>1844</v>
      </c>
      <c r="C839" s="39" t="s">
        <v>16</v>
      </c>
      <c r="D839" s="40" t="s">
        <v>880</v>
      </c>
      <c r="E839" s="41" t="n">
        <v>5</v>
      </c>
      <c r="F839" s="42" t="s">
        <v>1850</v>
      </c>
      <c r="G839" s="42" t="s">
        <v>1851</v>
      </c>
      <c r="H839" s="42" t="s">
        <v>1849</v>
      </c>
      <c r="I839" s="42" t="s">
        <v>1213</v>
      </c>
      <c r="J839" s="42"/>
      <c r="K839" s="39" t="s">
        <v>44</v>
      </c>
    </row>
    <row r="840" customFormat="false" ht="21.75" hidden="false" customHeight="true" outlineLevel="0" collapsed="false">
      <c r="A840" s="35" t="n">
        <v>839</v>
      </c>
      <c r="B840" s="36" t="s">
        <v>1844</v>
      </c>
      <c r="C840" s="35" t="s">
        <v>16</v>
      </c>
      <c r="D840" s="36" t="s">
        <v>880</v>
      </c>
      <c r="E840" s="37" t="n">
        <v>5</v>
      </c>
      <c r="F840" s="38" t="s">
        <v>1852</v>
      </c>
      <c r="G840" s="38" t="s">
        <v>1853</v>
      </c>
      <c r="H840" s="38" t="s">
        <v>1849</v>
      </c>
      <c r="I840" s="38" t="s">
        <v>1213</v>
      </c>
      <c r="J840" s="38"/>
      <c r="K840" s="35" t="s">
        <v>44</v>
      </c>
    </row>
    <row r="841" customFormat="false" ht="21.75" hidden="false" customHeight="true" outlineLevel="0" collapsed="false">
      <c r="A841" s="39" t="n">
        <v>840</v>
      </c>
      <c r="B841" s="40" t="s">
        <v>1844</v>
      </c>
      <c r="C841" s="39" t="s">
        <v>16</v>
      </c>
      <c r="D841" s="40" t="s">
        <v>880</v>
      </c>
      <c r="E841" s="41" t="n">
        <v>5</v>
      </c>
      <c r="F841" s="42" t="s">
        <v>1854</v>
      </c>
      <c r="G841" s="42" t="s">
        <v>1855</v>
      </c>
      <c r="H841" s="42" t="s">
        <v>1849</v>
      </c>
      <c r="I841" s="42" t="s">
        <v>1213</v>
      </c>
      <c r="J841" s="42"/>
      <c r="K841" s="39" t="s">
        <v>44</v>
      </c>
    </row>
    <row r="842" customFormat="false" ht="21.75" hidden="false" customHeight="true" outlineLevel="0" collapsed="false">
      <c r="A842" s="35" t="n">
        <v>841</v>
      </c>
      <c r="B842" s="36" t="s">
        <v>1856</v>
      </c>
      <c r="C842" s="35" t="s">
        <v>16</v>
      </c>
      <c r="D842" s="36" t="s">
        <v>880</v>
      </c>
      <c r="E842" s="37" t="n">
        <v>5</v>
      </c>
      <c r="F842" s="38" t="s">
        <v>1857</v>
      </c>
      <c r="G842" s="38" t="s">
        <v>1858</v>
      </c>
      <c r="H842" s="38" t="s">
        <v>1849</v>
      </c>
      <c r="I842" s="38" t="s">
        <v>1213</v>
      </c>
      <c r="J842" s="38"/>
      <c r="K842" s="35" t="s">
        <v>44</v>
      </c>
    </row>
    <row r="843" customFormat="false" ht="21.75" hidden="false" customHeight="true" outlineLevel="0" collapsed="false">
      <c r="A843" s="39" t="n">
        <v>842</v>
      </c>
      <c r="B843" s="40" t="s">
        <v>1856</v>
      </c>
      <c r="C843" s="39" t="s">
        <v>16</v>
      </c>
      <c r="D843" s="40" t="s">
        <v>880</v>
      </c>
      <c r="E843" s="41" t="n">
        <v>5</v>
      </c>
      <c r="F843" s="42" t="s">
        <v>1859</v>
      </c>
      <c r="G843" s="42" t="s">
        <v>1860</v>
      </c>
      <c r="H843" s="42" t="s">
        <v>1849</v>
      </c>
      <c r="I843" s="42" t="s">
        <v>1213</v>
      </c>
      <c r="J843" s="42"/>
      <c r="K843" s="39" t="s">
        <v>44</v>
      </c>
    </row>
    <row r="844" customFormat="false" ht="21.75" hidden="false" customHeight="true" outlineLevel="0" collapsed="false">
      <c r="A844" s="35" t="n">
        <v>843</v>
      </c>
      <c r="B844" s="36" t="s">
        <v>1856</v>
      </c>
      <c r="C844" s="35" t="s">
        <v>16</v>
      </c>
      <c r="D844" s="36" t="s">
        <v>880</v>
      </c>
      <c r="E844" s="37" t="n">
        <v>5</v>
      </c>
      <c r="F844" s="38" t="s">
        <v>1861</v>
      </c>
      <c r="G844" s="38" t="s">
        <v>1862</v>
      </c>
      <c r="H844" s="38" t="s">
        <v>1849</v>
      </c>
      <c r="I844" s="38" t="s">
        <v>1213</v>
      </c>
      <c r="J844" s="38"/>
      <c r="K844" s="35" t="s">
        <v>44</v>
      </c>
    </row>
    <row r="845" customFormat="false" ht="21.75" hidden="false" customHeight="true" outlineLevel="0" collapsed="false">
      <c r="A845" s="39" t="n">
        <v>844</v>
      </c>
      <c r="B845" s="40" t="s">
        <v>1856</v>
      </c>
      <c r="C845" s="39" t="s">
        <v>16</v>
      </c>
      <c r="D845" s="40" t="s">
        <v>880</v>
      </c>
      <c r="E845" s="41" t="n">
        <v>5</v>
      </c>
      <c r="F845" s="42" t="s">
        <v>1863</v>
      </c>
      <c r="G845" s="42" t="s">
        <v>1864</v>
      </c>
      <c r="H845" s="42" t="s">
        <v>1849</v>
      </c>
      <c r="I845" s="42" t="s">
        <v>1213</v>
      </c>
      <c r="J845" s="42"/>
      <c r="K845" s="39" t="s">
        <v>44</v>
      </c>
    </row>
    <row r="846" customFormat="false" ht="21.75" hidden="false" customHeight="true" outlineLevel="0" collapsed="false">
      <c r="A846" s="35" t="n">
        <v>845</v>
      </c>
      <c r="B846" s="36" t="s">
        <v>1844</v>
      </c>
      <c r="C846" s="35" t="s">
        <v>16</v>
      </c>
      <c r="D846" s="36" t="s">
        <v>880</v>
      </c>
      <c r="E846" s="37" t="n">
        <v>5</v>
      </c>
      <c r="F846" s="38" t="s">
        <v>1865</v>
      </c>
      <c r="G846" s="38" t="s">
        <v>1866</v>
      </c>
      <c r="H846" s="38" t="s">
        <v>1849</v>
      </c>
      <c r="I846" s="38" t="s">
        <v>1213</v>
      </c>
      <c r="J846" s="38"/>
      <c r="K846" s="35" t="s">
        <v>44</v>
      </c>
    </row>
    <row r="847" customFormat="false" ht="21.75" hidden="false" customHeight="true" outlineLevel="0" collapsed="false">
      <c r="A847" s="39" t="n">
        <v>846</v>
      </c>
      <c r="B847" s="40" t="s">
        <v>1844</v>
      </c>
      <c r="C847" s="39" t="s">
        <v>16</v>
      </c>
      <c r="D847" s="40" t="s">
        <v>880</v>
      </c>
      <c r="E847" s="41" t="n">
        <v>5</v>
      </c>
      <c r="F847" s="42" t="s">
        <v>1867</v>
      </c>
      <c r="G847" s="42" t="s">
        <v>1868</v>
      </c>
      <c r="H847" s="42" t="s">
        <v>1849</v>
      </c>
      <c r="I847" s="42" t="s">
        <v>1213</v>
      </c>
      <c r="J847" s="42"/>
      <c r="K847" s="39" t="s">
        <v>44</v>
      </c>
    </row>
    <row r="848" customFormat="false" ht="21.75" hidden="false" customHeight="true" outlineLevel="0" collapsed="false">
      <c r="A848" s="35" t="n">
        <v>847</v>
      </c>
      <c r="B848" s="36" t="s">
        <v>1844</v>
      </c>
      <c r="C848" s="35" t="s">
        <v>16</v>
      </c>
      <c r="D848" s="36" t="s">
        <v>880</v>
      </c>
      <c r="E848" s="37" t="n">
        <v>5</v>
      </c>
      <c r="F848" s="38" t="s">
        <v>1869</v>
      </c>
      <c r="G848" s="38" t="s">
        <v>1870</v>
      </c>
      <c r="H848" s="38" t="s">
        <v>1849</v>
      </c>
      <c r="I848" s="38" t="s">
        <v>1213</v>
      </c>
      <c r="J848" s="38"/>
      <c r="K848" s="35" t="s">
        <v>44</v>
      </c>
    </row>
    <row r="849" customFormat="false" ht="21.75" hidden="false" customHeight="true" outlineLevel="0" collapsed="false">
      <c r="A849" s="39" t="n">
        <v>848</v>
      </c>
      <c r="B849" s="40" t="s">
        <v>1844</v>
      </c>
      <c r="C849" s="39" t="s">
        <v>16</v>
      </c>
      <c r="D849" s="40" t="s">
        <v>880</v>
      </c>
      <c r="E849" s="41" t="n">
        <v>5</v>
      </c>
      <c r="F849" s="42" t="s">
        <v>1871</v>
      </c>
      <c r="G849" s="42" t="s">
        <v>1872</v>
      </c>
      <c r="H849" s="42" t="s">
        <v>1849</v>
      </c>
      <c r="I849" s="42" t="s">
        <v>1213</v>
      </c>
      <c r="J849" s="42"/>
      <c r="K849" s="39" t="s">
        <v>44</v>
      </c>
    </row>
    <row r="850" customFormat="false" ht="21.75" hidden="false" customHeight="true" outlineLevel="0" collapsed="false">
      <c r="A850" s="35" t="n">
        <v>849</v>
      </c>
      <c r="B850" s="36" t="s">
        <v>1844</v>
      </c>
      <c r="C850" s="35" t="s">
        <v>16</v>
      </c>
      <c r="D850" s="36" t="s">
        <v>880</v>
      </c>
      <c r="E850" s="37" t="n">
        <v>5</v>
      </c>
      <c r="F850" s="38" t="s">
        <v>1873</v>
      </c>
      <c r="G850" s="38" t="s">
        <v>1874</v>
      </c>
      <c r="H850" s="38" t="s">
        <v>1849</v>
      </c>
      <c r="I850" s="38" t="s">
        <v>1213</v>
      </c>
      <c r="J850" s="38"/>
      <c r="K850" s="35" t="s">
        <v>44</v>
      </c>
    </row>
    <row r="851" customFormat="false" ht="21.75" hidden="false" customHeight="true" outlineLevel="0" collapsed="false">
      <c r="A851" s="39" t="n">
        <v>850</v>
      </c>
      <c r="B851" s="40" t="s">
        <v>1844</v>
      </c>
      <c r="C851" s="39" t="s">
        <v>16</v>
      </c>
      <c r="D851" s="40" t="s">
        <v>880</v>
      </c>
      <c r="E851" s="41" t="n">
        <v>5</v>
      </c>
      <c r="F851" s="42" t="s">
        <v>1875</v>
      </c>
      <c r="G851" s="42" t="s">
        <v>1876</v>
      </c>
      <c r="H851" s="42" t="s">
        <v>1849</v>
      </c>
      <c r="I851" s="42" t="s">
        <v>1213</v>
      </c>
      <c r="J851" s="42"/>
      <c r="K851" s="39" t="s">
        <v>44</v>
      </c>
    </row>
    <row r="852" customFormat="false" ht="21.75" hidden="false" customHeight="true" outlineLevel="0" collapsed="false">
      <c r="A852" s="35" t="n">
        <v>851</v>
      </c>
      <c r="B852" s="36" t="s">
        <v>1844</v>
      </c>
      <c r="C852" s="35" t="s">
        <v>16</v>
      </c>
      <c r="D852" s="36" t="s">
        <v>880</v>
      </c>
      <c r="E852" s="37" t="n">
        <v>5</v>
      </c>
      <c r="F852" s="38" t="s">
        <v>1877</v>
      </c>
      <c r="G852" s="38" t="s">
        <v>1878</v>
      </c>
      <c r="H852" s="38" t="s">
        <v>1849</v>
      </c>
      <c r="I852" s="38" t="s">
        <v>1213</v>
      </c>
      <c r="J852" s="38"/>
      <c r="K852" s="35" t="s">
        <v>44</v>
      </c>
    </row>
    <row r="853" customFormat="false" ht="21.75" hidden="false" customHeight="true" outlineLevel="0" collapsed="false">
      <c r="A853" s="39" t="n">
        <v>852</v>
      </c>
      <c r="B853" s="40" t="s">
        <v>1844</v>
      </c>
      <c r="C853" s="39" t="s">
        <v>16</v>
      </c>
      <c r="D853" s="40" t="s">
        <v>880</v>
      </c>
      <c r="E853" s="41" t="n">
        <v>5</v>
      </c>
      <c r="F853" s="42" t="s">
        <v>1879</v>
      </c>
      <c r="G853" s="42" t="s">
        <v>1880</v>
      </c>
      <c r="H853" s="42" t="s">
        <v>1849</v>
      </c>
      <c r="I853" s="42" t="s">
        <v>1213</v>
      </c>
      <c r="J853" s="42"/>
      <c r="K853" s="39" t="s">
        <v>44</v>
      </c>
    </row>
    <row r="854" customFormat="false" ht="21.75" hidden="false" customHeight="true" outlineLevel="0" collapsed="false">
      <c r="A854" s="35" t="n">
        <v>853</v>
      </c>
      <c r="B854" s="36" t="s">
        <v>1844</v>
      </c>
      <c r="C854" s="35" t="s">
        <v>16</v>
      </c>
      <c r="D854" s="36" t="s">
        <v>880</v>
      </c>
      <c r="E854" s="37" t="n">
        <v>5</v>
      </c>
      <c r="F854" s="38" t="s">
        <v>1881</v>
      </c>
      <c r="G854" s="38" t="s">
        <v>1882</v>
      </c>
      <c r="H854" s="38" t="s">
        <v>1849</v>
      </c>
      <c r="I854" s="38" t="s">
        <v>1213</v>
      </c>
      <c r="J854" s="38"/>
      <c r="K854" s="35" t="s">
        <v>44</v>
      </c>
    </row>
    <row r="855" customFormat="false" ht="21.75" hidden="false" customHeight="true" outlineLevel="0" collapsed="false">
      <c r="A855" s="39" t="n">
        <v>854</v>
      </c>
      <c r="B855" s="40" t="s">
        <v>1844</v>
      </c>
      <c r="C855" s="39" t="s">
        <v>16</v>
      </c>
      <c r="D855" s="40" t="s">
        <v>880</v>
      </c>
      <c r="E855" s="41" t="n">
        <v>5</v>
      </c>
      <c r="F855" s="42" t="s">
        <v>1883</v>
      </c>
      <c r="G855" s="42" t="s">
        <v>1884</v>
      </c>
      <c r="H855" s="42" t="s">
        <v>1849</v>
      </c>
      <c r="I855" s="42" t="s">
        <v>1213</v>
      </c>
      <c r="J855" s="42"/>
      <c r="K855" s="39" t="s">
        <v>44</v>
      </c>
    </row>
    <row r="856" customFormat="false" ht="21.75" hidden="false" customHeight="true" outlineLevel="0" collapsed="false">
      <c r="A856" s="35" t="n">
        <v>855</v>
      </c>
      <c r="B856" s="36" t="s">
        <v>1844</v>
      </c>
      <c r="C856" s="35" t="s">
        <v>16</v>
      </c>
      <c r="D856" s="36" t="s">
        <v>880</v>
      </c>
      <c r="E856" s="37" t="n">
        <v>5</v>
      </c>
      <c r="F856" s="38" t="s">
        <v>1885</v>
      </c>
      <c r="G856" s="38" t="s">
        <v>1886</v>
      </c>
      <c r="H856" s="38" t="s">
        <v>1849</v>
      </c>
      <c r="I856" s="38" t="s">
        <v>1213</v>
      </c>
      <c r="J856" s="38"/>
      <c r="K856" s="35" t="s">
        <v>44</v>
      </c>
    </row>
    <row r="857" customFormat="false" ht="21.75" hidden="false" customHeight="true" outlineLevel="0" collapsed="false">
      <c r="A857" s="39" t="n">
        <v>856</v>
      </c>
      <c r="B857" s="40" t="s">
        <v>1887</v>
      </c>
      <c r="C857" s="39" t="s">
        <v>16</v>
      </c>
      <c r="D857" s="40" t="s">
        <v>880</v>
      </c>
      <c r="E857" s="41" t="n">
        <v>5</v>
      </c>
      <c r="F857" s="42" t="s">
        <v>1888</v>
      </c>
      <c r="G857" s="42" t="s">
        <v>1889</v>
      </c>
      <c r="H857" s="42" t="s">
        <v>1890</v>
      </c>
      <c r="I857" s="42" t="s">
        <v>1213</v>
      </c>
      <c r="J857" s="42"/>
      <c r="K857" s="39" t="s">
        <v>44</v>
      </c>
    </row>
    <row r="858" customFormat="false" ht="21.75" hidden="false" customHeight="true" outlineLevel="0" collapsed="false">
      <c r="A858" s="35" t="n">
        <v>857</v>
      </c>
      <c r="B858" s="36" t="s">
        <v>1891</v>
      </c>
      <c r="C858" s="35" t="s">
        <v>16</v>
      </c>
      <c r="D858" s="36" t="s">
        <v>880</v>
      </c>
      <c r="E858" s="37" t="n">
        <v>5</v>
      </c>
      <c r="F858" s="38" t="s">
        <v>1892</v>
      </c>
      <c r="G858" s="38" t="s">
        <v>1893</v>
      </c>
      <c r="H858" s="38" t="s">
        <v>1890</v>
      </c>
      <c r="I858" s="38" t="s">
        <v>1213</v>
      </c>
      <c r="J858" s="38"/>
      <c r="K858" s="35" t="s">
        <v>44</v>
      </c>
    </row>
    <row r="859" customFormat="false" ht="21.75" hidden="false" customHeight="true" outlineLevel="0" collapsed="false">
      <c r="A859" s="39" t="n">
        <v>858</v>
      </c>
      <c r="B859" s="40" t="s">
        <v>1894</v>
      </c>
      <c r="C859" s="39" t="s">
        <v>16</v>
      </c>
      <c r="D859" s="40" t="s">
        <v>880</v>
      </c>
      <c r="E859" s="41" t="n">
        <v>5</v>
      </c>
      <c r="F859" s="42" t="s">
        <v>1895</v>
      </c>
      <c r="G859" s="42" t="s">
        <v>1896</v>
      </c>
      <c r="H859" s="42" t="s">
        <v>1890</v>
      </c>
      <c r="I859" s="42" t="s">
        <v>1213</v>
      </c>
      <c r="J859" s="42"/>
      <c r="K859" s="39" t="s">
        <v>44</v>
      </c>
    </row>
    <row r="860" customFormat="false" ht="21.75" hidden="false" customHeight="true" outlineLevel="0" collapsed="false">
      <c r="A860" s="35" t="n">
        <v>859</v>
      </c>
      <c r="B860" s="36" t="s">
        <v>1897</v>
      </c>
      <c r="C860" s="35" t="s">
        <v>16</v>
      </c>
      <c r="D860" s="36" t="s">
        <v>880</v>
      </c>
      <c r="E860" s="37" t="n">
        <v>5</v>
      </c>
      <c r="F860" s="38" t="s">
        <v>1898</v>
      </c>
      <c r="G860" s="38" t="s">
        <v>1899</v>
      </c>
      <c r="H860" s="38" t="s">
        <v>1890</v>
      </c>
      <c r="I860" s="38" t="s">
        <v>1213</v>
      </c>
      <c r="J860" s="38"/>
      <c r="K860" s="35" t="s">
        <v>44</v>
      </c>
    </row>
    <row r="861" customFormat="false" ht="21.75" hidden="false" customHeight="true" outlineLevel="0" collapsed="false">
      <c r="A861" s="39" t="n">
        <v>860</v>
      </c>
      <c r="B861" s="40" t="s">
        <v>1900</v>
      </c>
      <c r="C861" s="39" t="s">
        <v>16</v>
      </c>
      <c r="D861" s="40" t="s">
        <v>880</v>
      </c>
      <c r="E861" s="41" t="n">
        <v>5</v>
      </c>
      <c r="F861" s="42" t="s">
        <v>1901</v>
      </c>
      <c r="G861" s="42" t="s">
        <v>1902</v>
      </c>
      <c r="H861" s="42" t="s">
        <v>1890</v>
      </c>
      <c r="I861" s="42" t="s">
        <v>1213</v>
      </c>
      <c r="J861" s="42"/>
      <c r="K861" s="39" t="s">
        <v>44</v>
      </c>
    </row>
    <row r="862" customFormat="false" ht="21.75" hidden="false" customHeight="true" outlineLevel="0" collapsed="false">
      <c r="A862" s="35" t="n">
        <v>861</v>
      </c>
      <c r="B862" s="36" t="s">
        <v>1900</v>
      </c>
      <c r="C862" s="35" t="s">
        <v>16</v>
      </c>
      <c r="D862" s="36" t="s">
        <v>880</v>
      </c>
      <c r="E862" s="37" t="n">
        <v>5</v>
      </c>
      <c r="F862" s="38" t="s">
        <v>1903</v>
      </c>
      <c r="G862" s="38" t="s">
        <v>1904</v>
      </c>
      <c r="H862" s="38" t="s">
        <v>1890</v>
      </c>
      <c r="I862" s="38" t="s">
        <v>1213</v>
      </c>
      <c r="J862" s="38"/>
      <c r="K862" s="35" t="s">
        <v>44</v>
      </c>
    </row>
    <row r="863" customFormat="false" ht="21.75" hidden="false" customHeight="true" outlineLevel="0" collapsed="false">
      <c r="A863" s="39" t="n">
        <v>862</v>
      </c>
      <c r="B863" s="40" t="s">
        <v>1905</v>
      </c>
      <c r="C863" s="39" t="s">
        <v>16</v>
      </c>
      <c r="D863" s="40" t="s">
        <v>880</v>
      </c>
      <c r="E863" s="41" t="n">
        <v>5</v>
      </c>
      <c r="F863" s="42" t="s">
        <v>1906</v>
      </c>
      <c r="G863" s="42" t="s">
        <v>1907</v>
      </c>
      <c r="H863" s="42" t="s">
        <v>1890</v>
      </c>
      <c r="I863" s="42" t="s">
        <v>1213</v>
      </c>
      <c r="J863" s="42"/>
      <c r="K863" s="39" t="s">
        <v>44</v>
      </c>
    </row>
    <row r="864" customFormat="false" ht="21.75" hidden="false" customHeight="true" outlineLevel="0" collapsed="false">
      <c r="A864" s="35" t="n">
        <v>863</v>
      </c>
      <c r="B864" s="36" t="s">
        <v>1905</v>
      </c>
      <c r="C864" s="35" t="s">
        <v>16</v>
      </c>
      <c r="D864" s="36" t="s">
        <v>880</v>
      </c>
      <c r="E864" s="37" t="n">
        <v>5</v>
      </c>
      <c r="F864" s="38" t="s">
        <v>1908</v>
      </c>
      <c r="G864" s="38" t="s">
        <v>1909</v>
      </c>
      <c r="H864" s="38" t="s">
        <v>1890</v>
      </c>
      <c r="I864" s="38" t="s">
        <v>1213</v>
      </c>
      <c r="J864" s="38"/>
      <c r="K864" s="35" t="s">
        <v>44</v>
      </c>
    </row>
    <row r="865" customFormat="false" ht="21.75" hidden="false" customHeight="true" outlineLevel="0" collapsed="false">
      <c r="A865" s="39" t="n">
        <v>864</v>
      </c>
      <c r="B865" s="40" t="s">
        <v>1905</v>
      </c>
      <c r="C865" s="39" t="s">
        <v>16</v>
      </c>
      <c r="D865" s="40" t="s">
        <v>880</v>
      </c>
      <c r="E865" s="41" t="n">
        <v>5</v>
      </c>
      <c r="F865" s="42" t="s">
        <v>1910</v>
      </c>
      <c r="G865" s="42" t="s">
        <v>1911</v>
      </c>
      <c r="H865" s="42" t="s">
        <v>1890</v>
      </c>
      <c r="I865" s="42" t="s">
        <v>1213</v>
      </c>
      <c r="J865" s="42"/>
      <c r="K865" s="39" t="s">
        <v>44</v>
      </c>
    </row>
    <row r="866" customFormat="false" ht="21.75" hidden="false" customHeight="true" outlineLevel="0" collapsed="false">
      <c r="A866" s="35" t="n">
        <v>865</v>
      </c>
      <c r="B866" s="36" t="s">
        <v>1905</v>
      </c>
      <c r="C866" s="35" t="s">
        <v>16</v>
      </c>
      <c r="D866" s="36" t="s">
        <v>880</v>
      </c>
      <c r="E866" s="37" t="n">
        <v>5</v>
      </c>
      <c r="F866" s="38" t="s">
        <v>1912</v>
      </c>
      <c r="G866" s="38" t="s">
        <v>1913</v>
      </c>
      <c r="H866" s="38" t="s">
        <v>1890</v>
      </c>
      <c r="I866" s="38" t="s">
        <v>1213</v>
      </c>
      <c r="J866" s="38"/>
      <c r="K866" s="35" t="s">
        <v>44</v>
      </c>
    </row>
    <row r="867" customFormat="false" ht="21.75" hidden="false" customHeight="true" outlineLevel="0" collapsed="false">
      <c r="A867" s="39" t="n">
        <v>866</v>
      </c>
      <c r="B867" s="40" t="s">
        <v>1905</v>
      </c>
      <c r="C867" s="39" t="s">
        <v>16</v>
      </c>
      <c r="D867" s="40" t="s">
        <v>880</v>
      </c>
      <c r="E867" s="41" t="n">
        <v>5</v>
      </c>
      <c r="F867" s="42" t="s">
        <v>1914</v>
      </c>
      <c r="G867" s="42" t="s">
        <v>1915</v>
      </c>
      <c r="H867" s="42" t="s">
        <v>1890</v>
      </c>
      <c r="I867" s="42" t="s">
        <v>1213</v>
      </c>
      <c r="J867" s="42"/>
      <c r="K867" s="39" t="s">
        <v>44</v>
      </c>
    </row>
    <row r="868" customFormat="false" ht="21.75" hidden="false" customHeight="true" outlineLevel="0" collapsed="false">
      <c r="A868" s="35" t="n">
        <v>867</v>
      </c>
      <c r="B868" s="36" t="s">
        <v>1905</v>
      </c>
      <c r="C868" s="35" t="s">
        <v>16</v>
      </c>
      <c r="D868" s="36" t="s">
        <v>880</v>
      </c>
      <c r="E868" s="37" t="n">
        <v>5</v>
      </c>
      <c r="F868" s="38" t="s">
        <v>1916</v>
      </c>
      <c r="G868" s="38" t="s">
        <v>1917</v>
      </c>
      <c r="H868" s="38" t="s">
        <v>1890</v>
      </c>
      <c r="I868" s="38" t="s">
        <v>1213</v>
      </c>
      <c r="J868" s="38"/>
      <c r="K868" s="35" t="s">
        <v>44</v>
      </c>
    </row>
    <row r="869" customFormat="false" ht="21.75" hidden="false" customHeight="true" outlineLevel="0" collapsed="false">
      <c r="A869" s="39" t="n">
        <v>868</v>
      </c>
      <c r="B869" s="40" t="s">
        <v>1918</v>
      </c>
      <c r="C869" s="39" t="s">
        <v>16</v>
      </c>
      <c r="D869" s="40" t="s">
        <v>880</v>
      </c>
      <c r="E869" s="41" t="n">
        <v>5</v>
      </c>
      <c r="F869" s="42" t="s">
        <v>1919</v>
      </c>
      <c r="G869" s="42" t="s">
        <v>1920</v>
      </c>
      <c r="H869" s="42" t="s">
        <v>1890</v>
      </c>
      <c r="I869" s="42" t="s">
        <v>1213</v>
      </c>
      <c r="J869" s="42"/>
      <c r="K869" s="39" t="s">
        <v>44</v>
      </c>
    </row>
    <row r="870" customFormat="false" ht="21.75" hidden="false" customHeight="true" outlineLevel="0" collapsed="false">
      <c r="A870" s="35" t="n">
        <v>869</v>
      </c>
      <c r="B870" s="36" t="s">
        <v>1921</v>
      </c>
      <c r="C870" s="35" t="s">
        <v>16</v>
      </c>
      <c r="D870" s="36" t="s">
        <v>880</v>
      </c>
      <c r="E870" s="37" t="n">
        <v>5</v>
      </c>
      <c r="F870" s="38"/>
      <c r="G870" s="38" t="s">
        <v>1922</v>
      </c>
      <c r="H870" s="38" t="s">
        <v>1890</v>
      </c>
      <c r="I870" s="38" t="s">
        <v>1213</v>
      </c>
      <c r="J870" s="38"/>
      <c r="K870" s="35" t="s">
        <v>44</v>
      </c>
    </row>
    <row r="871" customFormat="false" ht="21.75" hidden="false" customHeight="true" outlineLevel="0" collapsed="false">
      <c r="A871" s="39" t="n">
        <v>870</v>
      </c>
      <c r="B871" s="40" t="s">
        <v>1923</v>
      </c>
      <c r="C871" s="39" t="s">
        <v>16</v>
      </c>
      <c r="D871" s="40" t="s">
        <v>880</v>
      </c>
      <c r="E871" s="41" t="n">
        <v>5</v>
      </c>
      <c r="F871" s="42" t="s">
        <v>1924</v>
      </c>
      <c r="G871" s="42" t="s">
        <v>1925</v>
      </c>
      <c r="H871" s="42" t="s">
        <v>1890</v>
      </c>
      <c r="I871" s="42" t="s">
        <v>1213</v>
      </c>
      <c r="J871" s="42"/>
      <c r="K871" s="39" t="s">
        <v>44</v>
      </c>
    </row>
    <row r="872" customFormat="false" ht="21.75" hidden="false" customHeight="true" outlineLevel="0" collapsed="false">
      <c r="A872" s="35" t="n">
        <v>871</v>
      </c>
      <c r="B872" s="36" t="s">
        <v>1918</v>
      </c>
      <c r="C872" s="35" t="s">
        <v>16</v>
      </c>
      <c r="D872" s="36" t="s">
        <v>880</v>
      </c>
      <c r="E872" s="37" t="n">
        <v>5</v>
      </c>
      <c r="F872" s="38" t="s">
        <v>1926</v>
      </c>
      <c r="G872" s="38" t="s">
        <v>1927</v>
      </c>
      <c r="H872" s="38" t="s">
        <v>1890</v>
      </c>
      <c r="I872" s="38" t="s">
        <v>1213</v>
      </c>
      <c r="J872" s="38"/>
      <c r="K872" s="35" t="s">
        <v>44</v>
      </c>
    </row>
    <row r="873" customFormat="false" ht="21.75" hidden="false" customHeight="true" outlineLevel="0" collapsed="false">
      <c r="A873" s="39" t="n">
        <v>872</v>
      </c>
      <c r="B873" s="40" t="s">
        <v>1918</v>
      </c>
      <c r="C873" s="39" t="s">
        <v>16</v>
      </c>
      <c r="D873" s="40" t="s">
        <v>880</v>
      </c>
      <c r="E873" s="41" t="n">
        <v>5</v>
      </c>
      <c r="F873" s="42" t="s">
        <v>1928</v>
      </c>
      <c r="G873" s="42" t="s">
        <v>1929</v>
      </c>
      <c r="H873" s="42" t="s">
        <v>1890</v>
      </c>
      <c r="I873" s="42" t="s">
        <v>1213</v>
      </c>
      <c r="J873" s="42"/>
      <c r="K873" s="39" t="s">
        <v>44</v>
      </c>
    </row>
    <row r="874" customFormat="false" ht="21.75" hidden="false" customHeight="true" outlineLevel="0" collapsed="false">
      <c r="A874" s="35" t="n">
        <v>873</v>
      </c>
      <c r="B874" s="36" t="s">
        <v>1918</v>
      </c>
      <c r="C874" s="35" t="s">
        <v>16</v>
      </c>
      <c r="D874" s="36" t="s">
        <v>880</v>
      </c>
      <c r="E874" s="37" t="n">
        <v>5</v>
      </c>
      <c r="F874" s="38" t="s">
        <v>1930</v>
      </c>
      <c r="G874" s="38" t="s">
        <v>1931</v>
      </c>
      <c r="H874" s="38" t="s">
        <v>1890</v>
      </c>
      <c r="I874" s="38" t="s">
        <v>1213</v>
      </c>
      <c r="J874" s="38"/>
      <c r="K874" s="35" t="s">
        <v>44</v>
      </c>
    </row>
    <row r="875" customFormat="false" ht="21.75" hidden="false" customHeight="true" outlineLevel="0" collapsed="false">
      <c r="A875" s="39" t="n">
        <v>874</v>
      </c>
      <c r="B875" s="40" t="s">
        <v>1918</v>
      </c>
      <c r="C875" s="39" t="s">
        <v>16</v>
      </c>
      <c r="D875" s="40" t="s">
        <v>880</v>
      </c>
      <c r="E875" s="41" t="n">
        <v>5</v>
      </c>
      <c r="F875" s="42" t="s">
        <v>1932</v>
      </c>
      <c r="G875" s="42" t="s">
        <v>1933</v>
      </c>
      <c r="H875" s="42" t="s">
        <v>1890</v>
      </c>
      <c r="I875" s="42" t="s">
        <v>1213</v>
      </c>
      <c r="J875" s="42"/>
      <c r="K875" s="39" t="s">
        <v>44</v>
      </c>
    </row>
    <row r="876" customFormat="false" ht="21.75" hidden="false" customHeight="true" outlineLevel="0" collapsed="false">
      <c r="A876" s="35" t="n">
        <v>875</v>
      </c>
      <c r="B876" s="36" t="s">
        <v>1918</v>
      </c>
      <c r="C876" s="35" t="s">
        <v>16</v>
      </c>
      <c r="D876" s="36" t="s">
        <v>880</v>
      </c>
      <c r="E876" s="37" t="n">
        <v>5</v>
      </c>
      <c r="F876" s="38" t="s">
        <v>1934</v>
      </c>
      <c r="G876" s="38" t="s">
        <v>1935</v>
      </c>
      <c r="H876" s="38" t="s">
        <v>1890</v>
      </c>
      <c r="I876" s="38" t="s">
        <v>1213</v>
      </c>
      <c r="J876" s="38"/>
      <c r="K876" s="35" t="s">
        <v>44</v>
      </c>
    </row>
    <row r="877" customFormat="false" ht="21.75" hidden="false" customHeight="true" outlineLevel="0" collapsed="false">
      <c r="A877" s="39" t="n">
        <v>876</v>
      </c>
      <c r="B877" s="40" t="s">
        <v>1936</v>
      </c>
      <c r="C877" s="39" t="s">
        <v>16</v>
      </c>
      <c r="D877" s="40" t="s">
        <v>880</v>
      </c>
      <c r="E877" s="41" t="n">
        <v>5</v>
      </c>
      <c r="F877" s="42" t="s">
        <v>1937</v>
      </c>
      <c r="G877" s="42" t="s">
        <v>1938</v>
      </c>
      <c r="H877" s="42" t="s">
        <v>1890</v>
      </c>
      <c r="I877" s="42" t="s">
        <v>1213</v>
      </c>
      <c r="J877" s="42"/>
      <c r="K877" s="39" t="s">
        <v>44</v>
      </c>
    </row>
    <row r="878" customFormat="false" ht="21.75" hidden="false" customHeight="true" outlineLevel="0" collapsed="false">
      <c r="A878" s="35" t="n">
        <v>877</v>
      </c>
      <c r="B878" s="36" t="s">
        <v>1905</v>
      </c>
      <c r="C878" s="35" t="s">
        <v>16</v>
      </c>
      <c r="D878" s="36" t="s">
        <v>880</v>
      </c>
      <c r="E878" s="37" t="n">
        <v>5</v>
      </c>
      <c r="F878" s="38" t="s">
        <v>1939</v>
      </c>
      <c r="G878" s="38" t="s">
        <v>1940</v>
      </c>
      <c r="H878" s="38" t="s">
        <v>1890</v>
      </c>
      <c r="I878" s="38" t="s">
        <v>1213</v>
      </c>
      <c r="J878" s="38"/>
      <c r="K878" s="35" t="s">
        <v>44</v>
      </c>
    </row>
    <row r="879" customFormat="false" ht="21.75" hidden="false" customHeight="true" outlineLevel="0" collapsed="false">
      <c r="A879" s="39" t="n">
        <v>878</v>
      </c>
      <c r="B879" s="40" t="s">
        <v>1941</v>
      </c>
      <c r="C879" s="39" t="s">
        <v>16</v>
      </c>
      <c r="D879" s="40" t="s">
        <v>880</v>
      </c>
      <c r="E879" s="41" t="n">
        <v>5</v>
      </c>
      <c r="F879" s="42" t="s">
        <v>1942</v>
      </c>
      <c r="G879" s="42" t="s">
        <v>1943</v>
      </c>
      <c r="H879" s="42" t="s">
        <v>1890</v>
      </c>
      <c r="I879" s="42" t="s">
        <v>1213</v>
      </c>
      <c r="J879" s="42"/>
      <c r="K879" s="39" t="s">
        <v>44</v>
      </c>
    </row>
    <row r="880" customFormat="false" ht="21.75" hidden="false" customHeight="true" outlineLevel="0" collapsed="false">
      <c r="A880" s="35" t="n">
        <v>879</v>
      </c>
      <c r="B880" s="36" t="s">
        <v>1944</v>
      </c>
      <c r="C880" s="35" t="s">
        <v>16</v>
      </c>
      <c r="D880" s="36" t="s">
        <v>880</v>
      </c>
      <c r="E880" s="37" t="n">
        <v>5</v>
      </c>
      <c r="F880" s="38" t="s">
        <v>1945</v>
      </c>
      <c r="G880" s="38" t="s">
        <v>1946</v>
      </c>
      <c r="H880" s="38" t="s">
        <v>1890</v>
      </c>
      <c r="I880" s="38" t="s">
        <v>1213</v>
      </c>
      <c r="J880" s="38"/>
      <c r="K880" s="35" t="s">
        <v>44</v>
      </c>
    </row>
    <row r="881" customFormat="false" ht="21.75" hidden="false" customHeight="true" outlineLevel="0" collapsed="false">
      <c r="A881" s="39" t="n">
        <v>880</v>
      </c>
      <c r="B881" s="40" t="s">
        <v>1947</v>
      </c>
      <c r="C881" s="39" t="s">
        <v>16</v>
      </c>
      <c r="D881" s="40" t="s">
        <v>880</v>
      </c>
      <c r="E881" s="41" t="n">
        <v>5</v>
      </c>
      <c r="F881" s="42" t="s">
        <v>1948</v>
      </c>
      <c r="G881" s="42" t="s">
        <v>1949</v>
      </c>
      <c r="H881" s="42" t="s">
        <v>1890</v>
      </c>
      <c r="I881" s="42" t="s">
        <v>1213</v>
      </c>
      <c r="J881" s="42"/>
      <c r="K881" s="39" t="s">
        <v>44</v>
      </c>
    </row>
    <row r="882" customFormat="false" ht="21.75" hidden="false" customHeight="true" outlineLevel="0" collapsed="false">
      <c r="A882" s="35" t="n">
        <v>881</v>
      </c>
      <c r="B882" s="36" t="s">
        <v>1950</v>
      </c>
      <c r="C882" s="35" t="s">
        <v>16</v>
      </c>
      <c r="D882" s="36" t="s">
        <v>880</v>
      </c>
      <c r="E882" s="37" t="n">
        <v>5</v>
      </c>
      <c r="F882" s="38" t="s">
        <v>1951</v>
      </c>
      <c r="G882" s="38" t="s">
        <v>1952</v>
      </c>
      <c r="H882" s="38" t="s">
        <v>1890</v>
      </c>
      <c r="I882" s="38" t="s">
        <v>1213</v>
      </c>
      <c r="J882" s="38"/>
      <c r="K882" s="35" t="s">
        <v>44</v>
      </c>
    </row>
    <row r="883" customFormat="false" ht="21.75" hidden="false" customHeight="true" outlineLevel="0" collapsed="false">
      <c r="A883" s="39" t="n">
        <v>882</v>
      </c>
      <c r="B883" s="40" t="s">
        <v>1953</v>
      </c>
      <c r="C883" s="39" t="s">
        <v>16</v>
      </c>
      <c r="D883" s="40" t="s">
        <v>880</v>
      </c>
      <c r="E883" s="41" t="n">
        <v>5</v>
      </c>
      <c r="F883" s="42" t="s">
        <v>1954</v>
      </c>
      <c r="G883" s="42" t="s">
        <v>1955</v>
      </c>
      <c r="H883" s="42" t="s">
        <v>1890</v>
      </c>
      <c r="I883" s="42" t="s">
        <v>1213</v>
      </c>
      <c r="J883" s="42"/>
      <c r="K883" s="39" t="s">
        <v>44</v>
      </c>
    </row>
    <row r="884" customFormat="false" ht="21.75" hidden="false" customHeight="true" outlineLevel="0" collapsed="false">
      <c r="A884" s="35" t="n">
        <v>883</v>
      </c>
      <c r="B884" s="36" t="s">
        <v>1956</v>
      </c>
      <c r="C884" s="35" t="s">
        <v>16</v>
      </c>
      <c r="D884" s="36" t="s">
        <v>880</v>
      </c>
      <c r="E884" s="37" t="n">
        <v>5</v>
      </c>
      <c r="F884" s="38" t="s">
        <v>1957</v>
      </c>
      <c r="G884" s="38" t="s">
        <v>1958</v>
      </c>
      <c r="H884" s="38" t="s">
        <v>1890</v>
      </c>
      <c r="I884" s="38" t="s">
        <v>1213</v>
      </c>
      <c r="J884" s="38"/>
      <c r="K884" s="35" t="s">
        <v>44</v>
      </c>
    </row>
    <row r="885" customFormat="false" ht="21.75" hidden="false" customHeight="true" outlineLevel="0" collapsed="false">
      <c r="A885" s="39" t="n">
        <v>884</v>
      </c>
      <c r="B885" s="40" t="s">
        <v>1959</v>
      </c>
      <c r="C885" s="39" t="s">
        <v>16</v>
      </c>
      <c r="D885" s="40" t="s">
        <v>880</v>
      </c>
      <c r="E885" s="41" t="n">
        <v>5</v>
      </c>
      <c r="F885" s="42" t="s">
        <v>1960</v>
      </c>
      <c r="G885" s="42" t="s">
        <v>1961</v>
      </c>
      <c r="H885" s="42" t="s">
        <v>1890</v>
      </c>
      <c r="I885" s="42" t="s">
        <v>1213</v>
      </c>
      <c r="J885" s="42"/>
      <c r="K885" s="39" t="s">
        <v>44</v>
      </c>
    </row>
    <row r="886" customFormat="false" ht="21.75" hidden="false" customHeight="true" outlineLevel="0" collapsed="false">
      <c r="A886" s="35" t="n">
        <v>885</v>
      </c>
      <c r="B886" s="36" t="s">
        <v>1962</v>
      </c>
      <c r="C886" s="35" t="s">
        <v>16</v>
      </c>
      <c r="D886" s="36" t="s">
        <v>880</v>
      </c>
      <c r="E886" s="37" t="n">
        <v>5</v>
      </c>
      <c r="F886" s="38" t="s">
        <v>1963</v>
      </c>
      <c r="G886" s="38" t="s">
        <v>1964</v>
      </c>
      <c r="H886" s="38" t="s">
        <v>1890</v>
      </c>
      <c r="I886" s="38" t="s">
        <v>1213</v>
      </c>
      <c r="J886" s="38"/>
      <c r="K886" s="35" t="s">
        <v>44</v>
      </c>
    </row>
    <row r="887" customFormat="false" ht="21.75" hidden="false" customHeight="true" outlineLevel="0" collapsed="false">
      <c r="A887" s="39" t="n">
        <v>886</v>
      </c>
      <c r="B887" s="40" t="s">
        <v>1950</v>
      </c>
      <c r="C887" s="39" t="s">
        <v>16</v>
      </c>
      <c r="D887" s="40" t="s">
        <v>880</v>
      </c>
      <c r="E887" s="41" t="n">
        <v>5</v>
      </c>
      <c r="F887" s="42" t="s">
        <v>1965</v>
      </c>
      <c r="G887" s="42" t="s">
        <v>1851</v>
      </c>
      <c r="H887" s="42" t="s">
        <v>1890</v>
      </c>
      <c r="I887" s="42" t="s">
        <v>1213</v>
      </c>
      <c r="J887" s="42"/>
      <c r="K887" s="39" t="s">
        <v>44</v>
      </c>
    </row>
    <row r="888" customFormat="false" ht="21.75" hidden="false" customHeight="true" outlineLevel="0" collapsed="false">
      <c r="A888" s="35" t="n">
        <v>887</v>
      </c>
      <c r="B888" s="36" t="s">
        <v>1966</v>
      </c>
      <c r="C888" s="35" t="s">
        <v>16</v>
      </c>
      <c r="D888" s="36" t="s">
        <v>880</v>
      </c>
      <c r="E888" s="37" t="n">
        <v>5</v>
      </c>
      <c r="F888" s="38" t="s">
        <v>1967</v>
      </c>
      <c r="G888" s="38" t="s">
        <v>1853</v>
      </c>
      <c r="H888" s="38" t="s">
        <v>1890</v>
      </c>
      <c r="I888" s="38" t="s">
        <v>1213</v>
      </c>
      <c r="J888" s="38"/>
      <c r="K888" s="35" t="s">
        <v>44</v>
      </c>
    </row>
    <row r="889" customFormat="false" ht="21.75" hidden="false" customHeight="true" outlineLevel="0" collapsed="false">
      <c r="A889" s="39" t="n">
        <v>888</v>
      </c>
      <c r="B889" s="40" t="s">
        <v>1966</v>
      </c>
      <c r="C889" s="39" t="s">
        <v>16</v>
      </c>
      <c r="D889" s="40" t="s">
        <v>880</v>
      </c>
      <c r="E889" s="41" t="n">
        <v>5</v>
      </c>
      <c r="F889" s="42"/>
      <c r="G889" s="42" t="s">
        <v>1855</v>
      </c>
      <c r="H889" s="42" t="s">
        <v>1890</v>
      </c>
      <c r="I889" s="42" t="s">
        <v>1213</v>
      </c>
      <c r="J889" s="42"/>
      <c r="K889" s="39" t="s">
        <v>44</v>
      </c>
    </row>
    <row r="890" customFormat="false" ht="21.75" hidden="false" customHeight="true" outlineLevel="0" collapsed="false">
      <c r="A890" s="35" t="n">
        <v>889</v>
      </c>
      <c r="B890" s="36" t="s">
        <v>1966</v>
      </c>
      <c r="C890" s="35" t="s">
        <v>16</v>
      </c>
      <c r="D890" s="36" t="s">
        <v>880</v>
      </c>
      <c r="E890" s="37" t="n">
        <v>5</v>
      </c>
      <c r="F890" s="38" t="s">
        <v>1968</v>
      </c>
      <c r="G890" s="38" t="s">
        <v>1858</v>
      </c>
      <c r="H890" s="38" t="s">
        <v>1890</v>
      </c>
      <c r="I890" s="38" t="s">
        <v>1213</v>
      </c>
      <c r="J890" s="38"/>
      <c r="K890" s="35" t="s">
        <v>44</v>
      </c>
    </row>
    <row r="891" customFormat="false" ht="21.75" hidden="false" customHeight="true" outlineLevel="0" collapsed="false">
      <c r="A891" s="39" t="n">
        <v>890</v>
      </c>
      <c r="B891" s="40" t="s">
        <v>1966</v>
      </c>
      <c r="C891" s="39" t="s">
        <v>16</v>
      </c>
      <c r="D891" s="40" t="s">
        <v>880</v>
      </c>
      <c r="E891" s="41" t="n">
        <v>5</v>
      </c>
      <c r="F891" s="42" t="s">
        <v>1969</v>
      </c>
      <c r="G891" s="42" t="s">
        <v>1860</v>
      </c>
      <c r="H891" s="42" t="s">
        <v>1890</v>
      </c>
      <c r="I891" s="42" t="s">
        <v>1213</v>
      </c>
      <c r="J891" s="42"/>
      <c r="K891" s="39" t="s">
        <v>44</v>
      </c>
    </row>
    <row r="892" customFormat="false" ht="21.75" hidden="false" customHeight="true" outlineLevel="0" collapsed="false">
      <c r="A892" s="35" t="n">
        <v>891</v>
      </c>
      <c r="B892" s="36" t="s">
        <v>1966</v>
      </c>
      <c r="C892" s="35" t="s">
        <v>16</v>
      </c>
      <c r="D892" s="36" t="s">
        <v>880</v>
      </c>
      <c r="E892" s="37" t="n">
        <v>5</v>
      </c>
      <c r="F892" s="38" t="s">
        <v>1970</v>
      </c>
      <c r="G892" s="38" t="s">
        <v>1862</v>
      </c>
      <c r="H892" s="38" t="s">
        <v>1890</v>
      </c>
      <c r="I892" s="38" t="s">
        <v>1213</v>
      </c>
      <c r="J892" s="38"/>
      <c r="K892" s="35" t="s">
        <v>44</v>
      </c>
    </row>
    <row r="893" customFormat="false" ht="21.75" hidden="false" customHeight="true" outlineLevel="0" collapsed="false">
      <c r="A893" s="39" t="n">
        <v>892</v>
      </c>
      <c r="B893" s="40" t="s">
        <v>1966</v>
      </c>
      <c r="C893" s="39" t="s">
        <v>16</v>
      </c>
      <c r="D893" s="40" t="s">
        <v>880</v>
      </c>
      <c r="E893" s="41" t="n">
        <v>5</v>
      </c>
      <c r="F893" s="42" t="s">
        <v>1971</v>
      </c>
      <c r="G893" s="42" t="s">
        <v>1864</v>
      </c>
      <c r="H893" s="42" t="s">
        <v>1890</v>
      </c>
      <c r="I893" s="42" t="s">
        <v>1213</v>
      </c>
      <c r="J893" s="42"/>
      <c r="K893" s="39" t="s">
        <v>44</v>
      </c>
    </row>
    <row r="894" customFormat="false" ht="21.75" hidden="false" customHeight="true" outlineLevel="0" collapsed="false">
      <c r="A894" s="35" t="n">
        <v>893</v>
      </c>
      <c r="B894" s="36" t="s">
        <v>1966</v>
      </c>
      <c r="C894" s="35" t="s">
        <v>16</v>
      </c>
      <c r="D894" s="36" t="s">
        <v>880</v>
      </c>
      <c r="E894" s="37" t="n">
        <v>5</v>
      </c>
      <c r="F894" s="38" t="s">
        <v>1972</v>
      </c>
      <c r="G894" s="38" t="s">
        <v>1973</v>
      </c>
      <c r="H894" s="38" t="s">
        <v>1890</v>
      </c>
      <c r="I894" s="38" t="s">
        <v>1213</v>
      </c>
      <c r="J894" s="38"/>
      <c r="K894" s="35" t="s">
        <v>44</v>
      </c>
    </row>
    <row r="895" customFormat="false" ht="21.75" hidden="false" customHeight="true" outlineLevel="0" collapsed="false">
      <c r="A895" s="39" t="n">
        <v>894</v>
      </c>
      <c r="B895" s="40" t="s">
        <v>1966</v>
      </c>
      <c r="C895" s="39" t="s">
        <v>16</v>
      </c>
      <c r="D895" s="40" t="s">
        <v>880</v>
      </c>
      <c r="E895" s="41" t="n">
        <v>5</v>
      </c>
      <c r="F895" s="42" t="s">
        <v>1974</v>
      </c>
      <c r="G895" s="42" t="s">
        <v>1975</v>
      </c>
      <c r="H895" s="42" t="s">
        <v>1890</v>
      </c>
      <c r="I895" s="42" t="s">
        <v>1213</v>
      </c>
      <c r="J895" s="42"/>
      <c r="K895" s="39" t="s">
        <v>44</v>
      </c>
    </row>
    <row r="896" customFormat="false" ht="21.75" hidden="false" customHeight="true" outlineLevel="0" collapsed="false">
      <c r="A896" s="35" t="n">
        <v>895</v>
      </c>
      <c r="B896" s="36" t="s">
        <v>1966</v>
      </c>
      <c r="C896" s="35" t="s">
        <v>16</v>
      </c>
      <c r="D896" s="36" t="s">
        <v>880</v>
      </c>
      <c r="E896" s="37" t="n">
        <v>5</v>
      </c>
      <c r="F896" s="38" t="s">
        <v>1976</v>
      </c>
      <c r="G896" s="38" t="s">
        <v>1977</v>
      </c>
      <c r="H896" s="38" t="s">
        <v>1890</v>
      </c>
      <c r="I896" s="38" t="s">
        <v>1213</v>
      </c>
      <c r="J896" s="38"/>
      <c r="K896" s="35" t="s">
        <v>44</v>
      </c>
    </row>
    <row r="897" customFormat="false" ht="21.75" hidden="false" customHeight="true" outlineLevel="0" collapsed="false">
      <c r="A897" s="39" t="n">
        <v>896</v>
      </c>
      <c r="B897" s="40" t="s">
        <v>1339</v>
      </c>
      <c r="C897" s="39" t="s">
        <v>16</v>
      </c>
      <c r="D897" s="40" t="s">
        <v>880</v>
      </c>
      <c r="E897" s="41" t="n">
        <v>5</v>
      </c>
      <c r="F897" s="42" t="s">
        <v>1978</v>
      </c>
      <c r="G897" s="42" t="s">
        <v>1979</v>
      </c>
      <c r="H897" s="42" t="s">
        <v>1890</v>
      </c>
      <c r="I897" s="42" t="s">
        <v>1213</v>
      </c>
      <c r="J897" s="42"/>
      <c r="K897" s="39" t="s">
        <v>44</v>
      </c>
    </row>
    <row r="898" customFormat="false" ht="21.75" hidden="false" customHeight="true" outlineLevel="0" collapsed="false">
      <c r="A898" s="35" t="n">
        <v>897</v>
      </c>
      <c r="B898" s="36" t="s">
        <v>1339</v>
      </c>
      <c r="C898" s="35" t="s">
        <v>16</v>
      </c>
      <c r="D898" s="36" t="s">
        <v>880</v>
      </c>
      <c r="E898" s="37" t="n">
        <v>5</v>
      </c>
      <c r="F898" s="38"/>
      <c r="G898" s="38" t="s">
        <v>1980</v>
      </c>
      <c r="H898" s="38" t="s">
        <v>1890</v>
      </c>
      <c r="I898" s="38" t="s">
        <v>1213</v>
      </c>
      <c r="J898" s="38"/>
      <c r="K898" s="35" t="s">
        <v>44</v>
      </c>
    </row>
    <row r="899" customFormat="false" ht="21.75" hidden="false" customHeight="true" outlineLevel="0" collapsed="false">
      <c r="A899" s="39" t="n">
        <v>898</v>
      </c>
      <c r="B899" s="40" t="s">
        <v>1339</v>
      </c>
      <c r="C899" s="39" t="s">
        <v>16</v>
      </c>
      <c r="D899" s="40" t="s">
        <v>880</v>
      </c>
      <c r="E899" s="41" t="n">
        <v>5</v>
      </c>
      <c r="F899" s="42"/>
      <c r="G899" s="42" t="s">
        <v>1973</v>
      </c>
      <c r="H899" s="42" t="s">
        <v>1890</v>
      </c>
      <c r="I899" s="42" t="s">
        <v>1213</v>
      </c>
      <c r="J899" s="42"/>
      <c r="K899" s="39" t="s">
        <v>44</v>
      </c>
    </row>
    <row r="900" customFormat="false" ht="21.75" hidden="false" customHeight="true" outlineLevel="0" collapsed="false">
      <c r="A900" s="35" t="n">
        <v>899</v>
      </c>
      <c r="B900" s="36" t="s">
        <v>1981</v>
      </c>
      <c r="C900" s="35" t="s">
        <v>22</v>
      </c>
      <c r="D900" s="36" t="s">
        <v>880</v>
      </c>
      <c r="E900" s="37" t="n">
        <v>5</v>
      </c>
      <c r="F900" s="38" t="s">
        <v>1982</v>
      </c>
      <c r="G900" s="38" t="s">
        <v>1983</v>
      </c>
      <c r="H900" s="38" t="s">
        <v>1984</v>
      </c>
      <c r="I900" s="38" t="s">
        <v>1985</v>
      </c>
      <c r="J900" s="38"/>
      <c r="K900" s="35" t="s">
        <v>44</v>
      </c>
    </row>
    <row r="901" customFormat="false" ht="21.75" hidden="false" customHeight="true" outlineLevel="0" collapsed="false">
      <c r="A901" s="39" t="n">
        <v>900</v>
      </c>
      <c r="B901" s="40" t="s">
        <v>1986</v>
      </c>
      <c r="C901" s="39" t="s">
        <v>22</v>
      </c>
      <c r="D901" s="40" t="s">
        <v>880</v>
      </c>
      <c r="E901" s="41" t="n">
        <v>5</v>
      </c>
      <c r="F901" s="42" t="s">
        <v>1987</v>
      </c>
      <c r="G901" s="42" t="s">
        <v>1988</v>
      </c>
      <c r="H901" s="40" t="s">
        <v>1989</v>
      </c>
      <c r="I901" s="42" t="s">
        <v>1985</v>
      </c>
      <c r="J901" s="42"/>
      <c r="K901" s="39" t="s">
        <v>44</v>
      </c>
    </row>
    <row r="902" customFormat="false" ht="32.25" hidden="false" customHeight="true" outlineLevel="0" collapsed="false">
      <c r="A902" s="35" t="n">
        <v>901</v>
      </c>
      <c r="B902" s="36" t="s">
        <v>1990</v>
      </c>
      <c r="C902" s="35" t="s">
        <v>22</v>
      </c>
      <c r="D902" s="36" t="s">
        <v>880</v>
      </c>
      <c r="E902" s="37" t="n">
        <v>5</v>
      </c>
      <c r="F902" s="38" t="s">
        <v>1991</v>
      </c>
      <c r="G902" s="38" t="s">
        <v>1992</v>
      </c>
      <c r="H902" s="36" t="s">
        <v>1993</v>
      </c>
      <c r="I902" s="38" t="s">
        <v>1985</v>
      </c>
      <c r="J902" s="38"/>
      <c r="K902" s="35" t="s">
        <v>44</v>
      </c>
    </row>
    <row r="903" customFormat="false" ht="21.75" hidden="false" customHeight="true" outlineLevel="0" collapsed="false">
      <c r="A903" s="39" t="n">
        <v>902</v>
      </c>
      <c r="B903" s="40" t="s">
        <v>1994</v>
      </c>
      <c r="C903" s="39" t="s">
        <v>22</v>
      </c>
      <c r="D903" s="40" t="s">
        <v>880</v>
      </c>
      <c r="E903" s="41" t="n">
        <v>5</v>
      </c>
      <c r="F903" s="42" t="s">
        <v>1995</v>
      </c>
      <c r="G903" s="42" t="s">
        <v>1996</v>
      </c>
      <c r="H903" s="40" t="s">
        <v>1993</v>
      </c>
      <c r="I903" s="42" t="s">
        <v>1985</v>
      </c>
      <c r="J903" s="42"/>
      <c r="K903" s="39" t="s">
        <v>44</v>
      </c>
    </row>
    <row r="904" customFormat="false" ht="21.75" hidden="false" customHeight="true" outlineLevel="0" collapsed="false">
      <c r="A904" s="35" t="n">
        <v>903</v>
      </c>
      <c r="B904" s="36" t="s">
        <v>1997</v>
      </c>
      <c r="C904" s="35" t="s">
        <v>22</v>
      </c>
      <c r="D904" s="36" t="s">
        <v>880</v>
      </c>
      <c r="E904" s="37" t="n">
        <v>5</v>
      </c>
      <c r="F904" s="38" t="s">
        <v>1998</v>
      </c>
      <c r="G904" s="38" t="s">
        <v>1999</v>
      </c>
      <c r="H904" s="36" t="s">
        <v>1993</v>
      </c>
      <c r="I904" s="38" t="s">
        <v>1985</v>
      </c>
      <c r="J904" s="38"/>
      <c r="K904" s="35" t="s">
        <v>44</v>
      </c>
    </row>
    <row r="905" customFormat="false" ht="21.75" hidden="false" customHeight="true" outlineLevel="0" collapsed="false">
      <c r="A905" s="39" t="n">
        <v>904</v>
      </c>
      <c r="B905" s="40" t="s">
        <v>1997</v>
      </c>
      <c r="C905" s="39" t="s">
        <v>22</v>
      </c>
      <c r="D905" s="40" t="s">
        <v>880</v>
      </c>
      <c r="E905" s="41" t="n">
        <v>5</v>
      </c>
      <c r="F905" s="42" t="s">
        <v>2000</v>
      </c>
      <c r="G905" s="42" t="s">
        <v>2001</v>
      </c>
      <c r="H905" s="40" t="s">
        <v>1993</v>
      </c>
      <c r="I905" s="42" t="s">
        <v>1985</v>
      </c>
      <c r="J905" s="42"/>
      <c r="K905" s="39" t="s">
        <v>44</v>
      </c>
    </row>
    <row r="906" customFormat="false" ht="21.75" hidden="false" customHeight="true" outlineLevel="0" collapsed="false">
      <c r="A906" s="35" t="n">
        <v>905</v>
      </c>
      <c r="B906" s="36" t="s">
        <v>2002</v>
      </c>
      <c r="C906" s="35" t="s">
        <v>22</v>
      </c>
      <c r="D906" s="36" t="s">
        <v>880</v>
      </c>
      <c r="E906" s="37" t="n">
        <v>5</v>
      </c>
      <c r="F906" s="38" t="s">
        <v>2003</v>
      </c>
      <c r="G906" s="38" t="s">
        <v>2004</v>
      </c>
      <c r="H906" s="36" t="s">
        <v>2005</v>
      </c>
      <c r="I906" s="38" t="s">
        <v>1985</v>
      </c>
      <c r="J906" s="38"/>
      <c r="K906" s="35" t="s">
        <v>44</v>
      </c>
    </row>
    <row r="907" customFormat="false" ht="21.75" hidden="false" customHeight="true" outlineLevel="0" collapsed="false">
      <c r="A907" s="39" t="n">
        <v>906</v>
      </c>
      <c r="B907" s="40" t="s">
        <v>1997</v>
      </c>
      <c r="C907" s="39" t="s">
        <v>22</v>
      </c>
      <c r="D907" s="40" t="s">
        <v>880</v>
      </c>
      <c r="E907" s="41" t="n">
        <v>5</v>
      </c>
      <c r="F907" s="42" t="s">
        <v>2006</v>
      </c>
      <c r="G907" s="42" t="s">
        <v>2007</v>
      </c>
      <c r="H907" s="40" t="s">
        <v>2005</v>
      </c>
      <c r="I907" s="42" t="s">
        <v>1985</v>
      </c>
      <c r="J907" s="42"/>
      <c r="K907" s="39" t="s">
        <v>44</v>
      </c>
    </row>
    <row r="908" customFormat="false" ht="21.75" hidden="false" customHeight="true" outlineLevel="0" collapsed="false">
      <c r="A908" s="35" t="n">
        <v>907</v>
      </c>
      <c r="B908" s="36" t="s">
        <v>1997</v>
      </c>
      <c r="C908" s="35" t="s">
        <v>22</v>
      </c>
      <c r="D908" s="36" t="s">
        <v>880</v>
      </c>
      <c r="E908" s="37" t="n">
        <v>5</v>
      </c>
      <c r="F908" s="38" t="s">
        <v>2008</v>
      </c>
      <c r="G908" s="38" t="s">
        <v>2007</v>
      </c>
      <c r="H908" s="36" t="s">
        <v>2005</v>
      </c>
      <c r="I908" s="38" t="s">
        <v>1985</v>
      </c>
      <c r="J908" s="38"/>
      <c r="K908" s="35" t="s">
        <v>44</v>
      </c>
    </row>
    <row r="909" customFormat="false" ht="21.75" hidden="false" customHeight="true" outlineLevel="0" collapsed="false">
      <c r="A909" s="39" t="n">
        <v>908</v>
      </c>
      <c r="B909" s="40" t="s">
        <v>1997</v>
      </c>
      <c r="C909" s="39" t="s">
        <v>22</v>
      </c>
      <c r="D909" s="40" t="s">
        <v>880</v>
      </c>
      <c r="E909" s="41" t="n">
        <v>5</v>
      </c>
      <c r="F909" s="42" t="s">
        <v>2009</v>
      </c>
      <c r="G909" s="42" t="s">
        <v>2010</v>
      </c>
      <c r="H909" s="40" t="s">
        <v>2005</v>
      </c>
      <c r="I909" s="42" t="s">
        <v>1985</v>
      </c>
      <c r="J909" s="42"/>
      <c r="K909" s="39" t="s">
        <v>44</v>
      </c>
    </row>
    <row r="910" customFormat="false" ht="21.75" hidden="false" customHeight="true" outlineLevel="0" collapsed="false">
      <c r="A910" s="35" t="n">
        <v>909</v>
      </c>
      <c r="B910" s="36" t="s">
        <v>1997</v>
      </c>
      <c r="C910" s="35" t="s">
        <v>22</v>
      </c>
      <c r="D910" s="36" t="s">
        <v>880</v>
      </c>
      <c r="E910" s="37" t="n">
        <v>5</v>
      </c>
      <c r="F910" s="38" t="s">
        <v>2011</v>
      </c>
      <c r="G910" s="38" t="s">
        <v>2012</v>
      </c>
      <c r="H910" s="36" t="s">
        <v>2005</v>
      </c>
      <c r="I910" s="38" t="s">
        <v>1985</v>
      </c>
      <c r="J910" s="38"/>
      <c r="K910" s="35" t="s">
        <v>44</v>
      </c>
    </row>
    <row r="911" customFormat="false" ht="21.75" hidden="false" customHeight="true" outlineLevel="0" collapsed="false">
      <c r="A911" s="39" t="n">
        <v>910</v>
      </c>
      <c r="B911" s="40" t="s">
        <v>1997</v>
      </c>
      <c r="C911" s="39" t="s">
        <v>22</v>
      </c>
      <c r="D911" s="40" t="s">
        <v>880</v>
      </c>
      <c r="E911" s="41" t="n">
        <v>5</v>
      </c>
      <c r="F911" s="42" t="s">
        <v>2013</v>
      </c>
      <c r="G911" s="42" t="s">
        <v>2014</v>
      </c>
      <c r="H911" s="40" t="s">
        <v>2005</v>
      </c>
      <c r="I911" s="42" t="s">
        <v>1985</v>
      </c>
      <c r="J911" s="42"/>
      <c r="K911" s="39" t="s">
        <v>44</v>
      </c>
    </row>
    <row r="912" customFormat="false" ht="21.75" hidden="false" customHeight="true" outlineLevel="0" collapsed="false">
      <c r="A912" s="35" t="n">
        <v>911</v>
      </c>
      <c r="B912" s="36" t="s">
        <v>1997</v>
      </c>
      <c r="C912" s="35" t="s">
        <v>22</v>
      </c>
      <c r="D912" s="36" t="s">
        <v>880</v>
      </c>
      <c r="E912" s="37" t="n">
        <v>5</v>
      </c>
      <c r="F912" s="38" t="s">
        <v>2013</v>
      </c>
      <c r="G912" s="38" t="s">
        <v>2015</v>
      </c>
      <c r="H912" s="36" t="s">
        <v>2005</v>
      </c>
      <c r="I912" s="38" t="s">
        <v>1985</v>
      </c>
      <c r="J912" s="38"/>
      <c r="K912" s="35" t="s">
        <v>44</v>
      </c>
    </row>
    <row r="913" customFormat="false" ht="21.75" hidden="false" customHeight="true" outlineLevel="0" collapsed="false">
      <c r="A913" s="39" t="n">
        <v>912</v>
      </c>
      <c r="B913" s="40" t="s">
        <v>1997</v>
      </c>
      <c r="C913" s="39" t="s">
        <v>22</v>
      </c>
      <c r="D913" s="40" t="s">
        <v>880</v>
      </c>
      <c r="E913" s="41" t="n">
        <v>5</v>
      </c>
      <c r="F913" s="42" t="s">
        <v>2016</v>
      </c>
      <c r="G913" s="42" t="s">
        <v>2017</v>
      </c>
      <c r="H913" s="40" t="s">
        <v>2005</v>
      </c>
      <c r="I913" s="42" t="s">
        <v>1985</v>
      </c>
      <c r="J913" s="42"/>
      <c r="K913" s="39" t="s">
        <v>44</v>
      </c>
    </row>
    <row r="914" customFormat="false" ht="21.75" hidden="false" customHeight="true" outlineLevel="0" collapsed="false">
      <c r="A914" s="35" t="n">
        <v>913</v>
      </c>
      <c r="B914" s="36" t="s">
        <v>2002</v>
      </c>
      <c r="C914" s="35" t="s">
        <v>22</v>
      </c>
      <c r="D914" s="36" t="s">
        <v>880</v>
      </c>
      <c r="E914" s="37" t="n">
        <v>5</v>
      </c>
      <c r="F914" s="38" t="s">
        <v>2016</v>
      </c>
      <c r="G914" s="38" t="s">
        <v>2018</v>
      </c>
      <c r="H914" s="36" t="s">
        <v>2005</v>
      </c>
      <c r="I914" s="38" t="s">
        <v>1985</v>
      </c>
      <c r="J914" s="38"/>
      <c r="K914" s="35" t="s">
        <v>44</v>
      </c>
    </row>
    <row r="915" customFormat="false" ht="21.75" hidden="false" customHeight="true" outlineLevel="0" collapsed="false">
      <c r="A915" s="39" t="n">
        <v>914</v>
      </c>
      <c r="B915" s="40" t="s">
        <v>1997</v>
      </c>
      <c r="C915" s="39" t="s">
        <v>22</v>
      </c>
      <c r="D915" s="40" t="s">
        <v>880</v>
      </c>
      <c r="E915" s="41" t="n">
        <v>5</v>
      </c>
      <c r="F915" s="42" t="s">
        <v>2019</v>
      </c>
      <c r="G915" s="42" t="s">
        <v>2020</v>
      </c>
      <c r="H915" s="40" t="s">
        <v>2005</v>
      </c>
      <c r="I915" s="42" t="s">
        <v>1985</v>
      </c>
      <c r="J915" s="42"/>
      <c r="K915" s="39" t="s">
        <v>44</v>
      </c>
    </row>
    <row r="916" customFormat="false" ht="21.75" hidden="false" customHeight="true" outlineLevel="0" collapsed="false">
      <c r="A916" s="35" t="n">
        <v>915</v>
      </c>
      <c r="B916" s="36" t="s">
        <v>1997</v>
      </c>
      <c r="C916" s="35" t="s">
        <v>22</v>
      </c>
      <c r="D916" s="36" t="s">
        <v>880</v>
      </c>
      <c r="E916" s="37" t="n">
        <v>5</v>
      </c>
      <c r="F916" s="38" t="s">
        <v>2021</v>
      </c>
      <c r="G916" s="38" t="s">
        <v>2022</v>
      </c>
      <c r="H916" s="36" t="s">
        <v>2005</v>
      </c>
      <c r="I916" s="38" t="s">
        <v>1985</v>
      </c>
      <c r="J916" s="38"/>
      <c r="K916" s="35" t="s">
        <v>44</v>
      </c>
    </row>
    <row r="917" customFormat="false" ht="21.75" hidden="false" customHeight="true" outlineLevel="0" collapsed="false">
      <c r="A917" s="39" t="n">
        <v>916</v>
      </c>
      <c r="B917" s="40" t="s">
        <v>1997</v>
      </c>
      <c r="C917" s="39" t="s">
        <v>22</v>
      </c>
      <c r="D917" s="40" t="s">
        <v>880</v>
      </c>
      <c r="E917" s="41" t="n">
        <v>5</v>
      </c>
      <c r="F917" s="42" t="s">
        <v>2019</v>
      </c>
      <c r="G917" s="42" t="s">
        <v>2023</v>
      </c>
      <c r="H917" s="40" t="s">
        <v>2005</v>
      </c>
      <c r="I917" s="42" t="s">
        <v>1985</v>
      </c>
      <c r="J917" s="42"/>
      <c r="K917" s="39" t="s">
        <v>44</v>
      </c>
    </row>
    <row r="918" customFormat="false" ht="21.75" hidden="false" customHeight="true" outlineLevel="0" collapsed="false">
      <c r="A918" s="35" t="n">
        <v>917</v>
      </c>
      <c r="B918" s="36" t="s">
        <v>1997</v>
      </c>
      <c r="C918" s="35" t="s">
        <v>22</v>
      </c>
      <c r="D918" s="36" t="s">
        <v>880</v>
      </c>
      <c r="E918" s="37" t="n">
        <v>5</v>
      </c>
      <c r="F918" s="38" t="s">
        <v>2024</v>
      </c>
      <c r="G918" s="38" t="s">
        <v>2025</v>
      </c>
      <c r="H918" s="36" t="s">
        <v>2005</v>
      </c>
      <c r="I918" s="38" t="s">
        <v>1985</v>
      </c>
      <c r="J918" s="38"/>
      <c r="K918" s="35" t="s">
        <v>44</v>
      </c>
    </row>
    <row r="919" customFormat="false" ht="21.75" hidden="false" customHeight="true" outlineLevel="0" collapsed="false">
      <c r="A919" s="39" t="n">
        <v>918</v>
      </c>
      <c r="B919" s="40" t="s">
        <v>1997</v>
      </c>
      <c r="C919" s="39" t="s">
        <v>22</v>
      </c>
      <c r="D919" s="40" t="s">
        <v>880</v>
      </c>
      <c r="E919" s="41" t="n">
        <v>5</v>
      </c>
      <c r="F919" s="42" t="s">
        <v>2024</v>
      </c>
      <c r="G919" s="42" t="s">
        <v>2026</v>
      </c>
      <c r="H919" s="40" t="s">
        <v>2005</v>
      </c>
      <c r="I919" s="42" t="s">
        <v>1985</v>
      </c>
      <c r="J919" s="42"/>
      <c r="K919" s="39" t="s">
        <v>44</v>
      </c>
    </row>
    <row r="920" customFormat="false" ht="21.75" hidden="false" customHeight="true" outlineLevel="0" collapsed="false">
      <c r="A920" s="35" t="n">
        <v>919</v>
      </c>
      <c r="B920" s="36" t="s">
        <v>1997</v>
      </c>
      <c r="C920" s="35" t="s">
        <v>22</v>
      </c>
      <c r="D920" s="36" t="s">
        <v>880</v>
      </c>
      <c r="E920" s="37" t="n">
        <v>5</v>
      </c>
      <c r="F920" s="38" t="s">
        <v>2013</v>
      </c>
      <c r="G920" s="38" t="s">
        <v>2027</v>
      </c>
      <c r="H920" s="36" t="s">
        <v>2005</v>
      </c>
      <c r="I920" s="38" t="s">
        <v>1985</v>
      </c>
      <c r="J920" s="38"/>
      <c r="K920" s="35" t="s">
        <v>44</v>
      </c>
    </row>
    <row r="921" customFormat="false" ht="21.75" hidden="false" customHeight="true" outlineLevel="0" collapsed="false">
      <c r="A921" s="39" t="n">
        <v>920</v>
      </c>
      <c r="B921" s="40" t="s">
        <v>1997</v>
      </c>
      <c r="C921" s="39" t="s">
        <v>22</v>
      </c>
      <c r="D921" s="40" t="s">
        <v>880</v>
      </c>
      <c r="E921" s="41" t="n">
        <v>5</v>
      </c>
      <c r="F921" s="42" t="s">
        <v>2028</v>
      </c>
      <c r="G921" s="42" t="s">
        <v>2029</v>
      </c>
      <c r="H921" s="40" t="s">
        <v>2005</v>
      </c>
      <c r="I921" s="42" t="s">
        <v>1985</v>
      </c>
      <c r="J921" s="42"/>
      <c r="K921" s="39" t="s">
        <v>44</v>
      </c>
    </row>
    <row r="922" customFormat="false" ht="21.75" hidden="false" customHeight="true" outlineLevel="0" collapsed="false">
      <c r="A922" s="35" t="n">
        <v>921</v>
      </c>
      <c r="B922" s="36" t="s">
        <v>1997</v>
      </c>
      <c r="C922" s="35" t="s">
        <v>22</v>
      </c>
      <c r="D922" s="36" t="s">
        <v>880</v>
      </c>
      <c r="E922" s="37" t="n">
        <v>5</v>
      </c>
      <c r="F922" s="38" t="s">
        <v>2006</v>
      </c>
      <c r="G922" s="38" t="s">
        <v>2030</v>
      </c>
      <c r="H922" s="36" t="s">
        <v>2005</v>
      </c>
      <c r="I922" s="38" t="s">
        <v>1985</v>
      </c>
      <c r="J922" s="38"/>
      <c r="K922" s="35" t="s">
        <v>44</v>
      </c>
    </row>
    <row r="923" customFormat="false" ht="32.25" hidden="false" customHeight="true" outlineLevel="0" collapsed="false">
      <c r="A923" s="39" t="n">
        <v>922</v>
      </c>
      <c r="B923" s="40" t="s">
        <v>2031</v>
      </c>
      <c r="C923" s="39" t="s">
        <v>22</v>
      </c>
      <c r="D923" s="40" t="s">
        <v>880</v>
      </c>
      <c r="E923" s="41" t="n">
        <v>5</v>
      </c>
      <c r="F923" s="42" t="s">
        <v>2032</v>
      </c>
      <c r="G923" s="42" t="s">
        <v>2033</v>
      </c>
      <c r="H923" s="40" t="s">
        <v>2005</v>
      </c>
      <c r="I923" s="42" t="s">
        <v>1985</v>
      </c>
      <c r="J923" s="42"/>
      <c r="K923" s="39" t="s">
        <v>44</v>
      </c>
    </row>
    <row r="924" customFormat="false" ht="21.75" hidden="false" customHeight="true" outlineLevel="0" collapsed="false">
      <c r="A924" s="35" t="n">
        <v>923</v>
      </c>
      <c r="B924" s="36" t="s">
        <v>1997</v>
      </c>
      <c r="C924" s="35" t="s">
        <v>22</v>
      </c>
      <c r="D924" s="36" t="s">
        <v>880</v>
      </c>
      <c r="E924" s="37" t="n">
        <v>5</v>
      </c>
      <c r="F924" s="38" t="s">
        <v>2034</v>
      </c>
      <c r="G924" s="38" t="s">
        <v>2035</v>
      </c>
      <c r="H924" s="36" t="s">
        <v>2005</v>
      </c>
      <c r="I924" s="38" t="s">
        <v>1985</v>
      </c>
      <c r="J924" s="38"/>
      <c r="K924" s="35" t="s">
        <v>44</v>
      </c>
    </row>
    <row r="925" customFormat="false" ht="32.25" hidden="false" customHeight="true" outlineLevel="0" collapsed="false">
      <c r="A925" s="39" t="n">
        <v>924</v>
      </c>
      <c r="B925" s="40" t="s">
        <v>1990</v>
      </c>
      <c r="C925" s="39" t="s">
        <v>22</v>
      </c>
      <c r="D925" s="40" t="s">
        <v>880</v>
      </c>
      <c r="E925" s="41" t="n">
        <v>5</v>
      </c>
      <c r="F925" s="42" t="s">
        <v>2036</v>
      </c>
      <c r="G925" s="42" t="s">
        <v>2037</v>
      </c>
      <c r="H925" s="42" t="s">
        <v>2038</v>
      </c>
      <c r="I925" s="42" t="s">
        <v>2039</v>
      </c>
      <c r="J925" s="42"/>
      <c r="K925" s="39" t="s">
        <v>44</v>
      </c>
    </row>
    <row r="926" customFormat="false" ht="21.75" hidden="false" customHeight="true" outlineLevel="0" collapsed="false">
      <c r="A926" s="35" t="n">
        <v>925</v>
      </c>
      <c r="B926" s="36" t="s">
        <v>1994</v>
      </c>
      <c r="C926" s="35" t="s">
        <v>22</v>
      </c>
      <c r="D926" s="36" t="s">
        <v>880</v>
      </c>
      <c r="E926" s="37" t="n">
        <v>5</v>
      </c>
      <c r="F926" s="38" t="s">
        <v>2040</v>
      </c>
      <c r="G926" s="38" t="s">
        <v>2041</v>
      </c>
      <c r="H926" s="38" t="s">
        <v>2038</v>
      </c>
      <c r="I926" s="38" t="s">
        <v>2039</v>
      </c>
      <c r="J926" s="38"/>
      <c r="K926" s="35" t="s">
        <v>44</v>
      </c>
    </row>
    <row r="927" customFormat="false" ht="21.75" hidden="false" customHeight="true" outlineLevel="0" collapsed="false">
      <c r="A927" s="39" t="n">
        <v>926</v>
      </c>
      <c r="B927" s="40" t="s">
        <v>1997</v>
      </c>
      <c r="C927" s="39" t="s">
        <v>22</v>
      </c>
      <c r="D927" s="40" t="s">
        <v>880</v>
      </c>
      <c r="E927" s="41" t="n">
        <v>5</v>
      </c>
      <c r="F927" s="42" t="s">
        <v>2042</v>
      </c>
      <c r="G927" s="42" t="s">
        <v>2043</v>
      </c>
      <c r="H927" s="42" t="s">
        <v>2038</v>
      </c>
      <c r="I927" s="42" t="s">
        <v>2039</v>
      </c>
      <c r="J927" s="42"/>
      <c r="K927" s="39" t="s">
        <v>44</v>
      </c>
    </row>
    <row r="928" customFormat="false" ht="21.75" hidden="false" customHeight="true" outlineLevel="0" collapsed="false">
      <c r="A928" s="35" t="n">
        <v>927</v>
      </c>
      <c r="B928" s="36" t="s">
        <v>1997</v>
      </c>
      <c r="C928" s="35" t="s">
        <v>22</v>
      </c>
      <c r="D928" s="36" t="s">
        <v>880</v>
      </c>
      <c r="E928" s="37" t="n">
        <v>5</v>
      </c>
      <c r="F928" s="38" t="s">
        <v>2044</v>
      </c>
      <c r="G928" s="38" t="s">
        <v>2045</v>
      </c>
      <c r="H928" s="38" t="s">
        <v>2038</v>
      </c>
      <c r="I928" s="38" t="s">
        <v>2039</v>
      </c>
      <c r="J928" s="38"/>
      <c r="K928" s="35" t="s">
        <v>44</v>
      </c>
    </row>
    <row r="929" customFormat="false" ht="21.75" hidden="false" customHeight="true" outlineLevel="0" collapsed="false">
      <c r="A929" s="39" t="n">
        <v>928</v>
      </c>
      <c r="B929" s="40" t="s">
        <v>2002</v>
      </c>
      <c r="C929" s="39" t="s">
        <v>22</v>
      </c>
      <c r="D929" s="40" t="s">
        <v>880</v>
      </c>
      <c r="E929" s="41" t="n">
        <v>5</v>
      </c>
      <c r="F929" s="42" t="s">
        <v>2046</v>
      </c>
      <c r="G929" s="42" t="s">
        <v>2047</v>
      </c>
      <c r="H929" s="42" t="s">
        <v>2038</v>
      </c>
      <c r="I929" s="42" t="s">
        <v>2039</v>
      </c>
      <c r="J929" s="42"/>
      <c r="K929" s="39" t="s">
        <v>44</v>
      </c>
    </row>
    <row r="930" customFormat="false" ht="21.75" hidden="false" customHeight="true" outlineLevel="0" collapsed="false">
      <c r="A930" s="35" t="n">
        <v>929</v>
      </c>
      <c r="B930" s="36" t="s">
        <v>1997</v>
      </c>
      <c r="C930" s="35" t="s">
        <v>22</v>
      </c>
      <c r="D930" s="36" t="s">
        <v>880</v>
      </c>
      <c r="E930" s="37" t="n">
        <v>5</v>
      </c>
      <c r="F930" s="38" t="s">
        <v>2048</v>
      </c>
      <c r="G930" s="38" t="s">
        <v>2049</v>
      </c>
      <c r="H930" s="38" t="s">
        <v>2038</v>
      </c>
      <c r="I930" s="38" t="s">
        <v>2039</v>
      </c>
      <c r="J930" s="38"/>
      <c r="K930" s="35" t="s">
        <v>44</v>
      </c>
    </row>
    <row r="931" customFormat="false" ht="21.75" hidden="false" customHeight="true" outlineLevel="0" collapsed="false">
      <c r="A931" s="39" t="n">
        <v>930</v>
      </c>
      <c r="B931" s="40" t="s">
        <v>1997</v>
      </c>
      <c r="C931" s="39" t="s">
        <v>22</v>
      </c>
      <c r="D931" s="40" t="s">
        <v>880</v>
      </c>
      <c r="E931" s="41" t="n">
        <v>5</v>
      </c>
      <c r="F931" s="42" t="s">
        <v>2050</v>
      </c>
      <c r="G931" s="42" t="s">
        <v>2051</v>
      </c>
      <c r="H931" s="42" t="s">
        <v>2038</v>
      </c>
      <c r="I931" s="42" t="s">
        <v>2039</v>
      </c>
      <c r="J931" s="42"/>
      <c r="K931" s="39" t="s">
        <v>44</v>
      </c>
    </row>
    <row r="932" customFormat="false" ht="21.75" hidden="false" customHeight="true" outlineLevel="0" collapsed="false">
      <c r="A932" s="35" t="n">
        <v>931</v>
      </c>
      <c r="B932" s="36" t="s">
        <v>1997</v>
      </c>
      <c r="C932" s="35" t="s">
        <v>22</v>
      </c>
      <c r="D932" s="36" t="s">
        <v>880</v>
      </c>
      <c r="E932" s="37" t="n">
        <v>5</v>
      </c>
      <c r="F932" s="38" t="s">
        <v>2052</v>
      </c>
      <c r="G932" s="38" t="s">
        <v>2053</v>
      </c>
      <c r="H932" s="38" t="s">
        <v>2038</v>
      </c>
      <c r="I932" s="38" t="s">
        <v>2039</v>
      </c>
      <c r="J932" s="38"/>
      <c r="K932" s="35" t="s">
        <v>44</v>
      </c>
    </row>
    <row r="933" customFormat="false" ht="21.75" hidden="false" customHeight="true" outlineLevel="0" collapsed="false">
      <c r="A933" s="39" t="n">
        <v>932</v>
      </c>
      <c r="B933" s="40" t="s">
        <v>1997</v>
      </c>
      <c r="C933" s="39" t="s">
        <v>22</v>
      </c>
      <c r="D933" s="40" t="s">
        <v>880</v>
      </c>
      <c r="E933" s="41" t="n">
        <v>5</v>
      </c>
      <c r="F933" s="42" t="s">
        <v>2054</v>
      </c>
      <c r="G933" s="42" t="s">
        <v>2055</v>
      </c>
      <c r="H933" s="42" t="s">
        <v>2038</v>
      </c>
      <c r="I933" s="42" t="s">
        <v>2039</v>
      </c>
      <c r="J933" s="42"/>
      <c r="K933" s="39" t="s">
        <v>44</v>
      </c>
    </row>
    <row r="934" customFormat="false" ht="21.75" hidden="false" customHeight="true" outlineLevel="0" collapsed="false">
      <c r="A934" s="35" t="n">
        <v>933</v>
      </c>
      <c r="B934" s="36" t="s">
        <v>1997</v>
      </c>
      <c r="C934" s="35" t="s">
        <v>22</v>
      </c>
      <c r="D934" s="36" t="s">
        <v>880</v>
      </c>
      <c r="E934" s="37" t="n">
        <v>5</v>
      </c>
      <c r="F934" s="38" t="s">
        <v>2056</v>
      </c>
      <c r="G934" s="38" t="s">
        <v>2057</v>
      </c>
      <c r="H934" s="38" t="s">
        <v>2038</v>
      </c>
      <c r="I934" s="38" t="s">
        <v>2039</v>
      </c>
      <c r="J934" s="38"/>
      <c r="K934" s="35" t="s">
        <v>44</v>
      </c>
    </row>
    <row r="935" customFormat="false" ht="21.75" hidden="false" customHeight="true" outlineLevel="0" collapsed="false">
      <c r="A935" s="39" t="n">
        <v>934</v>
      </c>
      <c r="B935" s="40" t="s">
        <v>1997</v>
      </c>
      <c r="C935" s="39" t="s">
        <v>22</v>
      </c>
      <c r="D935" s="40" t="s">
        <v>880</v>
      </c>
      <c r="E935" s="41" t="n">
        <v>5</v>
      </c>
      <c r="F935" s="42" t="s">
        <v>2058</v>
      </c>
      <c r="G935" s="42" t="s">
        <v>2059</v>
      </c>
      <c r="H935" s="42" t="s">
        <v>2038</v>
      </c>
      <c r="I935" s="42" t="s">
        <v>2039</v>
      </c>
      <c r="J935" s="42"/>
      <c r="K935" s="39" t="s">
        <v>44</v>
      </c>
    </row>
    <row r="936" customFormat="false" ht="21.75" hidden="false" customHeight="true" outlineLevel="0" collapsed="false">
      <c r="A936" s="35" t="n">
        <v>935</v>
      </c>
      <c r="B936" s="36" t="s">
        <v>1997</v>
      </c>
      <c r="C936" s="35" t="s">
        <v>22</v>
      </c>
      <c r="D936" s="36" t="s">
        <v>880</v>
      </c>
      <c r="E936" s="37" t="n">
        <v>5</v>
      </c>
      <c r="F936" s="38" t="s">
        <v>2060</v>
      </c>
      <c r="G936" s="38" t="s">
        <v>2061</v>
      </c>
      <c r="H936" s="38" t="s">
        <v>2038</v>
      </c>
      <c r="I936" s="38" t="s">
        <v>2039</v>
      </c>
      <c r="J936" s="38"/>
      <c r="K936" s="35" t="s">
        <v>44</v>
      </c>
    </row>
    <row r="937" customFormat="false" ht="21.75" hidden="false" customHeight="true" outlineLevel="0" collapsed="false">
      <c r="A937" s="39" t="n">
        <v>936</v>
      </c>
      <c r="B937" s="40" t="s">
        <v>2002</v>
      </c>
      <c r="C937" s="39" t="s">
        <v>22</v>
      </c>
      <c r="D937" s="40" t="s">
        <v>880</v>
      </c>
      <c r="E937" s="41" t="n">
        <v>5</v>
      </c>
      <c r="F937" s="42" t="s">
        <v>2062</v>
      </c>
      <c r="G937" s="42" t="s">
        <v>2063</v>
      </c>
      <c r="H937" s="42" t="s">
        <v>2038</v>
      </c>
      <c r="I937" s="42" t="s">
        <v>2039</v>
      </c>
      <c r="J937" s="42"/>
      <c r="K937" s="39" t="s">
        <v>44</v>
      </c>
    </row>
    <row r="938" customFormat="false" ht="21.75" hidden="false" customHeight="true" outlineLevel="0" collapsed="false">
      <c r="A938" s="35" t="n">
        <v>937</v>
      </c>
      <c r="B938" s="36" t="s">
        <v>1997</v>
      </c>
      <c r="C938" s="35" t="s">
        <v>22</v>
      </c>
      <c r="D938" s="36" t="s">
        <v>880</v>
      </c>
      <c r="E938" s="37" t="n">
        <v>5</v>
      </c>
      <c r="F938" s="38" t="s">
        <v>2064</v>
      </c>
      <c r="G938" s="38" t="s">
        <v>2065</v>
      </c>
      <c r="H938" s="38" t="s">
        <v>2038</v>
      </c>
      <c r="I938" s="38" t="s">
        <v>2039</v>
      </c>
      <c r="J938" s="38"/>
      <c r="K938" s="35" t="s">
        <v>44</v>
      </c>
    </row>
    <row r="939" customFormat="false" ht="21.75" hidden="false" customHeight="true" outlineLevel="0" collapsed="false">
      <c r="A939" s="39" t="n">
        <v>938</v>
      </c>
      <c r="B939" s="40" t="s">
        <v>1997</v>
      </c>
      <c r="C939" s="39" t="s">
        <v>22</v>
      </c>
      <c r="D939" s="40" t="s">
        <v>880</v>
      </c>
      <c r="E939" s="41" t="n">
        <v>5</v>
      </c>
      <c r="F939" s="42" t="s">
        <v>2066</v>
      </c>
      <c r="G939" s="42" t="s">
        <v>2067</v>
      </c>
      <c r="H939" s="42" t="s">
        <v>2038</v>
      </c>
      <c r="I939" s="42" t="s">
        <v>2039</v>
      </c>
      <c r="J939" s="42"/>
      <c r="K939" s="39" t="s">
        <v>44</v>
      </c>
    </row>
    <row r="940" customFormat="false" ht="21.75" hidden="false" customHeight="true" outlineLevel="0" collapsed="false">
      <c r="A940" s="35" t="n">
        <v>939</v>
      </c>
      <c r="B940" s="36" t="s">
        <v>1997</v>
      </c>
      <c r="C940" s="35" t="s">
        <v>22</v>
      </c>
      <c r="D940" s="36" t="s">
        <v>880</v>
      </c>
      <c r="E940" s="37" t="n">
        <v>5</v>
      </c>
      <c r="F940" s="38" t="s">
        <v>2068</v>
      </c>
      <c r="G940" s="38" t="s">
        <v>2069</v>
      </c>
      <c r="H940" s="38" t="s">
        <v>2038</v>
      </c>
      <c r="I940" s="38" t="s">
        <v>2039</v>
      </c>
      <c r="J940" s="38"/>
      <c r="K940" s="35" t="s">
        <v>44</v>
      </c>
    </row>
    <row r="941" customFormat="false" ht="21.75" hidden="false" customHeight="true" outlineLevel="0" collapsed="false">
      <c r="A941" s="39" t="n">
        <v>940</v>
      </c>
      <c r="B941" s="40" t="s">
        <v>1997</v>
      </c>
      <c r="C941" s="39" t="s">
        <v>22</v>
      </c>
      <c r="D941" s="40" t="s">
        <v>880</v>
      </c>
      <c r="E941" s="41" t="n">
        <v>5</v>
      </c>
      <c r="F941" s="42" t="s">
        <v>2070</v>
      </c>
      <c r="G941" s="42" t="s">
        <v>2071</v>
      </c>
      <c r="H941" s="42" t="s">
        <v>2038</v>
      </c>
      <c r="I941" s="42" t="s">
        <v>2039</v>
      </c>
      <c r="J941" s="42"/>
      <c r="K941" s="39" t="s">
        <v>44</v>
      </c>
    </row>
    <row r="942" customFormat="false" ht="21.75" hidden="false" customHeight="true" outlineLevel="0" collapsed="false">
      <c r="A942" s="35" t="n">
        <v>941</v>
      </c>
      <c r="B942" s="36" t="s">
        <v>1997</v>
      </c>
      <c r="C942" s="35" t="s">
        <v>22</v>
      </c>
      <c r="D942" s="36" t="s">
        <v>880</v>
      </c>
      <c r="E942" s="37" t="n">
        <v>5</v>
      </c>
      <c r="F942" s="38" t="s">
        <v>2072</v>
      </c>
      <c r="G942" s="38" t="s">
        <v>2073</v>
      </c>
      <c r="H942" s="38" t="s">
        <v>2038</v>
      </c>
      <c r="I942" s="38" t="s">
        <v>2039</v>
      </c>
      <c r="J942" s="38"/>
      <c r="K942" s="35" t="s">
        <v>44</v>
      </c>
    </row>
    <row r="943" customFormat="false" ht="21.75" hidden="false" customHeight="true" outlineLevel="0" collapsed="false">
      <c r="A943" s="39" t="n">
        <v>942</v>
      </c>
      <c r="B943" s="40" t="s">
        <v>1997</v>
      </c>
      <c r="C943" s="39" t="s">
        <v>22</v>
      </c>
      <c r="D943" s="40" t="s">
        <v>880</v>
      </c>
      <c r="E943" s="41" t="n">
        <v>5</v>
      </c>
      <c r="F943" s="42" t="s">
        <v>2074</v>
      </c>
      <c r="G943" s="42" t="s">
        <v>2075</v>
      </c>
      <c r="H943" s="42" t="s">
        <v>2038</v>
      </c>
      <c r="I943" s="42" t="s">
        <v>2039</v>
      </c>
      <c r="J943" s="42"/>
      <c r="K943" s="39" t="s">
        <v>44</v>
      </c>
    </row>
    <row r="944" customFormat="false" ht="21.75" hidden="false" customHeight="true" outlineLevel="0" collapsed="false">
      <c r="A944" s="35" t="n">
        <v>943</v>
      </c>
      <c r="B944" s="36" t="s">
        <v>1997</v>
      </c>
      <c r="C944" s="35" t="s">
        <v>22</v>
      </c>
      <c r="D944" s="36" t="s">
        <v>880</v>
      </c>
      <c r="E944" s="37" t="n">
        <v>5</v>
      </c>
      <c r="F944" s="38" t="s">
        <v>2076</v>
      </c>
      <c r="G944" s="38" t="s">
        <v>2077</v>
      </c>
      <c r="H944" s="38" t="s">
        <v>2038</v>
      </c>
      <c r="I944" s="38" t="s">
        <v>2039</v>
      </c>
      <c r="J944" s="38"/>
      <c r="K944" s="35" t="s">
        <v>44</v>
      </c>
    </row>
    <row r="945" customFormat="false" ht="21.75" hidden="false" customHeight="true" outlineLevel="0" collapsed="false">
      <c r="A945" s="39" t="n">
        <v>944</v>
      </c>
      <c r="B945" s="40" t="s">
        <v>1997</v>
      </c>
      <c r="C945" s="39" t="s">
        <v>22</v>
      </c>
      <c r="D945" s="40" t="s">
        <v>880</v>
      </c>
      <c r="E945" s="41" t="n">
        <v>5</v>
      </c>
      <c r="F945" s="42" t="s">
        <v>2078</v>
      </c>
      <c r="G945" s="42" t="s">
        <v>2079</v>
      </c>
      <c r="H945" s="42" t="s">
        <v>2038</v>
      </c>
      <c r="I945" s="42" t="s">
        <v>2039</v>
      </c>
      <c r="J945" s="42"/>
      <c r="K945" s="39" t="s">
        <v>44</v>
      </c>
    </row>
    <row r="946" customFormat="false" ht="32.25" hidden="false" customHeight="true" outlineLevel="0" collapsed="false">
      <c r="A946" s="35" t="n">
        <v>945</v>
      </c>
      <c r="B946" s="36" t="s">
        <v>2031</v>
      </c>
      <c r="C946" s="35" t="s">
        <v>22</v>
      </c>
      <c r="D946" s="36" t="s">
        <v>880</v>
      </c>
      <c r="E946" s="37" t="n">
        <v>5</v>
      </c>
      <c r="F946" s="38" t="s">
        <v>2080</v>
      </c>
      <c r="G946" s="38" t="s">
        <v>2081</v>
      </c>
      <c r="H946" s="38" t="s">
        <v>2038</v>
      </c>
      <c r="I946" s="38" t="s">
        <v>2039</v>
      </c>
      <c r="J946" s="38"/>
      <c r="K946" s="35" t="s">
        <v>44</v>
      </c>
    </row>
    <row r="947" customFormat="false" ht="21.75" hidden="false" customHeight="true" outlineLevel="0" collapsed="false">
      <c r="A947" s="39" t="n">
        <v>946</v>
      </c>
      <c r="B947" s="40" t="s">
        <v>1997</v>
      </c>
      <c r="C947" s="39" t="s">
        <v>22</v>
      </c>
      <c r="D947" s="40" t="s">
        <v>880</v>
      </c>
      <c r="E947" s="41" t="n">
        <v>5</v>
      </c>
      <c r="F947" s="42" t="s">
        <v>2082</v>
      </c>
      <c r="G947" s="42" t="s">
        <v>2083</v>
      </c>
      <c r="H947" s="42" t="s">
        <v>2038</v>
      </c>
      <c r="I947" s="42" t="s">
        <v>2039</v>
      </c>
      <c r="J947" s="42"/>
      <c r="K947" s="39" t="s">
        <v>44</v>
      </c>
    </row>
  </sheetData>
  <autoFilter ref="A1:K9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3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20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13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5" min="15" style="1" width="18"/>
    <col collapsed="false" customWidth="true" hidden="false" outlineLevel="0" max="16" min="16" style="1" width="13"/>
    <col collapsed="false" customWidth="true" hidden="false" outlineLevel="0" max="17" min="17" style="1" width="12"/>
    <col collapsed="false" customWidth="true" hidden="false" outlineLevel="0" max="18" min="18" style="1" width="14"/>
    <col collapsed="false" customWidth="true" hidden="false" outlineLevel="0" max="19" min="19" style="1" width="30"/>
  </cols>
  <sheetData>
    <row r="1" customFormat="false" ht="27.75" hidden="false" customHeight="true" outlineLevel="0" collapsed="false">
      <c r="A1" s="43" t="s">
        <v>2084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customFormat="false" ht="18" hidden="false" customHeight="true" outlineLevel="0" collapsed="false">
      <c r="A2" s="44" t="s">
        <v>2085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4" customFormat="false" ht="33.75" hidden="false" customHeight="true" outlineLevel="0" collapsed="false">
      <c r="A4" s="45" t="s">
        <v>2086</v>
      </c>
      <c r="B4" s="45" t="s">
        <v>2087</v>
      </c>
      <c r="C4" s="45" t="s">
        <v>2088</v>
      </c>
      <c r="D4" s="45" t="s">
        <v>2089</v>
      </c>
      <c r="E4" s="45" t="s">
        <v>77</v>
      </c>
      <c r="F4" s="45" t="s">
        <v>2090</v>
      </c>
      <c r="G4" s="45" t="s">
        <v>78</v>
      </c>
      <c r="H4" s="45" t="s">
        <v>2091</v>
      </c>
      <c r="I4" s="45" t="s">
        <v>2092</v>
      </c>
      <c r="J4" s="45" t="s">
        <v>2093</v>
      </c>
      <c r="K4" s="45" t="s">
        <v>2094</v>
      </c>
      <c r="L4" s="45" t="s">
        <v>2095</v>
      </c>
      <c r="M4" s="45" t="s">
        <v>2096</v>
      </c>
      <c r="N4" s="45" t="s">
        <v>2097</v>
      </c>
      <c r="O4" s="45" t="s">
        <v>2098</v>
      </c>
      <c r="P4" s="45" t="s">
        <v>2099</v>
      </c>
      <c r="Q4" s="45" t="s">
        <v>55</v>
      </c>
      <c r="R4" s="45" t="s">
        <v>2100</v>
      </c>
      <c r="S4" s="45" t="s">
        <v>2101</v>
      </c>
    </row>
    <row r="5" customFormat="false" ht="15" hidden="false" customHeight="true" outlineLevel="0" collapsed="false">
      <c r="A5" s="46" t="n">
        <v>1</v>
      </c>
      <c r="B5" s="24" t="s">
        <v>2102</v>
      </c>
      <c r="C5" s="47"/>
      <c r="D5" s="47" t="s">
        <v>2103</v>
      </c>
      <c r="E5" s="46" t="s">
        <v>21</v>
      </c>
      <c r="F5" s="46" t="s">
        <v>2104</v>
      </c>
      <c r="G5" s="24" t="s">
        <v>2105</v>
      </c>
      <c r="H5" s="48" t="n">
        <v>85</v>
      </c>
      <c r="I5" s="46" t="s">
        <v>2106</v>
      </c>
      <c r="J5" s="47" t="s">
        <v>2107</v>
      </c>
      <c r="K5" s="24" t="s">
        <v>2108</v>
      </c>
      <c r="L5" s="46" t="s">
        <v>2109</v>
      </c>
      <c r="M5" s="24" t="s">
        <v>2110</v>
      </c>
      <c r="N5" s="46" t="s">
        <v>2111</v>
      </c>
      <c r="O5" s="24" t="s">
        <v>2112</v>
      </c>
      <c r="P5" s="46" t="s">
        <v>2113</v>
      </c>
      <c r="Q5" s="46"/>
      <c r="R5" s="47" t="s">
        <v>48</v>
      </c>
      <c r="S5" s="47"/>
    </row>
    <row r="6" customFormat="false" ht="15" hidden="false" customHeight="true" outlineLevel="0" collapsed="false">
      <c r="A6" s="49" t="n">
        <v>2</v>
      </c>
      <c r="B6" s="25" t="s">
        <v>2114</v>
      </c>
      <c r="C6" s="50"/>
      <c r="D6" s="50" t="s">
        <v>2114</v>
      </c>
      <c r="E6" s="49" t="s">
        <v>21</v>
      </c>
      <c r="F6" s="49" t="s">
        <v>2104</v>
      </c>
      <c r="G6" s="25" t="s">
        <v>2115</v>
      </c>
      <c r="H6" s="51" t="n">
        <v>60</v>
      </c>
      <c r="I6" s="49" t="s">
        <v>2116</v>
      </c>
      <c r="J6" s="50" t="s">
        <v>2117</v>
      </c>
      <c r="K6" s="25" t="s">
        <v>2118</v>
      </c>
      <c r="L6" s="49" t="s">
        <v>2119</v>
      </c>
      <c r="M6" s="25" t="s">
        <v>2120</v>
      </c>
      <c r="N6" s="49" t="s">
        <v>2121</v>
      </c>
      <c r="O6" s="25" t="s">
        <v>2112</v>
      </c>
      <c r="P6" s="49" t="s">
        <v>2113</v>
      </c>
      <c r="Q6" s="49"/>
      <c r="R6" s="50" t="s">
        <v>48</v>
      </c>
      <c r="S6" s="50"/>
    </row>
    <row r="7" customFormat="false" ht="15" hidden="false" customHeight="true" outlineLevel="0" collapsed="false">
      <c r="A7" s="46" t="n">
        <v>3</v>
      </c>
      <c r="B7" s="24" t="s">
        <v>2122</v>
      </c>
      <c r="C7" s="47"/>
      <c r="D7" s="47" t="s">
        <v>2122</v>
      </c>
      <c r="E7" s="46" t="s">
        <v>21</v>
      </c>
      <c r="F7" s="46" t="s">
        <v>2104</v>
      </c>
      <c r="G7" s="24" t="s">
        <v>2123</v>
      </c>
      <c r="H7" s="48" t="n">
        <v>220</v>
      </c>
      <c r="I7" s="46" t="s">
        <v>2124</v>
      </c>
      <c r="J7" s="47" t="s">
        <v>2125</v>
      </c>
      <c r="K7" s="24" t="s">
        <v>2126</v>
      </c>
      <c r="L7" s="46" t="s">
        <v>2127</v>
      </c>
      <c r="M7" s="24" t="s">
        <v>2128</v>
      </c>
      <c r="N7" s="46" t="s">
        <v>2129</v>
      </c>
      <c r="O7" s="24" t="s">
        <v>2112</v>
      </c>
      <c r="P7" s="46" t="s">
        <v>2113</v>
      </c>
      <c r="Q7" s="46"/>
      <c r="R7" s="47" t="s">
        <v>48</v>
      </c>
      <c r="S7" s="47"/>
    </row>
    <row r="8" customFormat="false" ht="15" hidden="false" customHeight="true" outlineLevel="0" collapsed="false">
      <c r="A8" s="49" t="n">
        <v>4</v>
      </c>
      <c r="B8" s="25" t="s">
        <v>2130</v>
      </c>
      <c r="C8" s="50"/>
      <c r="D8" s="50" t="s">
        <v>2130</v>
      </c>
      <c r="E8" s="49" t="s">
        <v>21</v>
      </c>
      <c r="F8" s="49" t="s">
        <v>2104</v>
      </c>
      <c r="G8" s="25" t="s">
        <v>2131</v>
      </c>
      <c r="H8" s="51" t="n">
        <v>33</v>
      </c>
      <c r="I8" s="49" t="s">
        <v>2124</v>
      </c>
      <c r="J8" s="50" t="s">
        <v>2132</v>
      </c>
      <c r="K8" s="25" t="s">
        <v>2133</v>
      </c>
      <c r="L8" s="49" t="s">
        <v>2134</v>
      </c>
      <c r="M8" s="25" t="s">
        <v>2135</v>
      </c>
      <c r="N8" s="49" t="s">
        <v>2136</v>
      </c>
      <c r="O8" s="25" t="s">
        <v>2112</v>
      </c>
      <c r="P8" s="49" t="s">
        <v>2113</v>
      </c>
      <c r="Q8" s="49"/>
      <c r="R8" s="50" t="s">
        <v>48</v>
      </c>
      <c r="S8" s="50"/>
    </row>
    <row r="9" customFormat="false" ht="15" hidden="false" customHeight="true" outlineLevel="0" collapsed="false">
      <c r="A9" s="46" t="n">
        <v>5</v>
      </c>
      <c r="B9" s="24" t="s">
        <v>2137</v>
      </c>
      <c r="C9" s="47"/>
      <c r="D9" s="47" t="s">
        <v>2137</v>
      </c>
      <c r="E9" s="46" t="s">
        <v>16</v>
      </c>
      <c r="F9" s="46" t="s">
        <v>2104</v>
      </c>
      <c r="G9" s="24" t="s">
        <v>2138</v>
      </c>
      <c r="H9" s="48" t="n">
        <v>33</v>
      </c>
      <c r="I9" s="46" t="s">
        <v>2124</v>
      </c>
      <c r="J9" s="47" t="s">
        <v>2139</v>
      </c>
      <c r="K9" s="24" t="s">
        <v>2140</v>
      </c>
      <c r="L9" s="46" t="s">
        <v>2141</v>
      </c>
      <c r="M9" s="24" t="s">
        <v>2142</v>
      </c>
      <c r="N9" s="46" t="s">
        <v>2143</v>
      </c>
      <c r="O9" s="24"/>
      <c r="P9" s="46"/>
      <c r="Q9" s="46"/>
      <c r="R9" s="47" t="s">
        <v>48</v>
      </c>
      <c r="S9" s="52" t="s">
        <v>69</v>
      </c>
    </row>
    <row r="10" customFormat="false" ht="15" hidden="false" customHeight="true" outlineLevel="0" collapsed="false">
      <c r="A10" s="49" t="n">
        <v>6</v>
      </c>
      <c r="B10" s="25" t="s">
        <v>2144</v>
      </c>
      <c r="C10" s="50"/>
      <c r="D10" s="50" t="s">
        <v>2144</v>
      </c>
      <c r="E10" s="49" t="s">
        <v>16</v>
      </c>
      <c r="F10" s="49" t="s">
        <v>2104</v>
      </c>
      <c r="G10" s="25" t="s">
        <v>2145</v>
      </c>
      <c r="H10" s="51" t="n">
        <v>85</v>
      </c>
      <c r="I10" s="49" t="s">
        <v>2146</v>
      </c>
      <c r="J10" s="50" t="s">
        <v>2147</v>
      </c>
      <c r="K10" s="25" t="s">
        <v>2148</v>
      </c>
      <c r="L10" s="49" t="s">
        <v>2149</v>
      </c>
      <c r="M10" s="25" t="s">
        <v>2150</v>
      </c>
      <c r="N10" s="49" t="s">
        <v>2151</v>
      </c>
      <c r="O10" s="25"/>
      <c r="P10" s="49"/>
      <c r="Q10" s="49"/>
      <c r="R10" s="50" t="s">
        <v>48</v>
      </c>
      <c r="S10" s="52" t="s">
        <v>69</v>
      </c>
    </row>
    <row r="11" customFormat="false" ht="15" hidden="false" customHeight="true" outlineLevel="0" collapsed="false">
      <c r="A11" s="46" t="n">
        <v>7</v>
      </c>
      <c r="B11" s="24" t="s">
        <v>2152</v>
      </c>
      <c r="C11" s="47"/>
      <c r="D11" s="47" t="s">
        <v>2152</v>
      </c>
      <c r="E11" s="46" t="s">
        <v>16</v>
      </c>
      <c r="F11" s="46" t="s">
        <v>2104</v>
      </c>
      <c r="G11" s="24" t="s">
        <v>2153</v>
      </c>
      <c r="H11" s="48" t="n">
        <v>60</v>
      </c>
      <c r="I11" s="46" t="s">
        <v>2154</v>
      </c>
      <c r="J11" s="47" t="s">
        <v>2155</v>
      </c>
      <c r="K11" s="24" t="s">
        <v>2156</v>
      </c>
      <c r="L11" s="46" t="s">
        <v>2157</v>
      </c>
      <c r="M11" s="24" t="s">
        <v>2158</v>
      </c>
      <c r="N11" s="46" t="s">
        <v>2159</v>
      </c>
      <c r="O11" s="24"/>
      <c r="P11" s="46"/>
      <c r="Q11" s="46"/>
      <c r="R11" s="47" t="s">
        <v>48</v>
      </c>
      <c r="S11" s="52" t="s">
        <v>69</v>
      </c>
    </row>
    <row r="12" customFormat="false" ht="15" hidden="false" customHeight="true" outlineLevel="0" collapsed="false">
      <c r="A12" s="49" t="n">
        <v>8</v>
      </c>
      <c r="B12" s="25" t="s">
        <v>2160</v>
      </c>
      <c r="C12" s="50"/>
      <c r="D12" s="50" t="s">
        <v>2160</v>
      </c>
      <c r="E12" s="49" t="s">
        <v>16</v>
      </c>
      <c r="F12" s="49" t="s">
        <v>2104</v>
      </c>
      <c r="G12" s="25" t="s">
        <v>2161</v>
      </c>
      <c r="H12" s="51" t="n">
        <v>220</v>
      </c>
      <c r="I12" s="49" t="s">
        <v>2162</v>
      </c>
      <c r="J12" s="50" t="s">
        <v>2163</v>
      </c>
      <c r="K12" s="25" t="s">
        <v>2164</v>
      </c>
      <c r="L12" s="49" t="s">
        <v>2165</v>
      </c>
      <c r="M12" s="25" t="s">
        <v>2166</v>
      </c>
      <c r="N12" s="49" t="s">
        <v>2167</v>
      </c>
      <c r="O12" s="25"/>
      <c r="P12" s="49"/>
      <c r="Q12" s="49"/>
      <c r="R12" s="50" t="s">
        <v>48</v>
      </c>
      <c r="S12" s="52" t="s">
        <v>69</v>
      </c>
    </row>
    <row r="13" customFormat="false" ht="15" hidden="false" customHeight="true" outlineLevel="0" collapsed="false">
      <c r="A13" s="46" t="n">
        <v>9</v>
      </c>
      <c r="B13" s="24" t="s">
        <v>2168</v>
      </c>
      <c r="C13" s="47"/>
      <c r="D13" s="47" t="s">
        <v>2168</v>
      </c>
      <c r="E13" s="46" t="s">
        <v>17</v>
      </c>
      <c r="F13" s="46" t="s">
        <v>2104</v>
      </c>
      <c r="G13" s="24" t="s">
        <v>2169</v>
      </c>
      <c r="H13" s="48" t="n">
        <v>33</v>
      </c>
      <c r="I13" s="46" t="s">
        <v>2170</v>
      </c>
      <c r="J13" s="47" t="s">
        <v>2171</v>
      </c>
      <c r="K13" s="24" t="s">
        <v>2172</v>
      </c>
      <c r="L13" s="46" t="s">
        <v>2173</v>
      </c>
      <c r="M13" s="24" t="s">
        <v>2174</v>
      </c>
      <c r="N13" s="46" t="s">
        <v>2175</v>
      </c>
      <c r="O13" s="24"/>
      <c r="P13" s="46"/>
      <c r="Q13" s="46"/>
      <c r="R13" s="47" t="s">
        <v>48</v>
      </c>
      <c r="S13" s="52" t="s">
        <v>69</v>
      </c>
    </row>
    <row r="14" customFormat="false" ht="15" hidden="false" customHeight="true" outlineLevel="0" collapsed="false">
      <c r="A14" s="49" t="n">
        <v>10</v>
      </c>
      <c r="B14" s="25" t="s">
        <v>2176</v>
      </c>
      <c r="C14" s="50"/>
      <c r="D14" s="50" t="s">
        <v>2176</v>
      </c>
      <c r="E14" s="49" t="s">
        <v>17</v>
      </c>
      <c r="F14" s="49" t="s">
        <v>2104</v>
      </c>
      <c r="G14" s="25" t="s">
        <v>2177</v>
      </c>
      <c r="H14" s="51" t="n">
        <v>85</v>
      </c>
      <c r="I14" s="49" t="s">
        <v>2178</v>
      </c>
      <c r="J14" s="50" t="s">
        <v>2179</v>
      </c>
      <c r="K14" s="25" t="s">
        <v>2180</v>
      </c>
      <c r="L14" s="49" t="s">
        <v>2181</v>
      </c>
      <c r="M14" s="25" t="s">
        <v>2174</v>
      </c>
      <c r="N14" s="49" t="s">
        <v>2175</v>
      </c>
      <c r="O14" s="25"/>
      <c r="P14" s="49"/>
      <c r="Q14" s="49"/>
      <c r="R14" s="50" t="s">
        <v>48</v>
      </c>
      <c r="S14" s="52" t="s">
        <v>69</v>
      </c>
    </row>
    <row r="15" customFormat="false" ht="15" hidden="false" customHeight="true" outlineLevel="0" collapsed="false">
      <c r="A15" s="46" t="n">
        <v>11</v>
      </c>
      <c r="B15" s="24" t="s">
        <v>2182</v>
      </c>
      <c r="C15" s="47"/>
      <c r="D15" s="47" t="s">
        <v>2182</v>
      </c>
      <c r="E15" s="46" t="s">
        <v>17</v>
      </c>
      <c r="F15" s="46" t="s">
        <v>2104</v>
      </c>
      <c r="G15" s="24" t="s">
        <v>2183</v>
      </c>
      <c r="H15" s="48" t="n">
        <v>60</v>
      </c>
      <c r="I15" s="46" t="s">
        <v>2184</v>
      </c>
      <c r="J15" s="47" t="s">
        <v>2185</v>
      </c>
      <c r="K15" s="24" t="s">
        <v>2186</v>
      </c>
      <c r="L15" s="46" t="s">
        <v>2187</v>
      </c>
      <c r="M15" s="24" t="s">
        <v>2174</v>
      </c>
      <c r="N15" s="46" t="s">
        <v>2188</v>
      </c>
      <c r="O15" s="24"/>
      <c r="P15" s="46"/>
      <c r="Q15" s="46"/>
      <c r="R15" s="47" t="s">
        <v>48</v>
      </c>
      <c r="S15" s="52" t="s">
        <v>69</v>
      </c>
    </row>
    <row r="16" customFormat="false" ht="15" hidden="false" customHeight="true" outlineLevel="0" collapsed="false">
      <c r="A16" s="49" t="n">
        <v>12</v>
      </c>
      <c r="B16" s="25" t="s">
        <v>2176</v>
      </c>
      <c r="C16" s="50"/>
      <c r="D16" s="50" t="s">
        <v>2176</v>
      </c>
      <c r="E16" s="49" t="s">
        <v>17</v>
      </c>
      <c r="F16" s="49" t="s">
        <v>2104</v>
      </c>
      <c r="G16" s="25" t="s">
        <v>2189</v>
      </c>
      <c r="H16" s="51" t="n">
        <v>370</v>
      </c>
      <c r="I16" s="49" t="s">
        <v>2190</v>
      </c>
      <c r="J16" s="50" t="s">
        <v>2191</v>
      </c>
      <c r="K16" s="25" t="s">
        <v>2192</v>
      </c>
      <c r="L16" s="49" t="s">
        <v>2193</v>
      </c>
      <c r="M16" s="25" t="s">
        <v>2174</v>
      </c>
      <c r="N16" s="49" t="s">
        <v>2188</v>
      </c>
      <c r="O16" s="25"/>
      <c r="P16" s="49"/>
      <c r="Q16" s="49"/>
      <c r="R16" s="50" t="s">
        <v>48</v>
      </c>
      <c r="S16" s="52" t="s">
        <v>69</v>
      </c>
    </row>
    <row r="17" customFormat="false" ht="15" hidden="false" customHeight="true" outlineLevel="0" collapsed="false">
      <c r="A17" s="46" t="n">
        <v>13</v>
      </c>
      <c r="B17" s="24" t="s">
        <v>2194</v>
      </c>
      <c r="C17" s="47"/>
      <c r="D17" s="47" t="s">
        <v>2194</v>
      </c>
      <c r="E17" s="46" t="s">
        <v>19</v>
      </c>
      <c r="F17" s="46" t="s">
        <v>2104</v>
      </c>
      <c r="G17" s="24" t="s">
        <v>2195</v>
      </c>
      <c r="H17" s="48" t="n">
        <v>85</v>
      </c>
      <c r="I17" s="46" t="s">
        <v>2196</v>
      </c>
      <c r="J17" s="47" t="s">
        <v>2197</v>
      </c>
      <c r="K17" s="24" t="s">
        <v>2198</v>
      </c>
      <c r="L17" s="46" t="s">
        <v>2199</v>
      </c>
      <c r="M17" s="24" t="s">
        <v>2180</v>
      </c>
      <c r="N17" s="46" t="s">
        <v>2200</v>
      </c>
      <c r="O17" s="24"/>
      <c r="P17" s="46"/>
      <c r="Q17" s="46"/>
      <c r="R17" s="47" t="s">
        <v>48</v>
      </c>
      <c r="S17" s="52" t="s">
        <v>69</v>
      </c>
    </row>
    <row r="18" customFormat="false" ht="15" hidden="false" customHeight="true" outlineLevel="0" collapsed="false">
      <c r="A18" s="49" t="n">
        <v>14</v>
      </c>
      <c r="B18" s="25" t="s">
        <v>2201</v>
      </c>
      <c r="C18" s="50"/>
      <c r="D18" s="50" t="s">
        <v>2201</v>
      </c>
      <c r="E18" s="49" t="s">
        <v>19</v>
      </c>
      <c r="F18" s="49" t="s">
        <v>2104</v>
      </c>
      <c r="G18" s="25" t="s">
        <v>2202</v>
      </c>
      <c r="H18" s="51" t="n">
        <v>60</v>
      </c>
      <c r="I18" s="49" t="s">
        <v>2203</v>
      </c>
      <c r="J18" s="50" t="s">
        <v>2204</v>
      </c>
      <c r="K18" s="25" t="s">
        <v>2205</v>
      </c>
      <c r="L18" s="49" t="s">
        <v>2206</v>
      </c>
      <c r="M18" s="25" t="s">
        <v>2207</v>
      </c>
      <c r="N18" s="49" t="s">
        <v>2208</v>
      </c>
      <c r="O18" s="25"/>
      <c r="P18" s="49"/>
      <c r="Q18" s="49"/>
      <c r="R18" s="50" t="s">
        <v>48</v>
      </c>
      <c r="S18" s="52" t="s">
        <v>69</v>
      </c>
    </row>
    <row r="19" customFormat="false" ht="15" hidden="false" customHeight="true" outlineLevel="0" collapsed="false">
      <c r="A19" s="46" t="n">
        <v>15</v>
      </c>
      <c r="B19" s="24" t="s">
        <v>2209</v>
      </c>
      <c r="C19" s="47"/>
      <c r="D19" s="47" t="s">
        <v>2209</v>
      </c>
      <c r="E19" s="46" t="s">
        <v>19</v>
      </c>
      <c r="F19" s="46" t="s">
        <v>2104</v>
      </c>
      <c r="G19" s="24" t="s">
        <v>2210</v>
      </c>
      <c r="H19" s="48" t="n">
        <v>220</v>
      </c>
      <c r="I19" s="46" t="s">
        <v>2211</v>
      </c>
      <c r="J19" s="47" t="s">
        <v>2212</v>
      </c>
      <c r="K19" s="24" t="s">
        <v>2213</v>
      </c>
      <c r="L19" s="46" t="s">
        <v>2214</v>
      </c>
      <c r="M19" s="24" t="s">
        <v>2215</v>
      </c>
      <c r="N19" s="46" t="s">
        <v>2216</v>
      </c>
      <c r="O19" s="24"/>
      <c r="P19" s="46"/>
      <c r="Q19" s="46"/>
      <c r="R19" s="47" t="s">
        <v>48</v>
      </c>
      <c r="S19" s="52" t="s">
        <v>69</v>
      </c>
    </row>
    <row r="20" customFormat="false" ht="15" hidden="false" customHeight="true" outlineLevel="0" collapsed="false">
      <c r="A20" s="49" t="n">
        <v>16</v>
      </c>
      <c r="B20" s="25" t="s">
        <v>2217</v>
      </c>
      <c r="C20" s="50"/>
      <c r="D20" s="50" t="s">
        <v>2218</v>
      </c>
      <c r="E20" s="49" t="s">
        <v>19</v>
      </c>
      <c r="F20" s="49" t="s">
        <v>2104</v>
      </c>
      <c r="G20" s="25" t="s">
        <v>2219</v>
      </c>
      <c r="H20" s="51" t="n">
        <v>33</v>
      </c>
      <c r="I20" s="49" t="s">
        <v>2220</v>
      </c>
      <c r="J20" s="50" t="s">
        <v>2221</v>
      </c>
      <c r="K20" s="25" t="s">
        <v>2222</v>
      </c>
      <c r="L20" s="49" t="s">
        <v>2223</v>
      </c>
      <c r="M20" s="25" t="s">
        <v>2215</v>
      </c>
      <c r="N20" s="49" t="s">
        <v>2216</v>
      </c>
      <c r="O20" s="25"/>
      <c r="P20" s="49"/>
      <c r="Q20" s="49"/>
      <c r="R20" s="50" t="s">
        <v>48</v>
      </c>
      <c r="S20" s="52" t="s">
        <v>69</v>
      </c>
    </row>
    <row r="21" customFormat="false" ht="15" hidden="false" customHeight="true" outlineLevel="0" collapsed="false">
      <c r="A21" s="46" t="n">
        <v>17</v>
      </c>
      <c r="B21" s="24" t="s">
        <v>22</v>
      </c>
      <c r="C21" s="47"/>
      <c r="D21" s="47" t="s">
        <v>22</v>
      </c>
      <c r="E21" s="46" t="s">
        <v>22</v>
      </c>
      <c r="F21" s="46" t="s">
        <v>2104</v>
      </c>
      <c r="G21" s="24" t="s">
        <v>2169</v>
      </c>
      <c r="H21" s="48" t="n">
        <v>33</v>
      </c>
      <c r="I21" s="46" t="s">
        <v>2224</v>
      </c>
      <c r="J21" s="47" t="s">
        <v>2225</v>
      </c>
      <c r="K21" s="24" t="s">
        <v>2226</v>
      </c>
      <c r="L21" s="46" t="s">
        <v>2227</v>
      </c>
      <c r="M21" s="24" t="s">
        <v>2228</v>
      </c>
      <c r="N21" s="46" t="s">
        <v>2229</v>
      </c>
      <c r="O21" s="24"/>
      <c r="P21" s="46"/>
      <c r="Q21" s="46"/>
      <c r="R21" s="47" t="s">
        <v>48</v>
      </c>
      <c r="S21" s="52" t="s">
        <v>69</v>
      </c>
    </row>
    <row r="22" customFormat="false" ht="15" hidden="false" customHeight="true" outlineLevel="0" collapsed="false">
      <c r="A22" s="49" t="n">
        <v>18</v>
      </c>
      <c r="B22" s="25" t="s">
        <v>22</v>
      </c>
      <c r="C22" s="50"/>
      <c r="D22" s="50" t="s">
        <v>22</v>
      </c>
      <c r="E22" s="49" t="s">
        <v>22</v>
      </c>
      <c r="F22" s="49" t="s">
        <v>2104</v>
      </c>
      <c r="G22" s="25" t="s">
        <v>2230</v>
      </c>
      <c r="H22" s="51" t="n">
        <v>85</v>
      </c>
      <c r="I22" s="49" t="s">
        <v>2231</v>
      </c>
      <c r="J22" s="50" t="s">
        <v>2232</v>
      </c>
      <c r="K22" s="25" t="s">
        <v>2233</v>
      </c>
      <c r="L22" s="49" t="s">
        <v>2234</v>
      </c>
      <c r="M22" s="25" t="s">
        <v>2228</v>
      </c>
      <c r="N22" s="49" t="s">
        <v>2229</v>
      </c>
      <c r="O22" s="25"/>
      <c r="P22" s="49"/>
      <c r="Q22" s="49"/>
      <c r="R22" s="50" t="s">
        <v>48</v>
      </c>
      <c r="S22" s="52" t="s">
        <v>69</v>
      </c>
    </row>
    <row r="23" customFormat="false" ht="15" hidden="false" customHeight="true" outlineLevel="0" collapsed="false">
      <c r="A23" s="46" t="n">
        <v>19</v>
      </c>
      <c r="B23" s="24" t="s">
        <v>22</v>
      </c>
      <c r="C23" s="47"/>
      <c r="D23" s="47" t="s">
        <v>22</v>
      </c>
      <c r="E23" s="46" t="s">
        <v>22</v>
      </c>
      <c r="F23" s="46" t="s">
        <v>2104</v>
      </c>
      <c r="G23" s="24" t="s">
        <v>2115</v>
      </c>
      <c r="H23" s="48" t="n">
        <v>60</v>
      </c>
      <c r="I23" s="46" t="s">
        <v>2235</v>
      </c>
      <c r="J23" s="47" t="s">
        <v>2236</v>
      </c>
      <c r="K23" s="24" t="s">
        <v>2237</v>
      </c>
      <c r="L23" s="46" t="s">
        <v>2238</v>
      </c>
      <c r="M23" s="24" t="s">
        <v>2228</v>
      </c>
      <c r="N23" s="46" t="s">
        <v>2229</v>
      </c>
      <c r="O23" s="24"/>
      <c r="P23" s="46"/>
      <c r="Q23" s="46"/>
      <c r="R23" s="47" t="s">
        <v>48</v>
      </c>
      <c r="S23" s="52" t="s">
        <v>69</v>
      </c>
    </row>
    <row r="24" customFormat="false" ht="15" hidden="false" customHeight="true" outlineLevel="0" collapsed="false">
      <c r="A24" s="49" t="n">
        <v>20</v>
      </c>
      <c r="B24" s="25" t="s">
        <v>22</v>
      </c>
      <c r="C24" s="50"/>
      <c r="D24" s="50" t="s">
        <v>22</v>
      </c>
      <c r="E24" s="49" t="s">
        <v>22</v>
      </c>
      <c r="F24" s="49" t="s">
        <v>2104</v>
      </c>
      <c r="G24" s="25" t="s">
        <v>2239</v>
      </c>
      <c r="H24" s="51" t="n">
        <v>220</v>
      </c>
      <c r="I24" s="49" t="s">
        <v>2235</v>
      </c>
      <c r="J24" s="50" t="s">
        <v>2240</v>
      </c>
      <c r="K24" s="25" t="s">
        <v>2241</v>
      </c>
      <c r="L24" s="49" t="s">
        <v>2242</v>
      </c>
      <c r="M24" s="25" t="s">
        <v>2228</v>
      </c>
      <c r="N24" s="49" t="s">
        <v>2229</v>
      </c>
      <c r="O24" s="25"/>
      <c r="P24" s="49"/>
      <c r="Q24" s="49"/>
      <c r="R24" s="50" t="s">
        <v>48</v>
      </c>
      <c r="S24" s="52" t="s">
        <v>69</v>
      </c>
    </row>
    <row r="25" customFormat="false" ht="15" hidden="false" customHeight="true" outlineLevel="0" collapsed="false">
      <c r="A25" s="46" t="n">
        <v>21</v>
      </c>
      <c r="B25" s="24" t="s">
        <v>2243</v>
      </c>
      <c r="C25" s="47"/>
      <c r="D25" s="47" t="s">
        <v>2243</v>
      </c>
      <c r="E25" s="46" t="s">
        <v>20</v>
      </c>
      <c r="F25" s="46" t="s">
        <v>2104</v>
      </c>
      <c r="G25" s="24" t="s">
        <v>2131</v>
      </c>
      <c r="H25" s="48" t="n">
        <v>33</v>
      </c>
      <c r="I25" s="46" t="s">
        <v>2220</v>
      </c>
      <c r="J25" s="47" t="s">
        <v>2244</v>
      </c>
      <c r="K25" s="24" t="s">
        <v>2245</v>
      </c>
      <c r="L25" s="46" t="s">
        <v>2246</v>
      </c>
      <c r="M25" s="24" t="s">
        <v>1503</v>
      </c>
      <c r="N25" s="46" t="s">
        <v>2247</v>
      </c>
      <c r="O25" s="24"/>
      <c r="P25" s="46"/>
      <c r="Q25" s="46"/>
      <c r="R25" s="47" t="s">
        <v>48</v>
      </c>
      <c r="S25" s="52" t="s">
        <v>69</v>
      </c>
    </row>
    <row r="26" customFormat="false" ht="15" hidden="false" customHeight="true" outlineLevel="0" collapsed="false">
      <c r="A26" s="49" t="n">
        <v>22</v>
      </c>
      <c r="B26" s="25" t="s">
        <v>2217</v>
      </c>
      <c r="C26" s="50"/>
      <c r="D26" s="50" t="s">
        <v>2248</v>
      </c>
      <c r="E26" s="49" t="s">
        <v>20</v>
      </c>
      <c r="F26" s="49" t="s">
        <v>2104</v>
      </c>
      <c r="G26" s="25" t="s">
        <v>2105</v>
      </c>
      <c r="H26" s="51" t="n">
        <v>85</v>
      </c>
      <c r="I26" s="49" t="s">
        <v>2249</v>
      </c>
      <c r="J26" s="50" t="s">
        <v>2250</v>
      </c>
      <c r="K26" s="25" t="s">
        <v>2251</v>
      </c>
      <c r="L26" s="49" t="s">
        <v>2252</v>
      </c>
      <c r="M26" s="25" t="s">
        <v>1503</v>
      </c>
      <c r="N26" s="49" t="s">
        <v>2247</v>
      </c>
      <c r="O26" s="25"/>
      <c r="P26" s="49"/>
      <c r="Q26" s="49"/>
      <c r="R26" s="50" t="s">
        <v>48</v>
      </c>
      <c r="S26" s="52" t="s">
        <v>69</v>
      </c>
    </row>
    <row r="27" customFormat="false" ht="15" hidden="false" customHeight="true" outlineLevel="0" collapsed="false">
      <c r="A27" s="46" t="n">
        <v>23</v>
      </c>
      <c r="B27" s="24" t="s">
        <v>2243</v>
      </c>
      <c r="C27" s="47"/>
      <c r="D27" s="47" t="s">
        <v>2243</v>
      </c>
      <c r="E27" s="46" t="s">
        <v>20</v>
      </c>
      <c r="F27" s="46" t="s">
        <v>2104</v>
      </c>
      <c r="G27" s="24" t="s">
        <v>2115</v>
      </c>
      <c r="H27" s="48" t="n">
        <v>60</v>
      </c>
      <c r="I27" s="46" t="s">
        <v>2211</v>
      </c>
      <c r="J27" s="47" t="s">
        <v>2253</v>
      </c>
      <c r="K27" s="24" t="s">
        <v>2254</v>
      </c>
      <c r="L27" s="46" t="s">
        <v>2255</v>
      </c>
      <c r="M27" s="24" t="s">
        <v>1503</v>
      </c>
      <c r="N27" s="46" t="s">
        <v>2247</v>
      </c>
      <c r="O27" s="24"/>
      <c r="P27" s="46"/>
      <c r="Q27" s="46"/>
      <c r="R27" s="47" t="s">
        <v>48</v>
      </c>
      <c r="S27" s="52" t="s">
        <v>69</v>
      </c>
    </row>
    <row r="28" customFormat="false" ht="15" hidden="false" customHeight="true" outlineLevel="0" collapsed="false">
      <c r="A28" s="49" t="n">
        <v>24</v>
      </c>
      <c r="B28" s="25" t="s">
        <v>2248</v>
      </c>
      <c r="C28" s="50"/>
      <c r="D28" s="50" t="s">
        <v>2248</v>
      </c>
      <c r="E28" s="49" t="s">
        <v>20</v>
      </c>
      <c r="F28" s="49" t="s">
        <v>2104</v>
      </c>
      <c r="G28" s="25" t="s">
        <v>2123</v>
      </c>
      <c r="H28" s="51" t="n">
        <v>220</v>
      </c>
      <c r="I28" s="49" t="s">
        <v>2256</v>
      </c>
      <c r="J28" s="50" t="s">
        <v>2257</v>
      </c>
      <c r="K28" s="25" t="s">
        <v>2258</v>
      </c>
      <c r="L28" s="49" t="s">
        <v>2259</v>
      </c>
      <c r="M28" s="25" t="s">
        <v>1503</v>
      </c>
      <c r="N28" s="49" t="s">
        <v>2247</v>
      </c>
      <c r="O28" s="25"/>
      <c r="P28" s="49"/>
      <c r="Q28" s="49"/>
      <c r="R28" s="50" t="s">
        <v>48</v>
      </c>
      <c r="S28" s="52" t="s">
        <v>69</v>
      </c>
    </row>
    <row r="29" customFormat="false" ht="15" hidden="false" customHeight="true" outlineLevel="0" collapsed="false">
      <c r="A29" s="46" t="n">
        <v>25</v>
      </c>
      <c r="B29" s="24" t="s">
        <v>2260</v>
      </c>
      <c r="C29" s="47"/>
      <c r="D29" s="47" t="s">
        <v>23</v>
      </c>
      <c r="E29" s="46" t="s">
        <v>23</v>
      </c>
      <c r="F29" s="46" t="s">
        <v>2104</v>
      </c>
      <c r="G29" s="24" t="s">
        <v>2261</v>
      </c>
      <c r="H29" s="48" t="n">
        <v>33</v>
      </c>
      <c r="I29" s="46" t="s">
        <v>2262</v>
      </c>
      <c r="J29" s="47" t="s">
        <v>2263</v>
      </c>
      <c r="K29" s="24" t="s">
        <v>2264</v>
      </c>
      <c r="L29" s="46" t="s">
        <v>2265</v>
      </c>
      <c r="M29" s="24" t="s">
        <v>2266</v>
      </c>
      <c r="N29" s="46" t="s">
        <v>2267</v>
      </c>
      <c r="O29" s="24"/>
      <c r="P29" s="46"/>
      <c r="Q29" s="46"/>
      <c r="R29" s="47" t="s">
        <v>48</v>
      </c>
      <c r="S29" s="52" t="s">
        <v>69</v>
      </c>
    </row>
    <row r="30" customFormat="false" ht="15" hidden="false" customHeight="true" outlineLevel="0" collapsed="false">
      <c r="A30" s="49" t="n">
        <v>26</v>
      </c>
      <c r="B30" s="25" t="s">
        <v>2268</v>
      </c>
      <c r="C30" s="50"/>
      <c r="D30" s="50" t="s">
        <v>2268</v>
      </c>
      <c r="E30" s="49" t="s">
        <v>23</v>
      </c>
      <c r="F30" s="49" t="s">
        <v>2104</v>
      </c>
      <c r="G30" s="25" t="s">
        <v>2269</v>
      </c>
      <c r="H30" s="51" t="n">
        <v>85</v>
      </c>
      <c r="I30" s="49" t="s">
        <v>2146</v>
      </c>
      <c r="J30" s="50" t="s">
        <v>2270</v>
      </c>
      <c r="K30" s="25" t="s">
        <v>2271</v>
      </c>
      <c r="L30" s="49" t="s">
        <v>2272</v>
      </c>
      <c r="M30" s="25" t="s">
        <v>2266</v>
      </c>
      <c r="N30" s="49" t="s">
        <v>2267</v>
      </c>
      <c r="O30" s="25"/>
      <c r="P30" s="49"/>
      <c r="Q30" s="49"/>
      <c r="R30" s="50" t="s">
        <v>48</v>
      </c>
      <c r="S30" s="52" t="s">
        <v>69</v>
      </c>
    </row>
    <row r="31" customFormat="false" ht="15" hidden="false" customHeight="true" outlineLevel="0" collapsed="false">
      <c r="A31" s="46" t="n">
        <v>27</v>
      </c>
      <c r="B31" s="24" t="s">
        <v>2260</v>
      </c>
      <c r="C31" s="47"/>
      <c r="D31" s="47" t="s">
        <v>23</v>
      </c>
      <c r="E31" s="46" t="s">
        <v>23</v>
      </c>
      <c r="F31" s="46" t="s">
        <v>2104</v>
      </c>
      <c r="G31" s="24" t="s">
        <v>2202</v>
      </c>
      <c r="H31" s="48" t="n">
        <v>60</v>
      </c>
      <c r="I31" s="46" t="s">
        <v>2273</v>
      </c>
      <c r="J31" s="47" t="s">
        <v>2274</v>
      </c>
      <c r="K31" s="24" t="s">
        <v>2275</v>
      </c>
      <c r="L31" s="46" t="s">
        <v>2276</v>
      </c>
      <c r="M31" s="24" t="s">
        <v>2266</v>
      </c>
      <c r="N31" s="46" t="s">
        <v>2267</v>
      </c>
      <c r="O31" s="24"/>
      <c r="P31" s="46"/>
      <c r="Q31" s="46"/>
      <c r="R31" s="47" t="s">
        <v>48</v>
      </c>
      <c r="S31" s="52" t="s">
        <v>69</v>
      </c>
    </row>
    <row r="32" customFormat="false" ht="15" hidden="false" customHeight="true" outlineLevel="0" collapsed="false">
      <c r="A32" s="49" t="n">
        <v>28</v>
      </c>
      <c r="B32" s="25" t="s">
        <v>2268</v>
      </c>
      <c r="C32" s="50"/>
      <c r="D32" s="50" t="s">
        <v>2268</v>
      </c>
      <c r="E32" s="49" t="s">
        <v>23</v>
      </c>
      <c r="F32" s="49" t="s">
        <v>2104</v>
      </c>
      <c r="G32" s="25" t="s">
        <v>2277</v>
      </c>
      <c r="H32" s="51" t="n">
        <v>220</v>
      </c>
      <c r="I32" s="49" t="s">
        <v>2278</v>
      </c>
      <c r="J32" s="50" t="s">
        <v>2279</v>
      </c>
      <c r="K32" s="25" t="s">
        <v>2280</v>
      </c>
      <c r="L32" s="49" t="s">
        <v>2281</v>
      </c>
      <c r="M32" s="25" t="s">
        <v>2266</v>
      </c>
      <c r="N32" s="49" t="s">
        <v>2267</v>
      </c>
      <c r="O32" s="25"/>
      <c r="P32" s="49"/>
      <c r="Q32" s="49"/>
      <c r="R32" s="50" t="s">
        <v>48</v>
      </c>
      <c r="S32" s="52" t="s">
        <v>69</v>
      </c>
    </row>
    <row r="33" customFormat="false" ht="15" hidden="false" customHeight="true" outlineLevel="0" collapsed="false">
      <c r="A33" s="46" t="n">
        <v>29</v>
      </c>
      <c r="B33" s="24" t="s">
        <v>2282</v>
      </c>
      <c r="C33" s="47"/>
      <c r="D33" s="47" t="s">
        <v>2282</v>
      </c>
      <c r="E33" s="46" t="s">
        <v>18</v>
      </c>
      <c r="F33" s="46" t="s">
        <v>2104</v>
      </c>
      <c r="G33" s="24" t="s">
        <v>2131</v>
      </c>
      <c r="H33" s="48" t="n">
        <v>33</v>
      </c>
      <c r="I33" s="46" t="s">
        <v>2154</v>
      </c>
      <c r="J33" s="47" t="s">
        <v>2283</v>
      </c>
      <c r="K33" s="24" t="s">
        <v>2284</v>
      </c>
      <c r="L33" s="46" t="s">
        <v>2285</v>
      </c>
      <c r="M33" s="24" t="s">
        <v>2286</v>
      </c>
      <c r="N33" s="46" t="s">
        <v>2287</v>
      </c>
      <c r="O33" s="24"/>
      <c r="P33" s="46"/>
      <c r="Q33" s="46"/>
      <c r="R33" s="47" t="s">
        <v>48</v>
      </c>
      <c r="S33" s="52" t="s">
        <v>69</v>
      </c>
    </row>
    <row r="34" customFormat="false" ht="15" hidden="false" customHeight="true" outlineLevel="0" collapsed="false">
      <c r="A34" s="49" t="n">
        <v>30</v>
      </c>
      <c r="B34" s="25" t="s">
        <v>18</v>
      </c>
      <c r="C34" s="50"/>
      <c r="D34" s="50" t="s">
        <v>18</v>
      </c>
      <c r="E34" s="49" t="s">
        <v>18</v>
      </c>
      <c r="F34" s="49" t="s">
        <v>2104</v>
      </c>
      <c r="G34" s="25" t="s">
        <v>2195</v>
      </c>
      <c r="H34" s="51" t="n">
        <v>85</v>
      </c>
      <c r="I34" s="49" t="s">
        <v>2124</v>
      </c>
      <c r="J34" s="50" t="s">
        <v>2288</v>
      </c>
      <c r="K34" s="25" t="s">
        <v>2289</v>
      </c>
      <c r="L34" s="49" t="s">
        <v>2290</v>
      </c>
      <c r="M34" s="25" t="s">
        <v>2286</v>
      </c>
      <c r="N34" s="49" t="s">
        <v>2287</v>
      </c>
      <c r="O34" s="25"/>
      <c r="P34" s="49"/>
      <c r="Q34" s="49"/>
      <c r="R34" s="50" t="s">
        <v>48</v>
      </c>
      <c r="S34" s="52" t="s">
        <v>69</v>
      </c>
    </row>
    <row r="35" customFormat="false" ht="15" hidden="false" customHeight="true" outlineLevel="0" collapsed="false">
      <c r="A35" s="46" t="n">
        <v>31</v>
      </c>
      <c r="B35" s="24" t="s">
        <v>18</v>
      </c>
      <c r="C35" s="47"/>
      <c r="D35" s="47" t="s">
        <v>18</v>
      </c>
      <c r="E35" s="46" t="s">
        <v>18</v>
      </c>
      <c r="F35" s="46" t="s">
        <v>2104</v>
      </c>
      <c r="G35" s="24" t="s">
        <v>2115</v>
      </c>
      <c r="H35" s="48" t="n">
        <v>60</v>
      </c>
      <c r="I35" s="46" t="s">
        <v>2116</v>
      </c>
      <c r="J35" s="47" t="s">
        <v>2291</v>
      </c>
      <c r="K35" s="24" t="s">
        <v>2292</v>
      </c>
      <c r="L35" s="46" t="s">
        <v>2293</v>
      </c>
      <c r="M35" s="24" t="s">
        <v>2286</v>
      </c>
      <c r="N35" s="46" t="s">
        <v>2287</v>
      </c>
      <c r="O35" s="24"/>
      <c r="P35" s="46"/>
      <c r="Q35" s="46"/>
      <c r="R35" s="47" t="s">
        <v>48</v>
      </c>
      <c r="S35" s="52" t="s">
        <v>69</v>
      </c>
    </row>
    <row r="36" customFormat="false" ht="15" hidden="false" customHeight="true" outlineLevel="0" collapsed="false">
      <c r="A36" s="49" t="n">
        <v>32</v>
      </c>
      <c r="B36" s="25" t="s">
        <v>18</v>
      </c>
      <c r="C36" s="50"/>
      <c r="D36" s="50" t="s">
        <v>18</v>
      </c>
      <c r="E36" s="49" t="s">
        <v>18</v>
      </c>
      <c r="F36" s="49" t="s">
        <v>2104</v>
      </c>
      <c r="G36" s="25" t="s">
        <v>2210</v>
      </c>
      <c r="H36" s="51" t="n">
        <v>220</v>
      </c>
      <c r="I36" s="49" t="s">
        <v>2294</v>
      </c>
      <c r="J36" s="50" t="s">
        <v>2295</v>
      </c>
      <c r="K36" s="25" t="s">
        <v>2296</v>
      </c>
      <c r="L36" s="49" t="s">
        <v>2297</v>
      </c>
      <c r="M36" s="25" t="s">
        <v>2286</v>
      </c>
      <c r="N36" s="49" t="s">
        <v>2287</v>
      </c>
      <c r="O36" s="25"/>
      <c r="P36" s="49"/>
      <c r="Q36" s="49"/>
      <c r="R36" s="50" t="s">
        <v>48</v>
      </c>
      <c r="S36" s="52" t="s">
        <v>69</v>
      </c>
    </row>
    <row r="37" customFormat="false" ht="15" hidden="false" customHeight="true" outlineLevel="0" collapsed="false">
      <c r="A37" s="46" t="n">
        <v>33</v>
      </c>
      <c r="B37" s="24" t="s">
        <v>2298</v>
      </c>
      <c r="C37" s="47"/>
      <c r="D37" s="47" t="s">
        <v>2298</v>
      </c>
      <c r="E37" s="46" t="s">
        <v>24</v>
      </c>
      <c r="F37" s="46" t="s">
        <v>2104</v>
      </c>
      <c r="G37" s="24" t="s">
        <v>2169</v>
      </c>
      <c r="H37" s="48" t="n">
        <v>33</v>
      </c>
      <c r="I37" s="46" t="s">
        <v>2299</v>
      </c>
      <c r="J37" s="47" t="s">
        <v>2300</v>
      </c>
      <c r="K37" s="24" t="s">
        <v>2301</v>
      </c>
      <c r="L37" s="46" t="s">
        <v>2302</v>
      </c>
      <c r="M37" s="24" t="s">
        <v>2303</v>
      </c>
      <c r="N37" s="46" t="s">
        <v>2304</v>
      </c>
      <c r="O37" s="24"/>
      <c r="P37" s="46"/>
      <c r="Q37" s="46"/>
      <c r="R37" s="47" t="s">
        <v>48</v>
      </c>
      <c r="S37" s="52" t="s">
        <v>69</v>
      </c>
    </row>
    <row r="38" customFormat="false" ht="15" hidden="false" customHeight="true" outlineLevel="0" collapsed="false">
      <c r="A38" s="49" t="n">
        <v>34</v>
      </c>
      <c r="B38" s="25" t="s">
        <v>2305</v>
      </c>
      <c r="C38" s="50"/>
      <c r="D38" s="50" t="s">
        <v>24</v>
      </c>
      <c r="E38" s="49" t="s">
        <v>24</v>
      </c>
      <c r="F38" s="49" t="s">
        <v>2104</v>
      </c>
      <c r="G38" s="25" t="s">
        <v>2105</v>
      </c>
      <c r="H38" s="51" t="n">
        <v>85</v>
      </c>
      <c r="I38" s="49" t="s">
        <v>2306</v>
      </c>
      <c r="J38" s="50" t="s">
        <v>2307</v>
      </c>
      <c r="K38" s="25" t="s">
        <v>2308</v>
      </c>
      <c r="L38" s="49" t="s">
        <v>2309</v>
      </c>
      <c r="M38" s="25" t="s">
        <v>2303</v>
      </c>
      <c r="N38" s="49" t="s">
        <v>2304</v>
      </c>
      <c r="O38" s="25"/>
      <c r="P38" s="49"/>
      <c r="Q38" s="49"/>
      <c r="R38" s="50" t="s">
        <v>48</v>
      </c>
      <c r="S38" s="52" t="s">
        <v>69</v>
      </c>
    </row>
    <row r="39" customFormat="false" ht="15" hidden="false" customHeight="true" outlineLevel="0" collapsed="false">
      <c r="A39" s="46" t="n">
        <v>35</v>
      </c>
      <c r="B39" s="24" t="s">
        <v>24</v>
      </c>
      <c r="C39" s="47"/>
      <c r="D39" s="47" t="s">
        <v>24</v>
      </c>
      <c r="E39" s="46" t="s">
        <v>24</v>
      </c>
      <c r="F39" s="46" t="s">
        <v>2104</v>
      </c>
      <c r="G39" s="24" t="s">
        <v>2115</v>
      </c>
      <c r="H39" s="48" t="n">
        <v>60</v>
      </c>
      <c r="I39" s="46" t="s">
        <v>2310</v>
      </c>
      <c r="J39" s="47" t="s">
        <v>2311</v>
      </c>
      <c r="K39" s="24" t="s">
        <v>2312</v>
      </c>
      <c r="L39" s="46" t="s">
        <v>2313</v>
      </c>
      <c r="M39" s="24" t="s">
        <v>2303</v>
      </c>
      <c r="N39" s="46" t="s">
        <v>2304</v>
      </c>
      <c r="O39" s="24"/>
      <c r="P39" s="46"/>
      <c r="Q39" s="46"/>
      <c r="R39" s="47" t="s">
        <v>48</v>
      </c>
      <c r="S39" s="52" t="s">
        <v>69</v>
      </c>
    </row>
    <row r="40" customFormat="false" ht="15" hidden="false" customHeight="true" outlineLevel="0" collapsed="false">
      <c r="A40" s="49" t="n">
        <v>36</v>
      </c>
      <c r="B40" s="25" t="s">
        <v>2298</v>
      </c>
      <c r="C40" s="50"/>
      <c r="D40" s="50" t="s">
        <v>2298</v>
      </c>
      <c r="E40" s="49" t="s">
        <v>24</v>
      </c>
      <c r="F40" s="49" t="s">
        <v>2104</v>
      </c>
      <c r="G40" s="25" t="s">
        <v>2123</v>
      </c>
      <c r="H40" s="51" t="n">
        <v>220</v>
      </c>
      <c r="I40" s="49" t="s">
        <v>2314</v>
      </c>
      <c r="J40" s="50" t="s">
        <v>2315</v>
      </c>
      <c r="K40" s="25" t="s">
        <v>2316</v>
      </c>
      <c r="L40" s="49" t="s">
        <v>2317</v>
      </c>
      <c r="M40" s="25" t="s">
        <v>2303</v>
      </c>
      <c r="N40" s="49" t="s">
        <v>2304</v>
      </c>
      <c r="O40" s="25"/>
      <c r="P40" s="49"/>
      <c r="Q40" s="49"/>
      <c r="R40" s="50" t="s">
        <v>48</v>
      </c>
      <c r="S40" s="52" t="s">
        <v>69</v>
      </c>
    </row>
    <row r="41" customFormat="false" ht="15" hidden="false" customHeight="true" outlineLevel="0" collapsed="false">
      <c r="A41" s="46" t="n">
        <v>37</v>
      </c>
      <c r="B41" s="24" t="s">
        <v>2130</v>
      </c>
      <c r="C41" s="47"/>
      <c r="D41" s="47" t="s">
        <v>2103</v>
      </c>
      <c r="E41" s="46" t="s">
        <v>21</v>
      </c>
      <c r="F41" s="46" t="s">
        <v>2104</v>
      </c>
      <c r="G41" s="24" t="s">
        <v>2318</v>
      </c>
      <c r="H41" s="48" t="n">
        <v>30</v>
      </c>
      <c r="I41" s="46" t="s">
        <v>2319</v>
      </c>
      <c r="J41" s="47" t="s">
        <v>2320</v>
      </c>
      <c r="K41" s="24" t="s">
        <v>2321</v>
      </c>
      <c r="L41" s="46" t="s">
        <v>2322</v>
      </c>
      <c r="M41" s="24" t="s">
        <v>2323</v>
      </c>
      <c r="N41" s="46"/>
      <c r="O41" s="24" t="s">
        <v>2324</v>
      </c>
      <c r="P41" s="46" t="s">
        <v>2325</v>
      </c>
      <c r="Q41" s="46"/>
      <c r="R41" s="47" t="s">
        <v>48</v>
      </c>
      <c r="S41" s="47"/>
    </row>
    <row r="42" customFormat="false" ht="15" hidden="false" customHeight="true" outlineLevel="0" collapsed="false">
      <c r="A42" s="49" t="n">
        <v>38</v>
      </c>
      <c r="B42" s="25" t="s">
        <v>2130</v>
      </c>
      <c r="C42" s="50"/>
      <c r="D42" s="50" t="s">
        <v>2103</v>
      </c>
      <c r="E42" s="49" t="s">
        <v>21</v>
      </c>
      <c r="F42" s="49" t="s">
        <v>2104</v>
      </c>
      <c r="G42" s="25" t="s">
        <v>2326</v>
      </c>
      <c r="H42" s="51" t="n">
        <v>5</v>
      </c>
      <c r="I42" s="49" t="s">
        <v>2327</v>
      </c>
      <c r="J42" s="50" t="s">
        <v>2328</v>
      </c>
      <c r="K42" s="25" t="s">
        <v>2329</v>
      </c>
      <c r="L42" s="49" t="s">
        <v>2330</v>
      </c>
      <c r="M42" s="25" t="s">
        <v>2331</v>
      </c>
      <c r="N42" s="49" t="s">
        <v>2332</v>
      </c>
      <c r="O42" s="25" t="s">
        <v>2333</v>
      </c>
      <c r="P42" s="49" t="s">
        <v>2334</v>
      </c>
      <c r="Q42" s="49"/>
      <c r="R42" s="50" t="s">
        <v>48</v>
      </c>
      <c r="S42" s="50"/>
    </row>
    <row r="43" customFormat="false" ht="15" hidden="false" customHeight="true" outlineLevel="0" collapsed="false">
      <c r="A43" s="46" t="n">
        <v>39</v>
      </c>
      <c r="B43" s="24" t="s">
        <v>2130</v>
      </c>
      <c r="C43" s="47"/>
      <c r="D43" s="47" t="s">
        <v>2103</v>
      </c>
      <c r="E43" s="46" t="s">
        <v>21</v>
      </c>
      <c r="F43" s="46" t="s">
        <v>2104</v>
      </c>
      <c r="G43" s="24" t="s">
        <v>2335</v>
      </c>
      <c r="H43" s="48" t="n">
        <v>5</v>
      </c>
      <c r="I43" s="46" t="s">
        <v>2336</v>
      </c>
      <c r="J43" s="47" t="s">
        <v>2337</v>
      </c>
      <c r="K43" s="24" t="s">
        <v>2338</v>
      </c>
      <c r="L43" s="46" t="s">
        <v>2339</v>
      </c>
      <c r="M43" s="24" t="s">
        <v>2340</v>
      </c>
      <c r="N43" s="46" t="s">
        <v>2341</v>
      </c>
      <c r="O43" s="24" t="s">
        <v>2342</v>
      </c>
      <c r="P43" s="46" t="s">
        <v>2343</v>
      </c>
      <c r="Q43" s="46"/>
      <c r="R43" s="47" t="s">
        <v>48</v>
      </c>
      <c r="S43" s="47"/>
    </row>
    <row r="44" customFormat="false" ht="15" hidden="false" customHeight="true" outlineLevel="0" collapsed="false">
      <c r="A44" s="49" t="n">
        <v>40</v>
      </c>
      <c r="B44" s="25" t="s">
        <v>2130</v>
      </c>
      <c r="C44" s="50"/>
      <c r="D44" s="50" t="s">
        <v>2103</v>
      </c>
      <c r="E44" s="49" t="s">
        <v>21</v>
      </c>
      <c r="F44" s="49" t="s">
        <v>2104</v>
      </c>
      <c r="G44" s="25" t="s">
        <v>2344</v>
      </c>
      <c r="H44" s="51" t="n">
        <v>33</v>
      </c>
      <c r="I44" s="49" t="s">
        <v>2345</v>
      </c>
      <c r="J44" s="50" t="s">
        <v>2346</v>
      </c>
      <c r="K44" s="25" t="s">
        <v>2347</v>
      </c>
      <c r="L44" s="49" t="s">
        <v>2216</v>
      </c>
      <c r="M44" s="25"/>
      <c r="N44" s="49"/>
      <c r="O44" s="25" t="s">
        <v>2348</v>
      </c>
      <c r="P44" s="49" t="s">
        <v>2349</v>
      </c>
      <c r="Q44" s="49"/>
      <c r="R44" s="50" t="s">
        <v>48</v>
      </c>
      <c r="S44" s="50"/>
    </row>
    <row r="45" customFormat="false" ht="15" hidden="false" customHeight="true" outlineLevel="0" collapsed="false">
      <c r="A45" s="46" t="n">
        <v>41</v>
      </c>
      <c r="B45" s="24" t="s">
        <v>2130</v>
      </c>
      <c r="C45" s="47"/>
      <c r="D45" s="47" t="s">
        <v>2103</v>
      </c>
      <c r="E45" s="46" t="s">
        <v>21</v>
      </c>
      <c r="F45" s="46" t="s">
        <v>2104</v>
      </c>
      <c r="G45" s="24" t="s">
        <v>2335</v>
      </c>
      <c r="H45" s="48" t="n">
        <v>5</v>
      </c>
      <c r="I45" s="46" t="s">
        <v>2327</v>
      </c>
      <c r="J45" s="47" t="s">
        <v>2350</v>
      </c>
      <c r="K45" s="24" t="s">
        <v>2351</v>
      </c>
      <c r="L45" s="46" t="s">
        <v>2352</v>
      </c>
      <c r="M45" s="24" t="s">
        <v>2353</v>
      </c>
      <c r="N45" s="46" t="s">
        <v>2354</v>
      </c>
      <c r="O45" s="24" t="s">
        <v>2355</v>
      </c>
      <c r="P45" s="46" t="s">
        <v>2356</v>
      </c>
      <c r="Q45" s="46"/>
      <c r="R45" s="47" t="s">
        <v>48</v>
      </c>
      <c r="S45" s="47"/>
    </row>
    <row r="46" customFormat="false" ht="15" hidden="false" customHeight="true" outlineLevel="0" collapsed="false">
      <c r="A46" s="49" t="n">
        <v>42</v>
      </c>
      <c r="B46" s="25" t="s">
        <v>2130</v>
      </c>
      <c r="C46" s="50"/>
      <c r="D46" s="50" t="s">
        <v>2103</v>
      </c>
      <c r="E46" s="49" t="s">
        <v>21</v>
      </c>
      <c r="F46" s="49" t="s">
        <v>2104</v>
      </c>
      <c r="G46" s="25" t="s">
        <v>2357</v>
      </c>
      <c r="H46" s="51" t="n">
        <v>30</v>
      </c>
      <c r="I46" s="49"/>
      <c r="J46" s="50" t="s">
        <v>2358</v>
      </c>
      <c r="K46" s="25" t="s">
        <v>2359</v>
      </c>
      <c r="L46" s="49" t="s">
        <v>2360</v>
      </c>
      <c r="M46" s="25"/>
      <c r="N46" s="49"/>
      <c r="O46" s="25" t="s">
        <v>2361</v>
      </c>
      <c r="P46" s="49" t="s">
        <v>2362</v>
      </c>
      <c r="Q46" s="49"/>
      <c r="R46" s="50" t="s">
        <v>48</v>
      </c>
      <c r="S46" s="52" t="s">
        <v>67</v>
      </c>
    </row>
    <row r="47" customFormat="false" ht="15" hidden="false" customHeight="true" outlineLevel="0" collapsed="false">
      <c r="A47" s="46" t="n">
        <v>43</v>
      </c>
      <c r="B47" s="24" t="s">
        <v>2130</v>
      </c>
      <c r="C47" s="47"/>
      <c r="D47" s="47" t="s">
        <v>2103</v>
      </c>
      <c r="E47" s="46" t="s">
        <v>21</v>
      </c>
      <c r="F47" s="46" t="s">
        <v>2104</v>
      </c>
      <c r="G47" s="24" t="s">
        <v>2335</v>
      </c>
      <c r="H47" s="48" t="n">
        <v>5</v>
      </c>
      <c r="I47" s="46" t="s">
        <v>2363</v>
      </c>
      <c r="J47" s="47" t="s">
        <v>2364</v>
      </c>
      <c r="K47" s="24" t="s">
        <v>2365</v>
      </c>
      <c r="L47" s="46" t="s">
        <v>2366</v>
      </c>
      <c r="M47" s="24" t="s">
        <v>2367</v>
      </c>
      <c r="N47" s="46"/>
      <c r="O47" s="24" t="s">
        <v>2368</v>
      </c>
      <c r="P47" s="46" t="s">
        <v>2369</v>
      </c>
      <c r="Q47" s="46"/>
      <c r="R47" s="47" t="s">
        <v>48</v>
      </c>
      <c r="S47" s="47"/>
    </row>
    <row r="48" customFormat="false" ht="15" hidden="false" customHeight="true" outlineLevel="0" collapsed="false">
      <c r="A48" s="49" t="n">
        <v>44</v>
      </c>
      <c r="B48" s="25" t="s">
        <v>2130</v>
      </c>
      <c r="C48" s="50"/>
      <c r="D48" s="50" t="s">
        <v>2103</v>
      </c>
      <c r="E48" s="49" t="s">
        <v>21</v>
      </c>
      <c r="F48" s="49" t="s">
        <v>2104</v>
      </c>
      <c r="G48" s="25" t="s">
        <v>2335</v>
      </c>
      <c r="H48" s="51" t="n">
        <v>1</v>
      </c>
      <c r="I48" s="49" t="s">
        <v>2327</v>
      </c>
      <c r="J48" s="50" t="s">
        <v>2370</v>
      </c>
      <c r="K48" s="25" t="s">
        <v>2371</v>
      </c>
      <c r="L48" s="49" t="s">
        <v>2372</v>
      </c>
      <c r="M48" s="25" t="s">
        <v>2373</v>
      </c>
      <c r="N48" s="49" t="s">
        <v>2372</v>
      </c>
      <c r="O48" s="25" t="s">
        <v>2374</v>
      </c>
      <c r="P48" s="49" t="s">
        <v>2375</v>
      </c>
      <c r="Q48" s="49"/>
      <c r="R48" s="50" t="s">
        <v>48</v>
      </c>
      <c r="S48" s="50"/>
    </row>
    <row r="49" customFormat="false" ht="15" hidden="false" customHeight="true" outlineLevel="0" collapsed="false">
      <c r="A49" s="46" t="n">
        <v>45</v>
      </c>
      <c r="B49" s="24" t="s">
        <v>2130</v>
      </c>
      <c r="C49" s="47"/>
      <c r="D49" s="47" t="s">
        <v>2103</v>
      </c>
      <c r="E49" s="46" t="s">
        <v>21</v>
      </c>
      <c r="F49" s="46" t="s">
        <v>2104</v>
      </c>
      <c r="G49" s="24" t="s">
        <v>2376</v>
      </c>
      <c r="H49" s="48" t="n">
        <v>5</v>
      </c>
      <c r="I49" s="46" t="s">
        <v>2363</v>
      </c>
      <c r="J49" s="47" t="s">
        <v>2377</v>
      </c>
      <c r="K49" s="24" t="s">
        <v>2378</v>
      </c>
      <c r="L49" s="46" t="s">
        <v>2379</v>
      </c>
      <c r="M49" s="24" t="s">
        <v>2380</v>
      </c>
      <c r="N49" s="46" t="s">
        <v>2381</v>
      </c>
      <c r="O49" s="24" t="s">
        <v>2382</v>
      </c>
      <c r="P49" s="46" t="s">
        <v>2383</v>
      </c>
      <c r="Q49" s="46"/>
      <c r="R49" s="47" t="s">
        <v>48</v>
      </c>
      <c r="S49" s="47"/>
    </row>
    <row r="50" customFormat="false" ht="15" hidden="false" customHeight="true" outlineLevel="0" collapsed="false">
      <c r="A50" s="49" t="n">
        <v>46</v>
      </c>
      <c r="B50" s="25" t="s">
        <v>2130</v>
      </c>
      <c r="C50" s="50"/>
      <c r="D50" s="50" t="s">
        <v>2103</v>
      </c>
      <c r="E50" s="49" t="s">
        <v>21</v>
      </c>
      <c r="F50" s="49" t="s">
        <v>2104</v>
      </c>
      <c r="G50" s="25" t="s">
        <v>2326</v>
      </c>
      <c r="H50" s="51" t="n">
        <v>5</v>
      </c>
      <c r="I50" s="49" t="s">
        <v>2384</v>
      </c>
      <c r="J50" s="50" t="s">
        <v>2385</v>
      </c>
      <c r="K50" s="25" t="s">
        <v>2386</v>
      </c>
      <c r="L50" s="49" t="s">
        <v>2387</v>
      </c>
      <c r="M50" s="25" t="s">
        <v>2388</v>
      </c>
      <c r="N50" s="49" t="s">
        <v>2389</v>
      </c>
      <c r="O50" s="25" t="s">
        <v>2390</v>
      </c>
      <c r="P50" s="49" t="s">
        <v>2391</v>
      </c>
      <c r="Q50" s="49"/>
      <c r="R50" s="50" t="s">
        <v>48</v>
      </c>
      <c r="S50" s="50"/>
    </row>
    <row r="51" customFormat="false" ht="15" hidden="false" customHeight="true" outlineLevel="0" collapsed="false">
      <c r="A51" s="46" t="n">
        <v>47</v>
      </c>
      <c r="B51" s="24" t="s">
        <v>2130</v>
      </c>
      <c r="C51" s="47"/>
      <c r="D51" s="47" t="s">
        <v>2103</v>
      </c>
      <c r="E51" s="46" t="s">
        <v>21</v>
      </c>
      <c r="F51" s="46" t="s">
        <v>2104</v>
      </c>
      <c r="G51" s="24" t="s">
        <v>2326</v>
      </c>
      <c r="H51" s="48" t="n">
        <v>5</v>
      </c>
      <c r="I51" s="46" t="s">
        <v>2392</v>
      </c>
      <c r="J51" s="47" t="s">
        <v>2393</v>
      </c>
      <c r="K51" s="24" t="s">
        <v>2324</v>
      </c>
      <c r="L51" s="46" t="s">
        <v>2325</v>
      </c>
      <c r="M51" s="24"/>
      <c r="N51" s="46"/>
      <c r="O51" s="24" t="s">
        <v>2394</v>
      </c>
      <c r="P51" s="46" t="s">
        <v>2325</v>
      </c>
      <c r="Q51" s="46"/>
      <c r="R51" s="47" t="s">
        <v>48</v>
      </c>
      <c r="S51" s="47"/>
    </row>
    <row r="52" customFormat="false" ht="15" hidden="false" customHeight="true" outlineLevel="0" collapsed="false">
      <c r="A52" s="49" t="n">
        <v>48</v>
      </c>
      <c r="B52" s="25" t="s">
        <v>2176</v>
      </c>
      <c r="C52" s="50"/>
      <c r="D52" s="50" t="s">
        <v>2176</v>
      </c>
      <c r="E52" s="49" t="s">
        <v>17</v>
      </c>
      <c r="F52" s="49" t="s">
        <v>2104</v>
      </c>
      <c r="G52" s="25" t="s">
        <v>2395</v>
      </c>
      <c r="H52" s="51" t="n">
        <v>5</v>
      </c>
      <c r="I52" s="49" t="s">
        <v>2396</v>
      </c>
      <c r="J52" s="50" t="s">
        <v>2397</v>
      </c>
      <c r="K52" s="25" t="s">
        <v>2398</v>
      </c>
      <c r="L52" s="49" t="s">
        <v>2399</v>
      </c>
      <c r="M52" s="25" t="s">
        <v>2400</v>
      </c>
      <c r="N52" s="49" t="s">
        <v>2401</v>
      </c>
      <c r="O52" s="25"/>
      <c r="P52" s="49"/>
      <c r="Q52" s="49"/>
      <c r="R52" s="50" t="s">
        <v>48</v>
      </c>
      <c r="S52" s="52" t="s">
        <v>69</v>
      </c>
    </row>
    <row r="53" customFormat="false" ht="15" hidden="false" customHeight="true" outlineLevel="0" collapsed="false">
      <c r="A53" s="46" t="n">
        <v>49</v>
      </c>
      <c r="B53" s="24" t="s">
        <v>2176</v>
      </c>
      <c r="C53" s="47"/>
      <c r="D53" s="47" t="s">
        <v>2176</v>
      </c>
      <c r="E53" s="46" t="s">
        <v>17</v>
      </c>
      <c r="F53" s="46" t="s">
        <v>2104</v>
      </c>
      <c r="G53" s="24" t="s">
        <v>2395</v>
      </c>
      <c r="H53" s="48" t="n">
        <v>5</v>
      </c>
      <c r="I53" s="46" t="s">
        <v>2396</v>
      </c>
      <c r="J53" s="47" t="s">
        <v>2402</v>
      </c>
      <c r="K53" s="24" t="s">
        <v>2403</v>
      </c>
      <c r="L53" s="46" t="s">
        <v>2404</v>
      </c>
      <c r="M53" s="24" t="s">
        <v>2400</v>
      </c>
      <c r="N53" s="46" t="s">
        <v>2401</v>
      </c>
      <c r="O53" s="24"/>
      <c r="P53" s="46"/>
      <c r="Q53" s="46"/>
      <c r="R53" s="47" t="s">
        <v>48</v>
      </c>
      <c r="S53" s="52" t="s">
        <v>69</v>
      </c>
    </row>
    <row r="54" customFormat="false" ht="15" hidden="false" customHeight="true" outlineLevel="0" collapsed="false">
      <c r="A54" s="49" t="n">
        <v>50</v>
      </c>
      <c r="B54" s="25" t="s">
        <v>2176</v>
      </c>
      <c r="C54" s="50"/>
      <c r="D54" s="50" t="s">
        <v>2176</v>
      </c>
      <c r="E54" s="49" t="s">
        <v>17</v>
      </c>
      <c r="F54" s="49" t="s">
        <v>2104</v>
      </c>
      <c r="G54" s="25" t="s">
        <v>2405</v>
      </c>
      <c r="H54" s="51" t="n">
        <v>5</v>
      </c>
      <c r="I54" s="49"/>
      <c r="J54" s="50" t="s">
        <v>2406</v>
      </c>
      <c r="K54" s="25" t="s">
        <v>2407</v>
      </c>
      <c r="L54" s="49" t="s">
        <v>2408</v>
      </c>
      <c r="M54" s="25" t="s">
        <v>2409</v>
      </c>
      <c r="N54" s="49" t="s">
        <v>2410</v>
      </c>
      <c r="O54" s="25" t="s">
        <v>2333</v>
      </c>
      <c r="P54" s="49" t="s">
        <v>2334</v>
      </c>
      <c r="Q54" s="49"/>
      <c r="R54" s="50" t="s">
        <v>44</v>
      </c>
      <c r="S54" s="52" t="s">
        <v>67</v>
      </c>
    </row>
    <row r="55" customFormat="false" ht="15" hidden="false" customHeight="true" outlineLevel="0" collapsed="false">
      <c r="A55" s="46" t="n">
        <v>51</v>
      </c>
      <c r="B55" s="24" t="s">
        <v>2176</v>
      </c>
      <c r="C55" s="47"/>
      <c r="D55" s="47" t="s">
        <v>2176</v>
      </c>
      <c r="E55" s="46" t="s">
        <v>17</v>
      </c>
      <c r="F55" s="46" t="s">
        <v>2104</v>
      </c>
      <c r="G55" s="24" t="s">
        <v>2405</v>
      </c>
      <c r="H55" s="48" t="n">
        <v>5</v>
      </c>
      <c r="I55" s="46"/>
      <c r="J55" s="47" t="s">
        <v>2411</v>
      </c>
      <c r="K55" s="24" t="s">
        <v>2412</v>
      </c>
      <c r="L55" s="46" t="s">
        <v>2413</v>
      </c>
      <c r="M55" s="24" t="s">
        <v>2409</v>
      </c>
      <c r="N55" s="46" t="s">
        <v>2410</v>
      </c>
      <c r="O55" s="24" t="s">
        <v>2333</v>
      </c>
      <c r="P55" s="46" t="s">
        <v>2334</v>
      </c>
      <c r="Q55" s="46"/>
      <c r="R55" s="47" t="s">
        <v>44</v>
      </c>
      <c r="S55" s="52" t="s">
        <v>67</v>
      </c>
    </row>
    <row r="56" customFormat="false" ht="15" hidden="false" customHeight="true" outlineLevel="0" collapsed="false">
      <c r="A56" s="49" t="n">
        <v>52</v>
      </c>
      <c r="B56" s="25" t="s">
        <v>2176</v>
      </c>
      <c r="C56" s="50"/>
      <c r="D56" s="50" t="s">
        <v>2176</v>
      </c>
      <c r="E56" s="49" t="s">
        <v>17</v>
      </c>
      <c r="F56" s="49" t="s">
        <v>2104</v>
      </c>
      <c r="G56" s="25" t="s">
        <v>2405</v>
      </c>
      <c r="H56" s="51" t="n">
        <v>5</v>
      </c>
      <c r="I56" s="49"/>
      <c r="J56" s="50" t="s">
        <v>2414</v>
      </c>
      <c r="K56" s="25" t="s">
        <v>2415</v>
      </c>
      <c r="L56" s="49" t="s">
        <v>2416</v>
      </c>
      <c r="M56" s="25" t="s">
        <v>2409</v>
      </c>
      <c r="N56" s="49" t="s">
        <v>2410</v>
      </c>
      <c r="O56" s="25" t="s">
        <v>2333</v>
      </c>
      <c r="P56" s="49" t="s">
        <v>2334</v>
      </c>
      <c r="Q56" s="49"/>
      <c r="R56" s="50" t="s">
        <v>44</v>
      </c>
      <c r="S56" s="52" t="s">
        <v>67</v>
      </c>
    </row>
    <row r="57" customFormat="false" ht="15" hidden="false" customHeight="true" outlineLevel="0" collapsed="false">
      <c r="A57" s="46" t="n">
        <v>53</v>
      </c>
      <c r="B57" s="24" t="s">
        <v>2176</v>
      </c>
      <c r="C57" s="47"/>
      <c r="D57" s="47" t="s">
        <v>2176</v>
      </c>
      <c r="E57" s="46" t="s">
        <v>17</v>
      </c>
      <c r="F57" s="46" t="s">
        <v>2104</v>
      </c>
      <c r="G57" s="24" t="s">
        <v>2405</v>
      </c>
      <c r="H57" s="48" t="n">
        <v>5</v>
      </c>
      <c r="I57" s="46"/>
      <c r="J57" s="47" t="s">
        <v>2417</v>
      </c>
      <c r="K57" s="24" t="s">
        <v>2418</v>
      </c>
      <c r="L57" s="46" t="s">
        <v>2419</v>
      </c>
      <c r="M57" s="24" t="s">
        <v>2409</v>
      </c>
      <c r="N57" s="46" t="s">
        <v>2410</v>
      </c>
      <c r="O57" s="24" t="s">
        <v>2333</v>
      </c>
      <c r="P57" s="46" t="s">
        <v>2334</v>
      </c>
      <c r="Q57" s="46"/>
      <c r="R57" s="47" t="s">
        <v>44</v>
      </c>
      <c r="S57" s="52" t="s">
        <v>67</v>
      </c>
    </row>
    <row r="58" customFormat="false" ht="15" hidden="false" customHeight="true" outlineLevel="0" collapsed="false">
      <c r="A58" s="49" t="n">
        <v>54</v>
      </c>
      <c r="B58" s="25" t="s">
        <v>2176</v>
      </c>
      <c r="C58" s="50"/>
      <c r="D58" s="50" t="s">
        <v>2176</v>
      </c>
      <c r="E58" s="49" t="s">
        <v>17</v>
      </c>
      <c r="F58" s="49" t="s">
        <v>2104</v>
      </c>
      <c r="G58" s="25" t="s">
        <v>2405</v>
      </c>
      <c r="H58" s="51" t="n">
        <v>5</v>
      </c>
      <c r="I58" s="49"/>
      <c r="J58" s="50" t="s">
        <v>2420</v>
      </c>
      <c r="K58" s="25" t="s">
        <v>2421</v>
      </c>
      <c r="L58" s="49" t="s">
        <v>2422</v>
      </c>
      <c r="M58" s="25" t="s">
        <v>2409</v>
      </c>
      <c r="N58" s="49" t="s">
        <v>2410</v>
      </c>
      <c r="O58" s="25" t="s">
        <v>2333</v>
      </c>
      <c r="P58" s="49" t="s">
        <v>2334</v>
      </c>
      <c r="Q58" s="49"/>
      <c r="R58" s="50" t="s">
        <v>44</v>
      </c>
      <c r="S58" s="52" t="s">
        <v>67</v>
      </c>
    </row>
    <row r="59" customFormat="false" ht="15" hidden="false" customHeight="true" outlineLevel="0" collapsed="false">
      <c r="A59" s="46" t="n">
        <v>55</v>
      </c>
      <c r="B59" s="24" t="s">
        <v>2176</v>
      </c>
      <c r="C59" s="47"/>
      <c r="D59" s="47" t="s">
        <v>2176</v>
      </c>
      <c r="E59" s="46" t="s">
        <v>17</v>
      </c>
      <c r="F59" s="46" t="s">
        <v>2104</v>
      </c>
      <c r="G59" s="24" t="s">
        <v>2405</v>
      </c>
      <c r="H59" s="48" t="n">
        <v>5</v>
      </c>
      <c r="I59" s="46"/>
      <c r="J59" s="47" t="s">
        <v>2423</v>
      </c>
      <c r="K59" s="24" t="s">
        <v>2424</v>
      </c>
      <c r="L59" s="46" t="s">
        <v>2425</v>
      </c>
      <c r="M59" s="24" t="s">
        <v>2409</v>
      </c>
      <c r="N59" s="46" t="s">
        <v>2410</v>
      </c>
      <c r="O59" s="24" t="s">
        <v>2333</v>
      </c>
      <c r="P59" s="46" t="s">
        <v>2426</v>
      </c>
      <c r="Q59" s="46"/>
      <c r="R59" s="47" t="s">
        <v>44</v>
      </c>
      <c r="S59" s="52" t="s">
        <v>67</v>
      </c>
    </row>
    <row r="60" customFormat="false" ht="15" hidden="false" customHeight="true" outlineLevel="0" collapsed="false">
      <c r="A60" s="49" t="n">
        <v>56</v>
      </c>
      <c r="B60" s="25" t="s">
        <v>2176</v>
      </c>
      <c r="C60" s="50"/>
      <c r="D60" s="50" t="s">
        <v>2176</v>
      </c>
      <c r="E60" s="49" t="s">
        <v>17</v>
      </c>
      <c r="F60" s="49" t="s">
        <v>2104</v>
      </c>
      <c r="G60" s="25" t="s">
        <v>2405</v>
      </c>
      <c r="H60" s="51" t="n">
        <v>5</v>
      </c>
      <c r="I60" s="49"/>
      <c r="J60" s="50" t="s">
        <v>2427</v>
      </c>
      <c r="K60" s="25" t="s">
        <v>2428</v>
      </c>
      <c r="L60" s="49" t="s">
        <v>2419</v>
      </c>
      <c r="M60" s="25" t="s">
        <v>2409</v>
      </c>
      <c r="N60" s="49" t="s">
        <v>2410</v>
      </c>
      <c r="O60" s="25" t="s">
        <v>2333</v>
      </c>
      <c r="P60" s="49" t="s">
        <v>2426</v>
      </c>
      <c r="Q60" s="49"/>
      <c r="R60" s="50" t="s">
        <v>44</v>
      </c>
      <c r="S60" s="52" t="s">
        <v>67</v>
      </c>
    </row>
    <row r="61" customFormat="false" ht="15" hidden="false" customHeight="true" outlineLevel="0" collapsed="false">
      <c r="A61" s="46" t="n">
        <v>57</v>
      </c>
      <c r="B61" s="24" t="s">
        <v>2176</v>
      </c>
      <c r="C61" s="47"/>
      <c r="D61" s="47" t="s">
        <v>2176</v>
      </c>
      <c r="E61" s="46" t="s">
        <v>17</v>
      </c>
      <c r="F61" s="46" t="s">
        <v>2104</v>
      </c>
      <c r="G61" s="24" t="s">
        <v>2405</v>
      </c>
      <c r="H61" s="48" t="n">
        <v>5</v>
      </c>
      <c r="I61" s="46"/>
      <c r="J61" s="47" t="s">
        <v>2429</v>
      </c>
      <c r="K61" s="24" t="s">
        <v>2430</v>
      </c>
      <c r="L61" s="46" t="s">
        <v>2431</v>
      </c>
      <c r="M61" s="24" t="s">
        <v>2409</v>
      </c>
      <c r="N61" s="46" t="s">
        <v>2410</v>
      </c>
      <c r="O61" s="24" t="s">
        <v>2333</v>
      </c>
      <c r="P61" s="46" t="s">
        <v>2426</v>
      </c>
      <c r="Q61" s="46"/>
      <c r="R61" s="47" t="s">
        <v>44</v>
      </c>
      <c r="S61" s="52" t="s">
        <v>67</v>
      </c>
    </row>
    <row r="62" customFormat="false" ht="15" hidden="false" customHeight="true" outlineLevel="0" collapsed="false">
      <c r="A62" s="49" t="n">
        <v>58</v>
      </c>
      <c r="B62" s="25" t="s">
        <v>2176</v>
      </c>
      <c r="C62" s="50"/>
      <c r="D62" s="50" t="s">
        <v>2176</v>
      </c>
      <c r="E62" s="49" t="s">
        <v>17</v>
      </c>
      <c r="F62" s="49" t="s">
        <v>2104</v>
      </c>
      <c r="G62" s="25" t="s">
        <v>2405</v>
      </c>
      <c r="H62" s="51" t="n">
        <v>5</v>
      </c>
      <c r="I62" s="49"/>
      <c r="J62" s="50" t="s">
        <v>2432</v>
      </c>
      <c r="K62" s="25" t="s">
        <v>2433</v>
      </c>
      <c r="L62" s="49" t="s">
        <v>2434</v>
      </c>
      <c r="M62" s="25" t="s">
        <v>2409</v>
      </c>
      <c r="N62" s="49" t="s">
        <v>2410</v>
      </c>
      <c r="O62" s="25" t="s">
        <v>2333</v>
      </c>
      <c r="P62" s="49" t="s">
        <v>2426</v>
      </c>
      <c r="Q62" s="49"/>
      <c r="R62" s="50" t="s">
        <v>44</v>
      </c>
      <c r="S62" s="52" t="s">
        <v>67</v>
      </c>
    </row>
    <row r="63" customFormat="false" ht="15" hidden="false" customHeight="true" outlineLevel="0" collapsed="false">
      <c r="A63" s="46" t="n">
        <v>59</v>
      </c>
      <c r="B63" s="24" t="s">
        <v>2168</v>
      </c>
      <c r="C63" s="47"/>
      <c r="D63" s="47" t="s">
        <v>2168</v>
      </c>
      <c r="E63" s="46" t="s">
        <v>17</v>
      </c>
      <c r="F63" s="46" t="s">
        <v>2104</v>
      </c>
      <c r="G63" s="24" t="s">
        <v>2405</v>
      </c>
      <c r="H63" s="48" t="n">
        <v>5</v>
      </c>
      <c r="I63" s="46"/>
      <c r="J63" s="47" t="s">
        <v>2435</v>
      </c>
      <c r="K63" s="24" t="s">
        <v>2436</v>
      </c>
      <c r="L63" s="46" t="s">
        <v>2437</v>
      </c>
      <c r="M63" s="24" t="s">
        <v>2409</v>
      </c>
      <c r="N63" s="46" t="s">
        <v>2410</v>
      </c>
      <c r="O63" s="24" t="s">
        <v>2333</v>
      </c>
      <c r="P63" s="46" t="s">
        <v>2426</v>
      </c>
      <c r="Q63" s="46"/>
      <c r="R63" s="47" t="s">
        <v>44</v>
      </c>
      <c r="S63" s="52" t="s">
        <v>67</v>
      </c>
    </row>
    <row r="64" customFormat="false" ht="15" hidden="false" customHeight="true" outlineLevel="0" collapsed="false">
      <c r="A64" s="49" t="n">
        <v>60</v>
      </c>
      <c r="B64" s="25" t="s">
        <v>2168</v>
      </c>
      <c r="C64" s="50"/>
      <c r="D64" s="50" t="s">
        <v>2168</v>
      </c>
      <c r="E64" s="49" t="s">
        <v>17</v>
      </c>
      <c r="F64" s="49" t="s">
        <v>2104</v>
      </c>
      <c r="G64" s="25" t="s">
        <v>2405</v>
      </c>
      <c r="H64" s="51" t="n">
        <v>5</v>
      </c>
      <c r="I64" s="49"/>
      <c r="J64" s="50" t="s">
        <v>2438</v>
      </c>
      <c r="K64" s="25" t="s">
        <v>2439</v>
      </c>
      <c r="L64" s="49" t="s">
        <v>2440</v>
      </c>
      <c r="M64" s="25" t="s">
        <v>2409</v>
      </c>
      <c r="N64" s="49" t="s">
        <v>2410</v>
      </c>
      <c r="O64" s="25" t="s">
        <v>2333</v>
      </c>
      <c r="P64" s="49" t="s">
        <v>2426</v>
      </c>
      <c r="Q64" s="49"/>
      <c r="R64" s="50" t="s">
        <v>44</v>
      </c>
      <c r="S64" s="52" t="s">
        <v>67</v>
      </c>
    </row>
    <row r="65" customFormat="false" ht="15" hidden="false" customHeight="true" outlineLevel="0" collapsed="false">
      <c r="A65" s="46" t="n">
        <v>61</v>
      </c>
      <c r="B65" s="24" t="s">
        <v>2168</v>
      </c>
      <c r="C65" s="47"/>
      <c r="D65" s="47" t="s">
        <v>2168</v>
      </c>
      <c r="E65" s="46" t="s">
        <v>17</v>
      </c>
      <c r="F65" s="46" t="s">
        <v>2104</v>
      </c>
      <c r="G65" s="24" t="s">
        <v>2405</v>
      </c>
      <c r="H65" s="48" t="n">
        <v>5</v>
      </c>
      <c r="I65" s="46"/>
      <c r="J65" s="47" t="s">
        <v>2441</v>
      </c>
      <c r="K65" s="24" t="s">
        <v>2442</v>
      </c>
      <c r="L65" s="46" t="s">
        <v>2443</v>
      </c>
      <c r="M65" s="24" t="s">
        <v>2409</v>
      </c>
      <c r="N65" s="46" t="s">
        <v>2410</v>
      </c>
      <c r="O65" s="24" t="s">
        <v>2333</v>
      </c>
      <c r="P65" s="46" t="s">
        <v>2426</v>
      </c>
      <c r="Q65" s="46"/>
      <c r="R65" s="47" t="s">
        <v>44</v>
      </c>
      <c r="S65" s="52" t="s">
        <v>67</v>
      </c>
    </row>
    <row r="66" customFormat="false" ht="15" hidden="false" customHeight="true" outlineLevel="0" collapsed="false">
      <c r="A66" s="49" t="n">
        <v>62</v>
      </c>
      <c r="B66" s="25" t="s">
        <v>2168</v>
      </c>
      <c r="C66" s="50"/>
      <c r="D66" s="50" t="s">
        <v>2168</v>
      </c>
      <c r="E66" s="49" t="s">
        <v>17</v>
      </c>
      <c r="F66" s="49" t="s">
        <v>2104</v>
      </c>
      <c r="G66" s="25" t="s">
        <v>2405</v>
      </c>
      <c r="H66" s="51" t="n">
        <v>5</v>
      </c>
      <c r="I66" s="49"/>
      <c r="J66" s="50" t="s">
        <v>2444</v>
      </c>
      <c r="K66" s="25" t="s">
        <v>2069</v>
      </c>
      <c r="L66" s="49" t="s">
        <v>2445</v>
      </c>
      <c r="M66" s="25" t="s">
        <v>2409</v>
      </c>
      <c r="N66" s="49" t="s">
        <v>2410</v>
      </c>
      <c r="O66" s="25" t="s">
        <v>2333</v>
      </c>
      <c r="P66" s="49" t="s">
        <v>2426</v>
      </c>
      <c r="Q66" s="49"/>
      <c r="R66" s="50" t="s">
        <v>44</v>
      </c>
      <c r="S66" s="52" t="s">
        <v>67</v>
      </c>
    </row>
    <row r="67" customFormat="false" ht="15" hidden="false" customHeight="true" outlineLevel="0" collapsed="false">
      <c r="A67" s="46" t="n">
        <v>63</v>
      </c>
      <c r="B67" s="24" t="s">
        <v>2168</v>
      </c>
      <c r="C67" s="47"/>
      <c r="D67" s="47" t="s">
        <v>2168</v>
      </c>
      <c r="E67" s="46" t="s">
        <v>17</v>
      </c>
      <c r="F67" s="46" t="s">
        <v>2104</v>
      </c>
      <c r="G67" s="24" t="s">
        <v>2405</v>
      </c>
      <c r="H67" s="48" t="n">
        <v>5</v>
      </c>
      <c r="I67" s="46"/>
      <c r="J67" s="47" t="s">
        <v>2446</v>
      </c>
      <c r="K67" s="24" t="s">
        <v>2447</v>
      </c>
      <c r="L67" s="46" t="s">
        <v>2448</v>
      </c>
      <c r="M67" s="24" t="s">
        <v>2409</v>
      </c>
      <c r="N67" s="46" t="s">
        <v>2410</v>
      </c>
      <c r="O67" s="24" t="s">
        <v>2333</v>
      </c>
      <c r="P67" s="46" t="s">
        <v>2426</v>
      </c>
      <c r="Q67" s="46"/>
      <c r="R67" s="47" t="s">
        <v>44</v>
      </c>
      <c r="S67" s="52" t="s">
        <v>67</v>
      </c>
    </row>
    <row r="68" customFormat="false" ht="15" hidden="false" customHeight="true" outlineLevel="0" collapsed="false">
      <c r="A68" s="49" t="n">
        <v>64</v>
      </c>
      <c r="B68" s="25" t="s">
        <v>2168</v>
      </c>
      <c r="C68" s="50"/>
      <c r="D68" s="50" t="s">
        <v>2168</v>
      </c>
      <c r="E68" s="49" t="s">
        <v>17</v>
      </c>
      <c r="F68" s="49" t="s">
        <v>2104</v>
      </c>
      <c r="G68" s="25" t="s">
        <v>2405</v>
      </c>
      <c r="H68" s="51" t="n">
        <v>5</v>
      </c>
      <c r="I68" s="49"/>
      <c r="J68" s="50" t="s">
        <v>2449</v>
      </c>
      <c r="K68" s="25" t="s">
        <v>2450</v>
      </c>
      <c r="L68" s="49" t="s">
        <v>2451</v>
      </c>
      <c r="M68" s="25" t="s">
        <v>2409</v>
      </c>
      <c r="N68" s="49" t="s">
        <v>2410</v>
      </c>
      <c r="O68" s="25" t="s">
        <v>2333</v>
      </c>
      <c r="P68" s="49" t="s">
        <v>2426</v>
      </c>
      <c r="Q68" s="49"/>
      <c r="R68" s="50" t="s">
        <v>44</v>
      </c>
      <c r="S68" s="52" t="s">
        <v>67</v>
      </c>
    </row>
    <row r="69" customFormat="false" ht="15" hidden="false" customHeight="true" outlineLevel="0" collapsed="false">
      <c r="A69" s="46" t="n">
        <v>65</v>
      </c>
      <c r="B69" s="24" t="s">
        <v>2168</v>
      </c>
      <c r="C69" s="47"/>
      <c r="D69" s="47" t="s">
        <v>2168</v>
      </c>
      <c r="E69" s="46" t="s">
        <v>17</v>
      </c>
      <c r="F69" s="46" t="s">
        <v>2104</v>
      </c>
      <c r="G69" s="24" t="s">
        <v>2405</v>
      </c>
      <c r="H69" s="48" t="n">
        <v>5</v>
      </c>
      <c r="I69" s="46"/>
      <c r="J69" s="47" t="s">
        <v>2452</v>
      </c>
      <c r="K69" s="24" t="s">
        <v>2453</v>
      </c>
      <c r="L69" s="46" t="s">
        <v>2454</v>
      </c>
      <c r="M69" s="24" t="s">
        <v>2409</v>
      </c>
      <c r="N69" s="46" t="s">
        <v>2410</v>
      </c>
      <c r="O69" s="24" t="s">
        <v>2333</v>
      </c>
      <c r="P69" s="46" t="s">
        <v>2426</v>
      </c>
      <c r="Q69" s="46"/>
      <c r="R69" s="47" t="s">
        <v>44</v>
      </c>
      <c r="S69" s="52" t="s">
        <v>67</v>
      </c>
    </row>
    <row r="70" customFormat="false" ht="15" hidden="false" customHeight="true" outlineLevel="0" collapsed="false">
      <c r="A70" s="49" t="n">
        <v>66</v>
      </c>
      <c r="B70" s="25" t="s">
        <v>2168</v>
      </c>
      <c r="C70" s="50"/>
      <c r="D70" s="50" t="s">
        <v>2168</v>
      </c>
      <c r="E70" s="49" t="s">
        <v>17</v>
      </c>
      <c r="F70" s="49" t="s">
        <v>2104</v>
      </c>
      <c r="G70" s="25" t="s">
        <v>2405</v>
      </c>
      <c r="H70" s="51" t="n">
        <v>5</v>
      </c>
      <c r="I70" s="49"/>
      <c r="J70" s="50" t="s">
        <v>2449</v>
      </c>
      <c r="K70" s="25" t="s">
        <v>2455</v>
      </c>
      <c r="L70" s="49" t="s">
        <v>2456</v>
      </c>
      <c r="M70" s="25" t="s">
        <v>2409</v>
      </c>
      <c r="N70" s="49" t="s">
        <v>2410</v>
      </c>
      <c r="O70" s="25" t="s">
        <v>2333</v>
      </c>
      <c r="P70" s="49" t="s">
        <v>2426</v>
      </c>
      <c r="Q70" s="49"/>
      <c r="R70" s="50" t="s">
        <v>44</v>
      </c>
      <c r="S70" s="52" t="s">
        <v>67</v>
      </c>
    </row>
    <row r="71" customFormat="false" ht="15" hidden="false" customHeight="true" outlineLevel="0" collapsed="false">
      <c r="A71" s="46" t="n">
        <v>67</v>
      </c>
      <c r="B71" s="24" t="s">
        <v>2168</v>
      </c>
      <c r="C71" s="47"/>
      <c r="D71" s="47" t="s">
        <v>2168</v>
      </c>
      <c r="E71" s="46" t="s">
        <v>17</v>
      </c>
      <c r="F71" s="46" t="s">
        <v>2104</v>
      </c>
      <c r="G71" s="24" t="s">
        <v>2405</v>
      </c>
      <c r="H71" s="48" t="n">
        <v>5</v>
      </c>
      <c r="I71" s="46"/>
      <c r="J71" s="47" t="s">
        <v>2457</v>
      </c>
      <c r="K71" s="24" t="s">
        <v>2458</v>
      </c>
      <c r="L71" s="46" t="s">
        <v>2459</v>
      </c>
      <c r="M71" s="24" t="s">
        <v>2409</v>
      </c>
      <c r="N71" s="46" t="s">
        <v>2410</v>
      </c>
      <c r="O71" s="24" t="s">
        <v>2333</v>
      </c>
      <c r="P71" s="46" t="s">
        <v>2426</v>
      </c>
      <c r="Q71" s="46"/>
      <c r="R71" s="47" t="s">
        <v>44</v>
      </c>
      <c r="S71" s="52" t="s">
        <v>67</v>
      </c>
    </row>
    <row r="72" customFormat="false" ht="15" hidden="false" customHeight="true" outlineLevel="0" collapsed="false">
      <c r="A72" s="49" t="n">
        <v>68</v>
      </c>
      <c r="B72" s="25" t="s">
        <v>2168</v>
      </c>
      <c r="C72" s="50"/>
      <c r="D72" s="50" t="s">
        <v>2168</v>
      </c>
      <c r="E72" s="49" t="s">
        <v>17</v>
      </c>
      <c r="F72" s="49" t="s">
        <v>2104</v>
      </c>
      <c r="G72" s="25" t="s">
        <v>2405</v>
      </c>
      <c r="H72" s="51" t="n">
        <v>5</v>
      </c>
      <c r="I72" s="49"/>
      <c r="J72" s="50" t="s">
        <v>2460</v>
      </c>
      <c r="K72" s="25" t="s">
        <v>2461</v>
      </c>
      <c r="L72" s="49" t="s">
        <v>2462</v>
      </c>
      <c r="M72" s="25" t="s">
        <v>2409</v>
      </c>
      <c r="N72" s="49" t="s">
        <v>2410</v>
      </c>
      <c r="O72" s="25" t="s">
        <v>2333</v>
      </c>
      <c r="P72" s="49" t="s">
        <v>2426</v>
      </c>
      <c r="Q72" s="49"/>
      <c r="R72" s="50" t="s">
        <v>44</v>
      </c>
      <c r="S72" s="52" t="s">
        <v>67</v>
      </c>
    </row>
    <row r="73" customFormat="false" ht="15" hidden="false" customHeight="true" outlineLevel="0" collapsed="false">
      <c r="A73" s="46" t="n">
        <v>69</v>
      </c>
      <c r="B73" s="24" t="s">
        <v>2168</v>
      </c>
      <c r="C73" s="47"/>
      <c r="D73" s="47" t="s">
        <v>2168</v>
      </c>
      <c r="E73" s="46" t="s">
        <v>17</v>
      </c>
      <c r="F73" s="46" t="s">
        <v>2104</v>
      </c>
      <c r="G73" s="24" t="s">
        <v>2405</v>
      </c>
      <c r="H73" s="48" t="n">
        <v>5</v>
      </c>
      <c r="I73" s="46"/>
      <c r="J73" s="47" t="s">
        <v>2463</v>
      </c>
      <c r="K73" s="24" t="s">
        <v>2464</v>
      </c>
      <c r="L73" s="46" t="s">
        <v>2465</v>
      </c>
      <c r="M73" s="24" t="s">
        <v>2409</v>
      </c>
      <c r="N73" s="46" t="s">
        <v>2410</v>
      </c>
      <c r="O73" s="24" t="s">
        <v>2333</v>
      </c>
      <c r="P73" s="46" t="s">
        <v>2426</v>
      </c>
      <c r="Q73" s="46"/>
      <c r="R73" s="47" t="s">
        <v>44</v>
      </c>
      <c r="S73" s="52" t="s">
        <v>67</v>
      </c>
    </row>
    <row r="74" customFormat="false" ht="15" hidden="false" customHeight="true" outlineLevel="0" collapsed="false">
      <c r="A74" s="49" t="n">
        <v>70</v>
      </c>
      <c r="B74" s="25" t="s">
        <v>2168</v>
      </c>
      <c r="C74" s="50"/>
      <c r="D74" s="50" t="s">
        <v>2168</v>
      </c>
      <c r="E74" s="49" t="s">
        <v>17</v>
      </c>
      <c r="F74" s="49" t="s">
        <v>2104</v>
      </c>
      <c r="G74" s="25" t="s">
        <v>2405</v>
      </c>
      <c r="H74" s="51" t="n">
        <v>5</v>
      </c>
      <c r="I74" s="49"/>
      <c r="J74" s="50" t="s">
        <v>2466</v>
      </c>
      <c r="K74" s="25" t="s">
        <v>2467</v>
      </c>
      <c r="L74" s="49" t="s">
        <v>2468</v>
      </c>
      <c r="M74" s="25" t="s">
        <v>2409</v>
      </c>
      <c r="N74" s="49" t="s">
        <v>2410</v>
      </c>
      <c r="O74" s="25" t="s">
        <v>2333</v>
      </c>
      <c r="P74" s="49" t="s">
        <v>2426</v>
      </c>
      <c r="Q74" s="49"/>
      <c r="R74" s="50" t="s">
        <v>44</v>
      </c>
      <c r="S74" s="52" t="s">
        <v>67</v>
      </c>
    </row>
    <row r="75" customFormat="false" ht="15" hidden="false" customHeight="true" outlineLevel="0" collapsed="false">
      <c r="A75" s="46" t="n">
        <v>71</v>
      </c>
      <c r="B75" s="24" t="s">
        <v>2168</v>
      </c>
      <c r="C75" s="47"/>
      <c r="D75" s="47" t="s">
        <v>2168</v>
      </c>
      <c r="E75" s="46" t="s">
        <v>17</v>
      </c>
      <c r="F75" s="46" t="s">
        <v>2104</v>
      </c>
      <c r="G75" s="24" t="s">
        <v>2405</v>
      </c>
      <c r="H75" s="48" t="n">
        <v>5</v>
      </c>
      <c r="I75" s="46"/>
      <c r="J75" s="47" t="s">
        <v>2469</v>
      </c>
      <c r="K75" s="24" t="s">
        <v>2470</v>
      </c>
      <c r="L75" s="46" t="s">
        <v>2471</v>
      </c>
      <c r="M75" s="24" t="s">
        <v>2409</v>
      </c>
      <c r="N75" s="46" t="s">
        <v>2410</v>
      </c>
      <c r="O75" s="24" t="s">
        <v>2333</v>
      </c>
      <c r="P75" s="46" t="s">
        <v>2426</v>
      </c>
      <c r="Q75" s="46"/>
      <c r="R75" s="47" t="s">
        <v>44</v>
      </c>
      <c r="S75" s="52" t="s">
        <v>67</v>
      </c>
    </row>
    <row r="76" customFormat="false" ht="15" hidden="false" customHeight="true" outlineLevel="0" collapsed="false">
      <c r="A76" s="49" t="n">
        <v>72</v>
      </c>
      <c r="B76" s="25" t="s">
        <v>2168</v>
      </c>
      <c r="C76" s="50"/>
      <c r="D76" s="50" t="s">
        <v>2168</v>
      </c>
      <c r="E76" s="49" t="s">
        <v>17</v>
      </c>
      <c r="F76" s="49" t="s">
        <v>2104</v>
      </c>
      <c r="G76" s="25" t="s">
        <v>2405</v>
      </c>
      <c r="H76" s="51" t="n">
        <v>5</v>
      </c>
      <c r="I76" s="49"/>
      <c r="J76" s="50" t="s">
        <v>2472</v>
      </c>
      <c r="K76" s="25" t="s">
        <v>2473</v>
      </c>
      <c r="L76" s="49" t="s">
        <v>2468</v>
      </c>
      <c r="M76" s="25" t="s">
        <v>2409</v>
      </c>
      <c r="N76" s="49" t="s">
        <v>2410</v>
      </c>
      <c r="O76" s="25" t="s">
        <v>2333</v>
      </c>
      <c r="P76" s="49" t="s">
        <v>2426</v>
      </c>
      <c r="Q76" s="49"/>
      <c r="R76" s="50" t="s">
        <v>44</v>
      </c>
      <c r="S76" s="52" t="s">
        <v>67</v>
      </c>
    </row>
    <row r="77" customFormat="false" ht="15" hidden="false" customHeight="true" outlineLevel="0" collapsed="false">
      <c r="A77" s="46" t="n">
        <v>73</v>
      </c>
      <c r="B77" s="24" t="s">
        <v>2168</v>
      </c>
      <c r="C77" s="47"/>
      <c r="D77" s="47" t="s">
        <v>2168</v>
      </c>
      <c r="E77" s="46" t="s">
        <v>17</v>
      </c>
      <c r="F77" s="46" t="s">
        <v>2104</v>
      </c>
      <c r="G77" s="24" t="s">
        <v>2405</v>
      </c>
      <c r="H77" s="48" t="n">
        <v>5</v>
      </c>
      <c r="I77" s="46"/>
      <c r="J77" s="47" t="s">
        <v>2474</v>
      </c>
      <c r="K77" s="24" t="s">
        <v>2475</v>
      </c>
      <c r="L77" s="46" t="s">
        <v>2476</v>
      </c>
      <c r="M77" s="24" t="s">
        <v>2409</v>
      </c>
      <c r="N77" s="46" t="s">
        <v>2410</v>
      </c>
      <c r="O77" s="24" t="s">
        <v>2333</v>
      </c>
      <c r="P77" s="46" t="s">
        <v>2426</v>
      </c>
      <c r="Q77" s="46"/>
      <c r="R77" s="47" t="s">
        <v>44</v>
      </c>
      <c r="S77" s="52" t="s">
        <v>67</v>
      </c>
    </row>
    <row r="78" customFormat="false" ht="15" hidden="false" customHeight="true" outlineLevel="0" collapsed="false">
      <c r="A78" s="49" t="n">
        <v>74</v>
      </c>
      <c r="B78" s="25" t="s">
        <v>2168</v>
      </c>
      <c r="C78" s="50"/>
      <c r="D78" s="50" t="s">
        <v>2168</v>
      </c>
      <c r="E78" s="49" t="s">
        <v>17</v>
      </c>
      <c r="F78" s="49" t="s">
        <v>2104</v>
      </c>
      <c r="G78" s="25" t="s">
        <v>2405</v>
      </c>
      <c r="H78" s="51" t="n">
        <v>5</v>
      </c>
      <c r="I78" s="49"/>
      <c r="J78" s="50" t="s">
        <v>2477</v>
      </c>
      <c r="K78" s="25" t="s">
        <v>2478</v>
      </c>
      <c r="L78" s="49" t="s">
        <v>2479</v>
      </c>
      <c r="M78" s="25" t="s">
        <v>2409</v>
      </c>
      <c r="N78" s="49" t="s">
        <v>2410</v>
      </c>
      <c r="O78" s="25" t="s">
        <v>2333</v>
      </c>
      <c r="P78" s="49" t="s">
        <v>2426</v>
      </c>
      <c r="Q78" s="49"/>
      <c r="R78" s="50" t="s">
        <v>44</v>
      </c>
      <c r="S78" s="52" t="s">
        <v>67</v>
      </c>
    </row>
    <row r="79" customFormat="false" ht="15" hidden="false" customHeight="true" outlineLevel="0" collapsed="false">
      <c r="A79" s="46" t="n">
        <v>75</v>
      </c>
      <c r="B79" s="24" t="s">
        <v>2168</v>
      </c>
      <c r="C79" s="47"/>
      <c r="D79" s="47" t="s">
        <v>2168</v>
      </c>
      <c r="E79" s="46" t="s">
        <v>17</v>
      </c>
      <c r="F79" s="46" t="s">
        <v>2104</v>
      </c>
      <c r="G79" s="24" t="s">
        <v>2405</v>
      </c>
      <c r="H79" s="48" t="n">
        <v>5</v>
      </c>
      <c r="I79" s="46"/>
      <c r="J79" s="47" t="s">
        <v>2480</v>
      </c>
      <c r="K79" s="24" t="s">
        <v>2481</v>
      </c>
      <c r="L79" s="46" t="s">
        <v>2482</v>
      </c>
      <c r="M79" s="24" t="s">
        <v>2409</v>
      </c>
      <c r="N79" s="46" t="s">
        <v>2410</v>
      </c>
      <c r="O79" s="24" t="s">
        <v>2333</v>
      </c>
      <c r="P79" s="46" t="s">
        <v>2426</v>
      </c>
      <c r="Q79" s="46"/>
      <c r="R79" s="47" t="s">
        <v>44</v>
      </c>
      <c r="S79" s="52" t="s">
        <v>67</v>
      </c>
    </row>
    <row r="80" customFormat="false" ht="15" hidden="false" customHeight="true" outlineLevel="0" collapsed="false">
      <c r="A80" s="49" t="n">
        <v>76</v>
      </c>
      <c r="B80" s="25" t="s">
        <v>2168</v>
      </c>
      <c r="C80" s="50"/>
      <c r="D80" s="50" t="s">
        <v>2168</v>
      </c>
      <c r="E80" s="49" t="s">
        <v>17</v>
      </c>
      <c r="F80" s="49" t="s">
        <v>2104</v>
      </c>
      <c r="G80" s="25" t="s">
        <v>2405</v>
      </c>
      <c r="H80" s="51" t="n">
        <v>5</v>
      </c>
      <c r="I80" s="49"/>
      <c r="J80" s="50" t="s">
        <v>2483</v>
      </c>
      <c r="K80" s="25" t="s">
        <v>2484</v>
      </c>
      <c r="L80" s="49" t="s">
        <v>2485</v>
      </c>
      <c r="M80" s="25" t="s">
        <v>2409</v>
      </c>
      <c r="N80" s="49" t="s">
        <v>2410</v>
      </c>
      <c r="O80" s="25" t="s">
        <v>2333</v>
      </c>
      <c r="P80" s="49" t="s">
        <v>2426</v>
      </c>
      <c r="Q80" s="49"/>
      <c r="R80" s="50" t="s">
        <v>44</v>
      </c>
      <c r="S80" s="52" t="s">
        <v>67</v>
      </c>
    </row>
    <row r="81" customFormat="false" ht="15" hidden="false" customHeight="true" outlineLevel="0" collapsed="false">
      <c r="A81" s="46" t="n">
        <v>77</v>
      </c>
      <c r="B81" s="24" t="s">
        <v>2168</v>
      </c>
      <c r="C81" s="47"/>
      <c r="D81" s="47" t="s">
        <v>2168</v>
      </c>
      <c r="E81" s="46" t="s">
        <v>17</v>
      </c>
      <c r="F81" s="46" t="s">
        <v>2104</v>
      </c>
      <c r="G81" s="24" t="s">
        <v>2405</v>
      </c>
      <c r="H81" s="48" t="n">
        <v>5</v>
      </c>
      <c r="I81" s="46"/>
      <c r="J81" s="47" t="s">
        <v>2486</v>
      </c>
      <c r="K81" s="24" t="s">
        <v>2487</v>
      </c>
      <c r="L81" s="46" t="s">
        <v>2488</v>
      </c>
      <c r="M81" s="24" t="s">
        <v>2409</v>
      </c>
      <c r="N81" s="46" t="s">
        <v>2410</v>
      </c>
      <c r="O81" s="24" t="s">
        <v>2333</v>
      </c>
      <c r="P81" s="46" t="s">
        <v>2426</v>
      </c>
      <c r="Q81" s="46"/>
      <c r="R81" s="47" t="s">
        <v>44</v>
      </c>
      <c r="S81" s="52" t="s">
        <v>67</v>
      </c>
    </row>
    <row r="82" customFormat="false" ht="15" hidden="false" customHeight="true" outlineLevel="0" collapsed="false">
      <c r="A82" s="49" t="n">
        <v>78</v>
      </c>
      <c r="B82" s="25" t="s">
        <v>2168</v>
      </c>
      <c r="C82" s="50"/>
      <c r="D82" s="50" t="s">
        <v>2168</v>
      </c>
      <c r="E82" s="49" t="s">
        <v>17</v>
      </c>
      <c r="F82" s="49" t="s">
        <v>2104</v>
      </c>
      <c r="G82" s="25" t="s">
        <v>2405</v>
      </c>
      <c r="H82" s="51" t="n">
        <v>5</v>
      </c>
      <c r="I82" s="49"/>
      <c r="J82" s="50" t="s">
        <v>2489</v>
      </c>
      <c r="K82" s="25" t="s">
        <v>2490</v>
      </c>
      <c r="L82" s="49" t="s">
        <v>2491</v>
      </c>
      <c r="M82" s="25" t="s">
        <v>2409</v>
      </c>
      <c r="N82" s="49" t="s">
        <v>2410</v>
      </c>
      <c r="O82" s="25" t="s">
        <v>2333</v>
      </c>
      <c r="P82" s="49" t="s">
        <v>2426</v>
      </c>
      <c r="Q82" s="49"/>
      <c r="R82" s="50" t="s">
        <v>44</v>
      </c>
      <c r="S82" s="52" t="s">
        <v>67</v>
      </c>
    </row>
    <row r="83" customFormat="false" ht="15" hidden="false" customHeight="true" outlineLevel="0" collapsed="false">
      <c r="A83" s="46" t="n">
        <v>79</v>
      </c>
      <c r="B83" s="24" t="s">
        <v>2176</v>
      </c>
      <c r="C83" s="47"/>
      <c r="D83" s="47" t="s">
        <v>2176</v>
      </c>
      <c r="E83" s="46" t="s">
        <v>17</v>
      </c>
      <c r="F83" s="46" t="s">
        <v>2104</v>
      </c>
      <c r="G83" s="24" t="s">
        <v>2405</v>
      </c>
      <c r="H83" s="48" t="n">
        <v>5</v>
      </c>
      <c r="I83" s="46"/>
      <c r="J83" s="47" t="s">
        <v>2492</v>
      </c>
      <c r="K83" s="24" t="s">
        <v>2493</v>
      </c>
      <c r="L83" s="46" t="s">
        <v>2494</v>
      </c>
      <c r="M83" s="24" t="s">
        <v>2409</v>
      </c>
      <c r="N83" s="46" t="s">
        <v>2410</v>
      </c>
      <c r="O83" s="24" t="s">
        <v>2333</v>
      </c>
      <c r="P83" s="46" t="s">
        <v>2426</v>
      </c>
      <c r="Q83" s="46"/>
      <c r="R83" s="47" t="s">
        <v>44</v>
      </c>
      <c r="S83" s="52" t="s">
        <v>67</v>
      </c>
    </row>
    <row r="84" customFormat="false" ht="15" hidden="false" customHeight="true" outlineLevel="0" collapsed="false">
      <c r="A84" s="49" t="n">
        <v>80</v>
      </c>
      <c r="B84" s="25" t="s">
        <v>2176</v>
      </c>
      <c r="C84" s="50"/>
      <c r="D84" s="50" t="s">
        <v>2176</v>
      </c>
      <c r="E84" s="49" t="s">
        <v>17</v>
      </c>
      <c r="F84" s="49" t="s">
        <v>2104</v>
      </c>
      <c r="G84" s="25" t="s">
        <v>2405</v>
      </c>
      <c r="H84" s="51" t="n">
        <v>5</v>
      </c>
      <c r="I84" s="49"/>
      <c r="J84" s="50" t="s">
        <v>2495</v>
      </c>
      <c r="K84" s="25" t="s">
        <v>2496</v>
      </c>
      <c r="L84" s="49" t="s">
        <v>2497</v>
      </c>
      <c r="M84" s="25" t="s">
        <v>2498</v>
      </c>
      <c r="N84" s="49" t="s">
        <v>2499</v>
      </c>
      <c r="O84" s="25" t="s">
        <v>2333</v>
      </c>
      <c r="P84" s="49" t="s">
        <v>2426</v>
      </c>
      <c r="Q84" s="49"/>
      <c r="R84" s="50" t="s">
        <v>44</v>
      </c>
      <c r="S84" s="52" t="s">
        <v>67</v>
      </c>
    </row>
    <row r="85" customFormat="false" ht="15" hidden="false" customHeight="true" outlineLevel="0" collapsed="false">
      <c r="A85" s="46" t="n">
        <v>81</v>
      </c>
      <c r="B85" s="24" t="s">
        <v>2176</v>
      </c>
      <c r="C85" s="47"/>
      <c r="D85" s="47" t="s">
        <v>2176</v>
      </c>
      <c r="E85" s="46" t="s">
        <v>17</v>
      </c>
      <c r="F85" s="46" t="s">
        <v>2104</v>
      </c>
      <c r="G85" s="24" t="s">
        <v>2405</v>
      </c>
      <c r="H85" s="48" t="n">
        <v>5</v>
      </c>
      <c r="I85" s="46"/>
      <c r="J85" s="47" t="s">
        <v>2500</v>
      </c>
      <c r="K85" s="24" t="s">
        <v>2501</v>
      </c>
      <c r="L85" s="46" t="s">
        <v>2502</v>
      </c>
      <c r="M85" s="24" t="s">
        <v>2498</v>
      </c>
      <c r="N85" s="46" t="s">
        <v>2499</v>
      </c>
      <c r="O85" s="24" t="s">
        <v>2333</v>
      </c>
      <c r="P85" s="46" t="s">
        <v>2426</v>
      </c>
      <c r="Q85" s="46"/>
      <c r="R85" s="47" t="s">
        <v>44</v>
      </c>
      <c r="S85" s="52" t="s">
        <v>67</v>
      </c>
    </row>
    <row r="86" customFormat="false" ht="15" hidden="false" customHeight="true" outlineLevel="0" collapsed="false">
      <c r="A86" s="49" t="n">
        <v>82</v>
      </c>
      <c r="B86" s="25" t="s">
        <v>2176</v>
      </c>
      <c r="C86" s="50"/>
      <c r="D86" s="50" t="s">
        <v>2176</v>
      </c>
      <c r="E86" s="49" t="s">
        <v>17</v>
      </c>
      <c r="F86" s="49" t="s">
        <v>2104</v>
      </c>
      <c r="G86" s="25" t="s">
        <v>2405</v>
      </c>
      <c r="H86" s="51" t="n">
        <v>5</v>
      </c>
      <c r="I86" s="49"/>
      <c r="J86" s="50" t="s">
        <v>2503</v>
      </c>
      <c r="K86" s="25" t="s">
        <v>2504</v>
      </c>
      <c r="L86" s="49" t="s">
        <v>2505</v>
      </c>
      <c r="M86" s="25" t="s">
        <v>2498</v>
      </c>
      <c r="N86" s="49" t="s">
        <v>2499</v>
      </c>
      <c r="O86" s="25" t="s">
        <v>2333</v>
      </c>
      <c r="P86" s="49" t="s">
        <v>2426</v>
      </c>
      <c r="Q86" s="49"/>
      <c r="R86" s="50" t="s">
        <v>44</v>
      </c>
      <c r="S86" s="52" t="s">
        <v>67</v>
      </c>
    </row>
    <row r="87" customFormat="false" ht="15" hidden="false" customHeight="true" outlineLevel="0" collapsed="false">
      <c r="A87" s="46" t="n">
        <v>83</v>
      </c>
      <c r="B87" s="24" t="s">
        <v>2176</v>
      </c>
      <c r="C87" s="47"/>
      <c r="D87" s="47" t="s">
        <v>2176</v>
      </c>
      <c r="E87" s="46" t="s">
        <v>17</v>
      </c>
      <c r="F87" s="46" t="s">
        <v>2104</v>
      </c>
      <c r="G87" s="24" t="s">
        <v>2405</v>
      </c>
      <c r="H87" s="48" t="n">
        <v>5</v>
      </c>
      <c r="I87" s="46"/>
      <c r="J87" s="47" t="s">
        <v>2506</v>
      </c>
      <c r="K87" s="24" t="s">
        <v>2507</v>
      </c>
      <c r="L87" s="46" t="s">
        <v>2508</v>
      </c>
      <c r="M87" s="24" t="s">
        <v>2498</v>
      </c>
      <c r="N87" s="46" t="s">
        <v>2499</v>
      </c>
      <c r="O87" s="24" t="s">
        <v>2333</v>
      </c>
      <c r="P87" s="46" t="s">
        <v>2426</v>
      </c>
      <c r="Q87" s="46"/>
      <c r="R87" s="47" t="s">
        <v>44</v>
      </c>
      <c r="S87" s="52" t="s">
        <v>67</v>
      </c>
    </row>
    <row r="88" customFormat="false" ht="15" hidden="false" customHeight="true" outlineLevel="0" collapsed="false">
      <c r="A88" s="49" t="n">
        <v>84</v>
      </c>
      <c r="B88" s="25" t="s">
        <v>2176</v>
      </c>
      <c r="C88" s="50"/>
      <c r="D88" s="50" t="s">
        <v>2176</v>
      </c>
      <c r="E88" s="49" t="s">
        <v>17</v>
      </c>
      <c r="F88" s="49" t="s">
        <v>2104</v>
      </c>
      <c r="G88" s="25" t="s">
        <v>2405</v>
      </c>
      <c r="H88" s="51" t="n">
        <v>5</v>
      </c>
      <c r="I88" s="49"/>
      <c r="J88" s="50" t="s">
        <v>2509</v>
      </c>
      <c r="K88" s="25" t="s">
        <v>2510</v>
      </c>
      <c r="L88" s="49" t="s">
        <v>2511</v>
      </c>
      <c r="M88" s="25" t="s">
        <v>2498</v>
      </c>
      <c r="N88" s="49" t="s">
        <v>2499</v>
      </c>
      <c r="O88" s="25" t="s">
        <v>2333</v>
      </c>
      <c r="P88" s="49" t="s">
        <v>2426</v>
      </c>
      <c r="Q88" s="49"/>
      <c r="R88" s="50" t="s">
        <v>44</v>
      </c>
      <c r="S88" s="52" t="s">
        <v>67</v>
      </c>
    </row>
    <row r="89" customFormat="false" ht="15" hidden="false" customHeight="true" outlineLevel="0" collapsed="false">
      <c r="A89" s="46" t="n">
        <v>85</v>
      </c>
      <c r="B89" s="24" t="s">
        <v>2176</v>
      </c>
      <c r="C89" s="47"/>
      <c r="D89" s="47" t="s">
        <v>2176</v>
      </c>
      <c r="E89" s="46" t="s">
        <v>17</v>
      </c>
      <c r="F89" s="46" t="s">
        <v>2104</v>
      </c>
      <c r="G89" s="24" t="s">
        <v>2405</v>
      </c>
      <c r="H89" s="48" t="n">
        <v>5</v>
      </c>
      <c r="I89" s="46"/>
      <c r="J89" s="47" t="s">
        <v>2512</v>
      </c>
      <c r="K89" s="24" t="s">
        <v>2513</v>
      </c>
      <c r="L89" s="46" t="s">
        <v>2514</v>
      </c>
      <c r="M89" s="24" t="s">
        <v>2498</v>
      </c>
      <c r="N89" s="46" t="s">
        <v>2499</v>
      </c>
      <c r="O89" s="24" t="s">
        <v>2333</v>
      </c>
      <c r="P89" s="46" t="s">
        <v>2426</v>
      </c>
      <c r="Q89" s="46"/>
      <c r="R89" s="47" t="s">
        <v>44</v>
      </c>
      <c r="S89" s="52" t="s">
        <v>67</v>
      </c>
    </row>
    <row r="90" customFormat="false" ht="15" hidden="false" customHeight="true" outlineLevel="0" collapsed="false">
      <c r="A90" s="49" t="n">
        <v>86</v>
      </c>
      <c r="B90" s="25" t="s">
        <v>2176</v>
      </c>
      <c r="C90" s="50"/>
      <c r="D90" s="50" t="s">
        <v>2176</v>
      </c>
      <c r="E90" s="49" t="s">
        <v>17</v>
      </c>
      <c r="F90" s="49" t="s">
        <v>2104</v>
      </c>
      <c r="G90" s="25" t="s">
        <v>2405</v>
      </c>
      <c r="H90" s="51" t="n">
        <v>5</v>
      </c>
      <c r="I90" s="49"/>
      <c r="J90" s="50" t="s">
        <v>2515</v>
      </c>
      <c r="K90" s="25" t="s">
        <v>2516</v>
      </c>
      <c r="L90" s="49" t="s">
        <v>2517</v>
      </c>
      <c r="M90" s="25" t="s">
        <v>2498</v>
      </c>
      <c r="N90" s="49" t="s">
        <v>2499</v>
      </c>
      <c r="O90" s="25" t="s">
        <v>2333</v>
      </c>
      <c r="P90" s="49" t="s">
        <v>2426</v>
      </c>
      <c r="Q90" s="49"/>
      <c r="R90" s="50" t="s">
        <v>44</v>
      </c>
      <c r="S90" s="52" t="s">
        <v>67</v>
      </c>
    </row>
    <row r="91" customFormat="false" ht="15" hidden="false" customHeight="true" outlineLevel="0" collapsed="false">
      <c r="A91" s="46" t="n">
        <v>87</v>
      </c>
      <c r="B91" s="24" t="s">
        <v>2176</v>
      </c>
      <c r="C91" s="47"/>
      <c r="D91" s="47" t="s">
        <v>2176</v>
      </c>
      <c r="E91" s="46" t="s">
        <v>17</v>
      </c>
      <c r="F91" s="46" t="s">
        <v>2104</v>
      </c>
      <c r="G91" s="24" t="s">
        <v>2405</v>
      </c>
      <c r="H91" s="48" t="n">
        <v>5</v>
      </c>
      <c r="I91" s="46"/>
      <c r="J91" s="47" t="s">
        <v>2518</v>
      </c>
      <c r="K91" s="24" t="s">
        <v>2519</v>
      </c>
      <c r="L91" s="46" t="s">
        <v>2520</v>
      </c>
      <c r="M91" s="24" t="s">
        <v>2498</v>
      </c>
      <c r="N91" s="46" t="s">
        <v>2499</v>
      </c>
      <c r="O91" s="24" t="s">
        <v>2333</v>
      </c>
      <c r="P91" s="46" t="s">
        <v>2426</v>
      </c>
      <c r="Q91" s="46"/>
      <c r="R91" s="47" t="s">
        <v>44</v>
      </c>
      <c r="S91" s="52" t="s">
        <v>67</v>
      </c>
    </row>
    <row r="92" customFormat="false" ht="15" hidden="false" customHeight="true" outlineLevel="0" collapsed="false">
      <c r="A92" s="49" t="n">
        <v>88</v>
      </c>
      <c r="B92" s="25" t="s">
        <v>2176</v>
      </c>
      <c r="C92" s="50"/>
      <c r="D92" s="50" t="s">
        <v>2176</v>
      </c>
      <c r="E92" s="49" t="s">
        <v>17</v>
      </c>
      <c r="F92" s="49" t="s">
        <v>2104</v>
      </c>
      <c r="G92" s="25" t="s">
        <v>2405</v>
      </c>
      <c r="H92" s="51" t="n">
        <v>5</v>
      </c>
      <c r="I92" s="49"/>
      <c r="J92" s="50" t="s">
        <v>2521</v>
      </c>
      <c r="K92" s="25" t="s">
        <v>2522</v>
      </c>
      <c r="L92" s="49" t="s">
        <v>2523</v>
      </c>
      <c r="M92" s="25" t="s">
        <v>2498</v>
      </c>
      <c r="N92" s="49" t="s">
        <v>2499</v>
      </c>
      <c r="O92" s="25" t="s">
        <v>2333</v>
      </c>
      <c r="P92" s="49" t="s">
        <v>2426</v>
      </c>
      <c r="Q92" s="49"/>
      <c r="R92" s="50" t="s">
        <v>44</v>
      </c>
      <c r="S92" s="52" t="s">
        <v>67</v>
      </c>
    </row>
    <row r="93" customFormat="false" ht="15" hidden="false" customHeight="true" outlineLevel="0" collapsed="false">
      <c r="A93" s="46" t="n">
        <v>89</v>
      </c>
      <c r="B93" s="24" t="s">
        <v>2176</v>
      </c>
      <c r="C93" s="47"/>
      <c r="D93" s="47" t="s">
        <v>2176</v>
      </c>
      <c r="E93" s="46" t="s">
        <v>17</v>
      </c>
      <c r="F93" s="46" t="s">
        <v>2104</v>
      </c>
      <c r="G93" s="24" t="s">
        <v>2405</v>
      </c>
      <c r="H93" s="48" t="n">
        <v>5</v>
      </c>
      <c r="I93" s="46"/>
      <c r="J93" s="47" t="s">
        <v>2524</v>
      </c>
      <c r="K93" s="24" t="s">
        <v>2525</v>
      </c>
      <c r="L93" s="46" t="s">
        <v>2526</v>
      </c>
      <c r="M93" s="24" t="s">
        <v>2498</v>
      </c>
      <c r="N93" s="46" t="s">
        <v>2499</v>
      </c>
      <c r="O93" s="24" t="s">
        <v>2333</v>
      </c>
      <c r="P93" s="46" t="s">
        <v>2426</v>
      </c>
      <c r="Q93" s="46"/>
      <c r="R93" s="47" t="s">
        <v>44</v>
      </c>
      <c r="S93" s="52" t="s">
        <v>67</v>
      </c>
    </row>
    <row r="94" customFormat="false" ht="15" hidden="false" customHeight="true" outlineLevel="0" collapsed="false">
      <c r="A94" s="49" t="n">
        <v>90</v>
      </c>
      <c r="B94" s="25" t="s">
        <v>2176</v>
      </c>
      <c r="C94" s="50"/>
      <c r="D94" s="50" t="s">
        <v>2176</v>
      </c>
      <c r="E94" s="49" t="s">
        <v>17</v>
      </c>
      <c r="F94" s="49" t="s">
        <v>2104</v>
      </c>
      <c r="G94" s="25" t="s">
        <v>2405</v>
      </c>
      <c r="H94" s="51" t="n">
        <v>5</v>
      </c>
      <c r="I94" s="49"/>
      <c r="J94" s="50" t="s">
        <v>2527</v>
      </c>
      <c r="K94" s="25" t="s">
        <v>2528</v>
      </c>
      <c r="L94" s="49" t="s">
        <v>2529</v>
      </c>
      <c r="M94" s="25" t="s">
        <v>2498</v>
      </c>
      <c r="N94" s="49" t="s">
        <v>2499</v>
      </c>
      <c r="O94" s="25" t="s">
        <v>2333</v>
      </c>
      <c r="P94" s="49" t="s">
        <v>2426</v>
      </c>
      <c r="Q94" s="49"/>
      <c r="R94" s="50" t="s">
        <v>44</v>
      </c>
      <c r="S94" s="52" t="s">
        <v>67</v>
      </c>
    </row>
    <row r="95" customFormat="false" ht="15" hidden="false" customHeight="true" outlineLevel="0" collapsed="false">
      <c r="A95" s="46" t="n">
        <v>91</v>
      </c>
      <c r="B95" s="24" t="s">
        <v>2176</v>
      </c>
      <c r="C95" s="47"/>
      <c r="D95" s="47" t="s">
        <v>2176</v>
      </c>
      <c r="E95" s="46" t="s">
        <v>17</v>
      </c>
      <c r="F95" s="46" t="s">
        <v>2104</v>
      </c>
      <c r="G95" s="24" t="s">
        <v>2405</v>
      </c>
      <c r="H95" s="48" t="n">
        <v>5</v>
      </c>
      <c r="I95" s="46"/>
      <c r="J95" s="47" t="s">
        <v>2530</v>
      </c>
      <c r="K95" s="24" t="s">
        <v>2531</v>
      </c>
      <c r="L95" s="46" t="s">
        <v>2532</v>
      </c>
      <c r="M95" s="24" t="s">
        <v>2498</v>
      </c>
      <c r="N95" s="46" t="s">
        <v>2499</v>
      </c>
      <c r="O95" s="24" t="s">
        <v>2333</v>
      </c>
      <c r="P95" s="46" t="s">
        <v>2426</v>
      </c>
      <c r="Q95" s="46"/>
      <c r="R95" s="47" t="s">
        <v>44</v>
      </c>
      <c r="S95" s="52" t="s">
        <v>67</v>
      </c>
    </row>
    <row r="96" customFormat="false" ht="15" hidden="false" customHeight="true" outlineLevel="0" collapsed="false">
      <c r="A96" s="49" t="n">
        <v>92</v>
      </c>
      <c r="B96" s="25" t="s">
        <v>2176</v>
      </c>
      <c r="C96" s="50"/>
      <c r="D96" s="50" t="s">
        <v>2176</v>
      </c>
      <c r="E96" s="49" t="s">
        <v>17</v>
      </c>
      <c r="F96" s="49" t="s">
        <v>2104</v>
      </c>
      <c r="G96" s="25" t="s">
        <v>2405</v>
      </c>
      <c r="H96" s="51" t="n">
        <v>5</v>
      </c>
      <c r="I96" s="49"/>
      <c r="J96" s="50" t="s">
        <v>2533</v>
      </c>
      <c r="K96" s="25" t="s">
        <v>2534</v>
      </c>
      <c r="L96" s="49" t="s">
        <v>2535</v>
      </c>
      <c r="M96" s="25" t="s">
        <v>2498</v>
      </c>
      <c r="N96" s="49" t="s">
        <v>2499</v>
      </c>
      <c r="O96" s="25" t="s">
        <v>2333</v>
      </c>
      <c r="P96" s="49" t="s">
        <v>2426</v>
      </c>
      <c r="Q96" s="49"/>
      <c r="R96" s="50" t="s">
        <v>44</v>
      </c>
      <c r="S96" s="52" t="s">
        <v>67</v>
      </c>
    </row>
    <row r="97" customFormat="false" ht="15" hidden="false" customHeight="true" outlineLevel="0" collapsed="false">
      <c r="A97" s="46" t="n">
        <v>93</v>
      </c>
      <c r="B97" s="24" t="s">
        <v>2176</v>
      </c>
      <c r="C97" s="47"/>
      <c r="D97" s="47" t="s">
        <v>2176</v>
      </c>
      <c r="E97" s="46" t="s">
        <v>17</v>
      </c>
      <c r="F97" s="46" t="s">
        <v>2104</v>
      </c>
      <c r="G97" s="24" t="s">
        <v>2405</v>
      </c>
      <c r="H97" s="48" t="n">
        <v>5</v>
      </c>
      <c r="I97" s="46"/>
      <c r="J97" s="47" t="s">
        <v>2536</v>
      </c>
      <c r="K97" s="24" t="s">
        <v>2537</v>
      </c>
      <c r="L97" s="46" t="s">
        <v>2538</v>
      </c>
      <c r="M97" s="24" t="s">
        <v>2498</v>
      </c>
      <c r="N97" s="46" t="s">
        <v>2499</v>
      </c>
      <c r="O97" s="24" t="s">
        <v>2333</v>
      </c>
      <c r="P97" s="46" t="s">
        <v>2426</v>
      </c>
      <c r="Q97" s="46"/>
      <c r="R97" s="47" t="s">
        <v>44</v>
      </c>
      <c r="S97" s="52" t="s">
        <v>67</v>
      </c>
    </row>
    <row r="98" customFormat="false" ht="15" hidden="false" customHeight="true" outlineLevel="0" collapsed="false">
      <c r="A98" s="49" t="n">
        <v>94</v>
      </c>
      <c r="B98" s="25" t="s">
        <v>2176</v>
      </c>
      <c r="C98" s="50"/>
      <c r="D98" s="50" t="s">
        <v>2176</v>
      </c>
      <c r="E98" s="49" t="s">
        <v>17</v>
      </c>
      <c r="F98" s="49" t="s">
        <v>2104</v>
      </c>
      <c r="G98" s="25" t="s">
        <v>2405</v>
      </c>
      <c r="H98" s="51" t="n">
        <v>5</v>
      </c>
      <c r="I98" s="49"/>
      <c r="J98" s="50" t="s">
        <v>2539</v>
      </c>
      <c r="K98" s="25" t="s">
        <v>2540</v>
      </c>
      <c r="L98" s="49" t="s">
        <v>2541</v>
      </c>
      <c r="M98" s="25" t="s">
        <v>2542</v>
      </c>
      <c r="N98" s="49" t="s">
        <v>2543</v>
      </c>
      <c r="O98" s="25" t="s">
        <v>2333</v>
      </c>
      <c r="P98" s="49" t="s">
        <v>2426</v>
      </c>
      <c r="Q98" s="49"/>
      <c r="R98" s="50" t="s">
        <v>44</v>
      </c>
      <c r="S98" s="52" t="s">
        <v>67</v>
      </c>
    </row>
    <row r="99" customFormat="false" ht="15" hidden="false" customHeight="true" outlineLevel="0" collapsed="false">
      <c r="A99" s="46" t="n">
        <v>95</v>
      </c>
      <c r="B99" s="24" t="s">
        <v>2176</v>
      </c>
      <c r="C99" s="47"/>
      <c r="D99" s="47" t="s">
        <v>2176</v>
      </c>
      <c r="E99" s="46" t="s">
        <v>17</v>
      </c>
      <c r="F99" s="46" t="s">
        <v>2104</v>
      </c>
      <c r="G99" s="24" t="s">
        <v>2405</v>
      </c>
      <c r="H99" s="48" t="n">
        <v>5</v>
      </c>
      <c r="I99" s="46"/>
      <c r="J99" s="47" t="s">
        <v>2544</v>
      </c>
      <c r="K99" s="24" t="s">
        <v>1503</v>
      </c>
      <c r="L99" s="46" t="s">
        <v>2545</v>
      </c>
      <c r="M99" s="24" t="s">
        <v>2542</v>
      </c>
      <c r="N99" s="46" t="s">
        <v>2543</v>
      </c>
      <c r="O99" s="24" t="s">
        <v>2333</v>
      </c>
      <c r="P99" s="46" t="s">
        <v>2426</v>
      </c>
      <c r="Q99" s="46"/>
      <c r="R99" s="47" t="s">
        <v>44</v>
      </c>
      <c r="S99" s="52" t="s">
        <v>67</v>
      </c>
    </row>
    <row r="100" customFormat="false" ht="15" hidden="false" customHeight="true" outlineLevel="0" collapsed="false">
      <c r="A100" s="49" t="n">
        <v>96</v>
      </c>
      <c r="B100" s="25" t="s">
        <v>2176</v>
      </c>
      <c r="C100" s="50"/>
      <c r="D100" s="50" t="s">
        <v>2176</v>
      </c>
      <c r="E100" s="49" t="s">
        <v>17</v>
      </c>
      <c r="F100" s="49" t="s">
        <v>2104</v>
      </c>
      <c r="G100" s="25" t="s">
        <v>2405</v>
      </c>
      <c r="H100" s="51" t="n">
        <v>5</v>
      </c>
      <c r="I100" s="49"/>
      <c r="J100" s="50" t="s">
        <v>2546</v>
      </c>
      <c r="K100" s="25" t="s">
        <v>2547</v>
      </c>
      <c r="L100" s="49" t="s">
        <v>2548</v>
      </c>
      <c r="M100" s="25" t="s">
        <v>2542</v>
      </c>
      <c r="N100" s="49" t="s">
        <v>2543</v>
      </c>
      <c r="O100" s="25" t="s">
        <v>2333</v>
      </c>
      <c r="P100" s="49" t="s">
        <v>2426</v>
      </c>
      <c r="Q100" s="49"/>
      <c r="R100" s="50" t="s">
        <v>44</v>
      </c>
      <c r="S100" s="52" t="s">
        <v>67</v>
      </c>
    </row>
    <row r="101" customFormat="false" ht="15" hidden="false" customHeight="true" outlineLevel="0" collapsed="false">
      <c r="A101" s="46" t="n">
        <v>97</v>
      </c>
      <c r="B101" s="24" t="s">
        <v>2176</v>
      </c>
      <c r="C101" s="47"/>
      <c r="D101" s="47" t="s">
        <v>2176</v>
      </c>
      <c r="E101" s="46" t="s">
        <v>17</v>
      </c>
      <c r="F101" s="46" t="s">
        <v>2104</v>
      </c>
      <c r="G101" s="24" t="s">
        <v>2405</v>
      </c>
      <c r="H101" s="48" t="n">
        <v>5</v>
      </c>
      <c r="I101" s="46"/>
      <c r="J101" s="47" t="s">
        <v>2549</v>
      </c>
      <c r="K101" s="24" t="s">
        <v>2550</v>
      </c>
      <c r="L101" s="46" t="s">
        <v>2551</v>
      </c>
      <c r="M101" s="24" t="s">
        <v>2542</v>
      </c>
      <c r="N101" s="46" t="s">
        <v>2543</v>
      </c>
      <c r="O101" s="24" t="s">
        <v>2333</v>
      </c>
      <c r="P101" s="46" t="s">
        <v>2426</v>
      </c>
      <c r="Q101" s="46"/>
      <c r="R101" s="47" t="s">
        <v>44</v>
      </c>
      <c r="S101" s="52" t="s">
        <v>67</v>
      </c>
    </row>
    <row r="102" customFormat="false" ht="15" hidden="false" customHeight="true" outlineLevel="0" collapsed="false">
      <c r="A102" s="49" t="n">
        <v>98</v>
      </c>
      <c r="B102" s="25" t="s">
        <v>2552</v>
      </c>
      <c r="C102" s="50"/>
      <c r="D102" s="50" t="s">
        <v>2552</v>
      </c>
      <c r="E102" s="49" t="s">
        <v>22</v>
      </c>
      <c r="F102" s="49" t="s">
        <v>2104</v>
      </c>
      <c r="G102" s="25" t="s">
        <v>2405</v>
      </c>
      <c r="H102" s="51" t="n">
        <v>5</v>
      </c>
      <c r="I102" s="49"/>
      <c r="J102" s="50" t="s">
        <v>2553</v>
      </c>
      <c r="K102" s="25" t="s">
        <v>2554</v>
      </c>
      <c r="L102" s="49" t="s">
        <v>2555</v>
      </c>
      <c r="M102" s="25" t="s">
        <v>2542</v>
      </c>
      <c r="N102" s="49" t="s">
        <v>2543</v>
      </c>
      <c r="O102" s="25" t="s">
        <v>2333</v>
      </c>
      <c r="P102" s="49" t="s">
        <v>2426</v>
      </c>
      <c r="Q102" s="49"/>
      <c r="R102" s="50" t="s">
        <v>44</v>
      </c>
      <c r="S102" s="52" t="s">
        <v>67</v>
      </c>
    </row>
    <row r="103" customFormat="false" ht="15" hidden="false" customHeight="true" outlineLevel="0" collapsed="false">
      <c r="A103" s="46" t="n">
        <v>99</v>
      </c>
      <c r="B103" s="24" t="s">
        <v>2176</v>
      </c>
      <c r="C103" s="47"/>
      <c r="D103" s="47" t="s">
        <v>2176</v>
      </c>
      <c r="E103" s="46" t="s">
        <v>17</v>
      </c>
      <c r="F103" s="46" t="s">
        <v>2104</v>
      </c>
      <c r="G103" s="24" t="s">
        <v>2405</v>
      </c>
      <c r="H103" s="48" t="n">
        <v>5</v>
      </c>
      <c r="I103" s="46"/>
      <c r="J103" s="47" t="s">
        <v>2556</v>
      </c>
      <c r="K103" s="24" t="s">
        <v>2557</v>
      </c>
      <c r="L103" s="46" t="s">
        <v>2558</v>
      </c>
      <c r="M103" s="24" t="s">
        <v>2542</v>
      </c>
      <c r="N103" s="46" t="s">
        <v>2543</v>
      </c>
      <c r="O103" s="24" t="s">
        <v>2333</v>
      </c>
      <c r="P103" s="46" t="s">
        <v>2426</v>
      </c>
      <c r="Q103" s="46"/>
      <c r="R103" s="47" t="s">
        <v>44</v>
      </c>
      <c r="S103" s="52" t="s">
        <v>67</v>
      </c>
    </row>
    <row r="104" customFormat="false" ht="15" hidden="false" customHeight="true" outlineLevel="0" collapsed="false">
      <c r="A104" s="49" t="n">
        <v>100</v>
      </c>
      <c r="B104" s="25" t="s">
        <v>2176</v>
      </c>
      <c r="C104" s="50"/>
      <c r="D104" s="50" t="s">
        <v>2176</v>
      </c>
      <c r="E104" s="49" t="s">
        <v>17</v>
      </c>
      <c r="F104" s="49" t="s">
        <v>2104</v>
      </c>
      <c r="G104" s="25" t="s">
        <v>2405</v>
      </c>
      <c r="H104" s="51" t="n">
        <v>5</v>
      </c>
      <c r="I104" s="49"/>
      <c r="J104" s="50" t="s">
        <v>2559</v>
      </c>
      <c r="K104" s="25" t="s">
        <v>2560</v>
      </c>
      <c r="L104" s="49" t="s">
        <v>2561</v>
      </c>
      <c r="M104" s="25" t="s">
        <v>2542</v>
      </c>
      <c r="N104" s="49" t="s">
        <v>2543</v>
      </c>
      <c r="O104" s="25" t="s">
        <v>2333</v>
      </c>
      <c r="P104" s="49" t="s">
        <v>2426</v>
      </c>
      <c r="Q104" s="49"/>
      <c r="R104" s="50" t="s">
        <v>44</v>
      </c>
      <c r="S104" s="52" t="s">
        <v>67</v>
      </c>
    </row>
    <row r="105" customFormat="false" ht="15" hidden="false" customHeight="true" outlineLevel="0" collapsed="false">
      <c r="A105" s="46" t="n">
        <v>101</v>
      </c>
      <c r="B105" s="24" t="s">
        <v>2176</v>
      </c>
      <c r="C105" s="47"/>
      <c r="D105" s="47" t="s">
        <v>2176</v>
      </c>
      <c r="E105" s="46" t="s">
        <v>17</v>
      </c>
      <c r="F105" s="46" t="s">
        <v>2104</v>
      </c>
      <c r="G105" s="24" t="s">
        <v>2405</v>
      </c>
      <c r="H105" s="48" t="n">
        <v>5</v>
      </c>
      <c r="I105" s="46"/>
      <c r="J105" s="47" t="s">
        <v>2562</v>
      </c>
      <c r="K105" s="24" t="s">
        <v>2563</v>
      </c>
      <c r="L105" s="46" t="s">
        <v>2564</v>
      </c>
      <c r="M105" s="24" t="s">
        <v>2542</v>
      </c>
      <c r="N105" s="46" t="s">
        <v>2543</v>
      </c>
      <c r="O105" s="24" t="s">
        <v>2333</v>
      </c>
      <c r="P105" s="46" t="s">
        <v>2426</v>
      </c>
      <c r="Q105" s="46"/>
      <c r="R105" s="47" t="s">
        <v>44</v>
      </c>
      <c r="S105" s="52" t="s">
        <v>67</v>
      </c>
    </row>
    <row r="106" customFormat="false" ht="15" hidden="false" customHeight="true" outlineLevel="0" collapsed="false">
      <c r="A106" s="49" t="n">
        <v>102</v>
      </c>
      <c r="B106" s="25" t="s">
        <v>2176</v>
      </c>
      <c r="C106" s="50"/>
      <c r="D106" s="50" t="s">
        <v>2176</v>
      </c>
      <c r="E106" s="49" t="s">
        <v>17</v>
      </c>
      <c r="F106" s="49" t="s">
        <v>2104</v>
      </c>
      <c r="G106" s="25" t="s">
        <v>2405</v>
      </c>
      <c r="H106" s="51" t="n">
        <v>5</v>
      </c>
      <c r="I106" s="49"/>
      <c r="J106" s="50" t="s">
        <v>2565</v>
      </c>
      <c r="K106" s="25" t="s">
        <v>2180</v>
      </c>
      <c r="L106" s="49" t="s">
        <v>2566</v>
      </c>
      <c r="M106" s="25" t="s">
        <v>2542</v>
      </c>
      <c r="N106" s="49" t="s">
        <v>2543</v>
      </c>
      <c r="O106" s="25" t="s">
        <v>2333</v>
      </c>
      <c r="P106" s="49" t="s">
        <v>2426</v>
      </c>
      <c r="Q106" s="49"/>
      <c r="R106" s="50" t="s">
        <v>44</v>
      </c>
      <c r="S106" s="52" t="s">
        <v>67</v>
      </c>
    </row>
    <row r="107" customFormat="false" ht="15" hidden="false" customHeight="true" outlineLevel="0" collapsed="false">
      <c r="A107" s="46" t="n">
        <v>103</v>
      </c>
      <c r="B107" s="24" t="s">
        <v>2176</v>
      </c>
      <c r="C107" s="47"/>
      <c r="D107" s="47" t="s">
        <v>2176</v>
      </c>
      <c r="E107" s="46" t="s">
        <v>17</v>
      </c>
      <c r="F107" s="46" t="s">
        <v>2104</v>
      </c>
      <c r="G107" s="24" t="s">
        <v>2405</v>
      </c>
      <c r="H107" s="48" t="n">
        <v>5</v>
      </c>
      <c r="I107" s="46"/>
      <c r="J107" s="47" t="s">
        <v>2567</v>
      </c>
      <c r="K107" s="24" t="s">
        <v>2568</v>
      </c>
      <c r="L107" s="46" t="s">
        <v>2569</v>
      </c>
      <c r="M107" s="24" t="s">
        <v>2542</v>
      </c>
      <c r="N107" s="46" t="s">
        <v>2543</v>
      </c>
      <c r="O107" s="24" t="s">
        <v>2333</v>
      </c>
      <c r="P107" s="46" t="s">
        <v>2426</v>
      </c>
      <c r="Q107" s="46"/>
      <c r="R107" s="47" t="s">
        <v>44</v>
      </c>
      <c r="S107" s="52" t="s">
        <v>67</v>
      </c>
    </row>
    <row r="108" customFormat="false" ht="15" hidden="false" customHeight="true" outlineLevel="0" collapsed="false">
      <c r="A108" s="49" t="n">
        <v>104</v>
      </c>
      <c r="B108" s="25" t="s">
        <v>2176</v>
      </c>
      <c r="C108" s="50"/>
      <c r="D108" s="50" t="s">
        <v>2176</v>
      </c>
      <c r="E108" s="49" t="s">
        <v>17</v>
      </c>
      <c r="F108" s="49" t="s">
        <v>2104</v>
      </c>
      <c r="G108" s="25" t="s">
        <v>2405</v>
      </c>
      <c r="H108" s="51" t="n">
        <v>5</v>
      </c>
      <c r="I108" s="49"/>
      <c r="J108" s="50" t="s">
        <v>2570</v>
      </c>
      <c r="K108" s="25" t="s">
        <v>2571</v>
      </c>
      <c r="L108" s="49" t="s">
        <v>2572</v>
      </c>
      <c r="M108" s="25" t="s">
        <v>2542</v>
      </c>
      <c r="N108" s="49" t="s">
        <v>2543</v>
      </c>
      <c r="O108" s="25" t="s">
        <v>2333</v>
      </c>
      <c r="P108" s="49" t="s">
        <v>2426</v>
      </c>
      <c r="Q108" s="49"/>
      <c r="R108" s="50" t="s">
        <v>44</v>
      </c>
      <c r="S108" s="52" t="s">
        <v>67</v>
      </c>
    </row>
    <row r="109" customFormat="false" ht="15" hidden="false" customHeight="true" outlineLevel="0" collapsed="false">
      <c r="A109" s="46" t="n">
        <v>105</v>
      </c>
      <c r="B109" s="24" t="s">
        <v>2182</v>
      </c>
      <c r="C109" s="47"/>
      <c r="D109" s="47" t="s">
        <v>2182</v>
      </c>
      <c r="E109" s="46" t="s">
        <v>17</v>
      </c>
      <c r="F109" s="46" t="s">
        <v>2104</v>
      </c>
      <c r="G109" s="24" t="s">
        <v>2405</v>
      </c>
      <c r="H109" s="48" t="n">
        <v>5</v>
      </c>
      <c r="I109" s="46"/>
      <c r="J109" s="47" t="s">
        <v>2573</v>
      </c>
      <c r="K109" s="24" t="s">
        <v>2574</v>
      </c>
      <c r="L109" s="46" t="s">
        <v>2575</v>
      </c>
      <c r="M109" s="24" t="s">
        <v>2542</v>
      </c>
      <c r="N109" s="46" t="s">
        <v>2543</v>
      </c>
      <c r="O109" s="24" t="s">
        <v>2333</v>
      </c>
      <c r="P109" s="46" t="s">
        <v>2426</v>
      </c>
      <c r="Q109" s="46"/>
      <c r="R109" s="47" t="s">
        <v>44</v>
      </c>
      <c r="S109" s="52" t="s">
        <v>67</v>
      </c>
    </row>
    <row r="110" customFormat="false" ht="15" hidden="false" customHeight="true" outlineLevel="0" collapsed="false">
      <c r="A110" s="49" t="n">
        <v>106</v>
      </c>
      <c r="B110" s="25" t="s">
        <v>2182</v>
      </c>
      <c r="C110" s="50"/>
      <c r="D110" s="50" t="s">
        <v>2182</v>
      </c>
      <c r="E110" s="49" t="s">
        <v>17</v>
      </c>
      <c r="F110" s="49" t="s">
        <v>2104</v>
      </c>
      <c r="G110" s="25" t="s">
        <v>2405</v>
      </c>
      <c r="H110" s="51" t="n">
        <v>5</v>
      </c>
      <c r="I110" s="49"/>
      <c r="J110" s="50" t="s">
        <v>2576</v>
      </c>
      <c r="K110" s="25" t="s">
        <v>2577</v>
      </c>
      <c r="L110" s="49" t="s">
        <v>2548</v>
      </c>
      <c r="M110" s="25" t="s">
        <v>2542</v>
      </c>
      <c r="N110" s="49" t="s">
        <v>2543</v>
      </c>
      <c r="O110" s="25" t="s">
        <v>2333</v>
      </c>
      <c r="P110" s="49" t="s">
        <v>2426</v>
      </c>
      <c r="Q110" s="49"/>
      <c r="R110" s="50" t="s">
        <v>44</v>
      </c>
      <c r="S110" s="52" t="s">
        <v>67</v>
      </c>
    </row>
    <row r="111" customFormat="false" ht="15" hidden="false" customHeight="true" outlineLevel="0" collapsed="false">
      <c r="A111" s="46" t="n">
        <v>107</v>
      </c>
      <c r="B111" s="24" t="s">
        <v>2182</v>
      </c>
      <c r="C111" s="47"/>
      <c r="D111" s="47" t="s">
        <v>2182</v>
      </c>
      <c r="E111" s="46" t="s">
        <v>17</v>
      </c>
      <c r="F111" s="46" t="s">
        <v>2104</v>
      </c>
      <c r="G111" s="24" t="s">
        <v>2405</v>
      </c>
      <c r="H111" s="48" t="n">
        <v>5</v>
      </c>
      <c r="I111" s="46"/>
      <c r="J111" s="47" t="s">
        <v>2578</v>
      </c>
      <c r="K111" s="24" t="s">
        <v>2579</v>
      </c>
      <c r="L111" s="46" t="s">
        <v>2580</v>
      </c>
      <c r="M111" s="24" t="s">
        <v>2542</v>
      </c>
      <c r="N111" s="46" t="s">
        <v>2543</v>
      </c>
      <c r="O111" s="24" t="s">
        <v>2333</v>
      </c>
      <c r="P111" s="46" t="s">
        <v>2426</v>
      </c>
      <c r="Q111" s="46"/>
      <c r="R111" s="47" t="s">
        <v>44</v>
      </c>
      <c r="S111" s="52" t="s">
        <v>67</v>
      </c>
    </row>
    <row r="112" customFormat="false" ht="15" hidden="false" customHeight="true" outlineLevel="0" collapsed="false">
      <c r="A112" s="49" t="n">
        <v>108</v>
      </c>
      <c r="B112" s="25" t="s">
        <v>2182</v>
      </c>
      <c r="C112" s="50"/>
      <c r="D112" s="50" t="s">
        <v>2182</v>
      </c>
      <c r="E112" s="49" t="s">
        <v>17</v>
      </c>
      <c r="F112" s="49" t="s">
        <v>2104</v>
      </c>
      <c r="G112" s="25" t="s">
        <v>2405</v>
      </c>
      <c r="H112" s="51" t="n">
        <v>5</v>
      </c>
      <c r="I112" s="49"/>
      <c r="J112" s="50" t="s">
        <v>2581</v>
      </c>
      <c r="K112" s="25" t="s">
        <v>2582</v>
      </c>
      <c r="L112" s="49" t="s">
        <v>2583</v>
      </c>
      <c r="M112" s="25" t="s">
        <v>2542</v>
      </c>
      <c r="N112" s="49" t="s">
        <v>2543</v>
      </c>
      <c r="O112" s="25" t="s">
        <v>2333</v>
      </c>
      <c r="P112" s="49" t="s">
        <v>2426</v>
      </c>
      <c r="Q112" s="49"/>
      <c r="R112" s="50" t="s">
        <v>44</v>
      </c>
      <c r="S112" s="52" t="s">
        <v>67</v>
      </c>
    </row>
    <row r="113" customFormat="false" ht="15" hidden="false" customHeight="true" outlineLevel="0" collapsed="false">
      <c r="A113" s="46" t="n">
        <v>109</v>
      </c>
      <c r="B113" s="24" t="s">
        <v>2182</v>
      </c>
      <c r="C113" s="47"/>
      <c r="D113" s="47" t="s">
        <v>2182</v>
      </c>
      <c r="E113" s="46" t="s">
        <v>17</v>
      </c>
      <c r="F113" s="46" t="s">
        <v>2104</v>
      </c>
      <c r="G113" s="24" t="s">
        <v>2405</v>
      </c>
      <c r="H113" s="48" t="n">
        <v>5</v>
      </c>
      <c r="I113" s="46"/>
      <c r="J113" s="47" t="s">
        <v>2584</v>
      </c>
      <c r="K113" s="24" t="s">
        <v>2585</v>
      </c>
      <c r="L113" s="46" t="s">
        <v>2575</v>
      </c>
      <c r="M113" s="24" t="s">
        <v>2542</v>
      </c>
      <c r="N113" s="46" t="s">
        <v>2543</v>
      </c>
      <c r="O113" s="24" t="s">
        <v>2333</v>
      </c>
      <c r="P113" s="46" t="s">
        <v>2426</v>
      </c>
      <c r="Q113" s="46"/>
      <c r="R113" s="47" t="s">
        <v>44</v>
      </c>
      <c r="S113" s="52" t="s">
        <v>67</v>
      </c>
    </row>
    <row r="114" customFormat="false" ht="15" hidden="false" customHeight="true" outlineLevel="0" collapsed="false">
      <c r="A114" s="49" t="n">
        <v>110</v>
      </c>
      <c r="B114" s="25" t="s">
        <v>2182</v>
      </c>
      <c r="C114" s="50"/>
      <c r="D114" s="50" t="s">
        <v>2182</v>
      </c>
      <c r="E114" s="49" t="s">
        <v>17</v>
      </c>
      <c r="F114" s="49" t="s">
        <v>2104</v>
      </c>
      <c r="G114" s="25" t="s">
        <v>2405</v>
      </c>
      <c r="H114" s="51" t="n">
        <v>5</v>
      </c>
      <c r="I114" s="49"/>
      <c r="J114" s="50" t="s">
        <v>2586</v>
      </c>
      <c r="K114" s="25" t="s">
        <v>2587</v>
      </c>
      <c r="L114" s="49" t="s">
        <v>2588</v>
      </c>
      <c r="M114" s="25" t="s">
        <v>2542</v>
      </c>
      <c r="N114" s="49" t="s">
        <v>2543</v>
      </c>
      <c r="O114" s="25" t="s">
        <v>2333</v>
      </c>
      <c r="P114" s="49" t="s">
        <v>2426</v>
      </c>
      <c r="Q114" s="49"/>
      <c r="R114" s="50" t="s">
        <v>44</v>
      </c>
      <c r="S114" s="52" t="s">
        <v>67</v>
      </c>
    </row>
    <row r="115" customFormat="false" ht="15" hidden="false" customHeight="true" outlineLevel="0" collapsed="false">
      <c r="A115" s="46" t="n">
        <v>111</v>
      </c>
      <c r="B115" s="24" t="s">
        <v>2182</v>
      </c>
      <c r="C115" s="47"/>
      <c r="D115" s="47" t="s">
        <v>2182</v>
      </c>
      <c r="E115" s="46" t="s">
        <v>17</v>
      </c>
      <c r="F115" s="46" t="s">
        <v>2104</v>
      </c>
      <c r="G115" s="24" t="s">
        <v>2405</v>
      </c>
      <c r="H115" s="48" t="n">
        <v>5</v>
      </c>
      <c r="I115" s="46"/>
      <c r="J115" s="47" t="s">
        <v>2589</v>
      </c>
      <c r="K115" s="24" t="s">
        <v>2590</v>
      </c>
      <c r="L115" s="46" t="s">
        <v>2591</v>
      </c>
      <c r="M115" s="24" t="s">
        <v>2542</v>
      </c>
      <c r="N115" s="46" t="s">
        <v>2543</v>
      </c>
      <c r="O115" s="24" t="s">
        <v>2333</v>
      </c>
      <c r="P115" s="46" t="s">
        <v>2426</v>
      </c>
      <c r="Q115" s="46"/>
      <c r="R115" s="47" t="s">
        <v>44</v>
      </c>
      <c r="S115" s="52" t="s">
        <v>67</v>
      </c>
    </row>
    <row r="116" customFormat="false" ht="15" hidden="false" customHeight="true" outlineLevel="0" collapsed="false">
      <c r="A116" s="49" t="n">
        <v>112</v>
      </c>
      <c r="B116" s="25" t="s">
        <v>2182</v>
      </c>
      <c r="C116" s="50"/>
      <c r="D116" s="50" t="s">
        <v>2182</v>
      </c>
      <c r="E116" s="49" t="s">
        <v>17</v>
      </c>
      <c r="F116" s="49" t="s">
        <v>2104</v>
      </c>
      <c r="G116" s="25" t="s">
        <v>2405</v>
      </c>
      <c r="H116" s="51" t="n">
        <v>5</v>
      </c>
      <c r="I116" s="49"/>
      <c r="J116" s="50" t="s">
        <v>2592</v>
      </c>
      <c r="K116" s="25" t="s">
        <v>2593</v>
      </c>
      <c r="L116" s="49" t="s">
        <v>2583</v>
      </c>
      <c r="M116" s="25" t="s">
        <v>2542</v>
      </c>
      <c r="N116" s="49" t="s">
        <v>2543</v>
      </c>
      <c r="O116" s="25" t="s">
        <v>2333</v>
      </c>
      <c r="P116" s="49" t="s">
        <v>2426</v>
      </c>
      <c r="Q116" s="49"/>
      <c r="R116" s="50" t="s">
        <v>44</v>
      </c>
      <c r="S116" s="52" t="s">
        <v>67</v>
      </c>
    </row>
    <row r="117" customFormat="false" ht="15" hidden="false" customHeight="true" outlineLevel="0" collapsed="false">
      <c r="A117" s="46" t="n">
        <v>113</v>
      </c>
      <c r="B117" s="24" t="s">
        <v>2182</v>
      </c>
      <c r="C117" s="47"/>
      <c r="D117" s="47" t="s">
        <v>2182</v>
      </c>
      <c r="E117" s="46" t="s">
        <v>17</v>
      </c>
      <c r="F117" s="46" t="s">
        <v>2104</v>
      </c>
      <c r="G117" s="24" t="s">
        <v>2405</v>
      </c>
      <c r="H117" s="48" t="n">
        <v>5</v>
      </c>
      <c r="I117" s="46"/>
      <c r="J117" s="47" t="s">
        <v>2594</v>
      </c>
      <c r="K117" s="24" t="s">
        <v>2595</v>
      </c>
      <c r="L117" s="46" t="s">
        <v>2596</v>
      </c>
      <c r="M117" s="24" t="s">
        <v>2542</v>
      </c>
      <c r="N117" s="46" t="s">
        <v>2543</v>
      </c>
      <c r="O117" s="24" t="s">
        <v>2333</v>
      </c>
      <c r="P117" s="46" t="s">
        <v>2426</v>
      </c>
      <c r="Q117" s="46"/>
      <c r="R117" s="47" t="s">
        <v>44</v>
      </c>
      <c r="S117" s="52" t="s">
        <v>67</v>
      </c>
    </row>
    <row r="118" customFormat="false" ht="15" hidden="false" customHeight="true" outlineLevel="0" collapsed="false">
      <c r="A118" s="49" t="n">
        <v>114</v>
      </c>
      <c r="B118" s="25" t="s">
        <v>2182</v>
      </c>
      <c r="C118" s="50"/>
      <c r="D118" s="50" t="s">
        <v>2182</v>
      </c>
      <c r="E118" s="49" t="s">
        <v>17</v>
      </c>
      <c r="F118" s="49" t="s">
        <v>2104</v>
      </c>
      <c r="G118" s="25" t="s">
        <v>2405</v>
      </c>
      <c r="H118" s="51" t="n">
        <v>5</v>
      </c>
      <c r="I118" s="49"/>
      <c r="J118" s="50" t="s">
        <v>2597</v>
      </c>
      <c r="K118" s="25" t="s">
        <v>2598</v>
      </c>
      <c r="L118" s="49" t="s">
        <v>2599</v>
      </c>
      <c r="M118" s="25" t="s">
        <v>2174</v>
      </c>
      <c r="N118" s="49" t="s">
        <v>2600</v>
      </c>
      <c r="O118" s="25" t="s">
        <v>2333</v>
      </c>
      <c r="P118" s="49" t="s">
        <v>2426</v>
      </c>
      <c r="Q118" s="49"/>
      <c r="R118" s="50" t="s">
        <v>44</v>
      </c>
      <c r="S118" s="52" t="s">
        <v>67</v>
      </c>
    </row>
    <row r="119" customFormat="false" ht="15" hidden="false" customHeight="true" outlineLevel="0" collapsed="false">
      <c r="A119" s="46" t="n">
        <v>115</v>
      </c>
      <c r="B119" s="24" t="s">
        <v>2182</v>
      </c>
      <c r="C119" s="47"/>
      <c r="D119" s="47" t="s">
        <v>2182</v>
      </c>
      <c r="E119" s="46" t="s">
        <v>17</v>
      </c>
      <c r="F119" s="46" t="s">
        <v>2104</v>
      </c>
      <c r="G119" s="24" t="s">
        <v>2405</v>
      </c>
      <c r="H119" s="48" t="n">
        <v>5</v>
      </c>
      <c r="I119" s="46"/>
      <c r="J119" s="47" t="s">
        <v>2601</v>
      </c>
      <c r="K119" s="24" t="s">
        <v>2602</v>
      </c>
      <c r="L119" s="46" t="s">
        <v>2603</v>
      </c>
      <c r="M119" s="24" t="s">
        <v>2174</v>
      </c>
      <c r="N119" s="46" t="s">
        <v>2600</v>
      </c>
      <c r="O119" s="24" t="s">
        <v>2333</v>
      </c>
      <c r="P119" s="46" t="s">
        <v>2426</v>
      </c>
      <c r="Q119" s="46"/>
      <c r="R119" s="47" t="s">
        <v>44</v>
      </c>
      <c r="S119" s="52" t="s">
        <v>67</v>
      </c>
    </row>
    <row r="120" customFormat="false" ht="15" hidden="false" customHeight="true" outlineLevel="0" collapsed="false">
      <c r="A120" s="49" t="n">
        <v>116</v>
      </c>
      <c r="B120" s="25" t="s">
        <v>2182</v>
      </c>
      <c r="C120" s="50"/>
      <c r="D120" s="50" t="s">
        <v>2182</v>
      </c>
      <c r="E120" s="49" t="s">
        <v>17</v>
      </c>
      <c r="F120" s="49" t="s">
        <v>2104</v>
      </c>
      <c r="G120" s="25" t="s">
        <v>2405</v>
      </c>
      <c r="H120" s="51" t="n">
        <v>5</v>
      </c>
      <c r="I120" s="49"/>
      <c r="J120" s="50" t="s">
        <v>2604</v>
      </c>
      <c r="K120" s="25" t="s">
        <v>2605</v>
      </c>
      <c r="L120" s="49" t="s">
        <v>2606</v>
      </c>
      <c r="M120" s="25" t="s">
        <v>2174</v>
      </c>
      <c r="N120" s="49" t="s">
        <v>2600</v>
      </c>
      <c r="O120" s="25" t="s">
        <v>2333</v>
      </c>
      <c r="P120" s="49" t="s">
        <v>2426</v>
      </c>
      <c r="Q120" s="49"/>
      <c r="R120" s="50" t="s">
        <v>44</v>
      </c>
      <c r="S120" s="52" t="s">
        <v>67</v>
      </c>
    </row>
    <row r="121" customFormat="false" ht="15" hidden="false" customHeight="true" outlineLevel="0" collapsed="false">
      <c r="A121" s="46" t="n">
        <v>117</v>
      </c>
      <c r="B121" s="24" t="s">
        <v>2182</v>
      </c>
      <c r="C121" s="47"/>
      <c r="D121" s="47" t="s">
        <v>2182</v>
      </c>
      <c r="E121" s="46" t="s">
        <v>17</v>
      </c>
      <c r="F121" s="46" t="s">
        <v>2104</v>
      </c>
      <c r="G121" s="24" t="s">
        <v>2405</v>
      </c>
      <c r="H121" s="48" t="n">
        <v>5</v>
      </c>
      <c r="I121" s="46"/>
      <c r="J121" s="47" t="s">
        <v>2607</v>
      </c>
      <c r="K121" s="24" t="s">
        <v>2608</v>
      </c>
      <c r="L121" s="46" t="s">
        <v>2609</v>
      </c>
      <c r="M121" s="24" t="s">
        <v>2174</v>
      </c>
      <c r="N121" s="46" t="s">
        <v>2600</v>
      </c>
      <c r="O121" s="24" t="s">
        <v>2333</v>
      </c>
      <c r="P121" s="46" t="s">
        <v>2426</v>
      </c>
      <c r="Q121" s="46"/>
      <c r="R121" s="47" t="s">
        <v>44</v>
      </c>
      <c r="S121" s="52" t="s">
        <v>67</v>
      </c>
    </row>
    <row r="122" customFormat="false" ht="15" hidden="false" customHeight="true" outlineLevel="0" collapsed="false">
      <c r="A122" s="49" t="n">
        <v>118</v>
      </c>
      <c r="B122" s="25" t="s">
        <v>2182</v>
      </c>
      <c r="C122" s="50"/>
      <c r="D122" s="50" t="s">
        <v>2182</v>
      </c>
      <c r="E122" s="49" t="s">
        <v>17</v>
      </c>
      <c r="F122" s="49" t="s">
        <v>2104</v>
      </c>
      <c r="G122" s="25" t="s">
        <v>2405</v>
      </c>
      <c r="H122" s="51" t="n">
        <v>5</v>
      </c>
      <c r="I122" s="49"/>
      <c r="J122" s="50" t="s">
        <v>2610</v>
      </c>
      <c r="K122" s="25" t="s">
        <v>2611</v>
      </c>
      <c r="L122" s="49" t="s">
        <v>2612</v>
      </c>
      <c r="M122" s="25" t="s">
        <v>2174</v>
      </c>
      <c r="N122" s="49" t="s">
        <v>2600</v>
      </c>
      <c r="O122" s="25" t="s">
        <v>2333</v>
      </c>
      <c r="P122" s="49" t="s">
        <v>2426</v>
      </c>
      <c r="Q122" s="49"/>
      <c r="R122" s="50" t="s">
        <v>44</v>
      </c>
      <c r="S122" s="52" t="s">
        <v>67</v>
      </c>
    </row>
    <row r="123" customFormat="false" ht="15" hidden="false" customHeight="true" outlineLevel="0" collapsed="false">
      <c r="A123" s="46" t="n">
        <v>119</v>
      </c>
      <c r="B123" s="24" t="s">
        <v>2182</v>
      </c>
      <c r="C123" s="47"/>
      <c r="D123" s="47" t="s">
        <v>2182</v>
      </c>
      <c r="E123" s="46" t="s">
        <v>17</v>
      </c>
      <c r="F123" s="46" t="s">
        <v>2104</v>
      </c>
      <c r="G123" s="24" t="s">
        <v>2405</v>
      </c>
      <c r="H123" s="48" t="n">
        <v>5</v>
      </c>
      <c r="I123" s="46"/>
      <c r="J123" s="47" t="s">
        <v>2613</v>
      </c>
      <c r="K123" s="24" t="s">
        <v>2614</v>
      </c>
      <c r="L123" s="46" t="s">
        <v>2615</v>
      </c>
      <c r="M123" s="24" t="s">
        <v>2174</v>
      </c>
      <c r="N123" s="46" t="s">
        <v>2600</v>
      </c>
      <c r="O123" s="24" t="s">
        <v>2333</v>
      </c>
      <c r="P123" s="46" t="s">
        <v>2426</v>
      </c>
      <c r="Q123" s="46"/>
      <c r="R123" s="47" t="s">
        <v>44</v>
      </c>
      <c r="S123" s="52" t="s">
        <v>67</v>
      </c>
    </row>
    <row r="124" customFormat="false" ht="15" hidden="false" customHeight="true" outlineLevel="0" collapsed="false">
      <c r="A124" s="49" t="n">
        <v>120</v>
      </c>
      <c r="B124" s="25" t="s">
        <v>2182</v>
      </c>
      <c r="C124" s="50"/>
      <c r="D124" s="50" t="s">
        <v>2182</v>
      </c>
      <c r="E124" s="49" t="s">
        <v>17</v>
      </c>
      <c r="F124" s="49" t="s">
        <v>2104</v>
      </c>
      <c r="G124" s="25" t="s">
        <v>2405</v>
      </c>
      <c r="H124" s="51" t="n">
        <v>5</v>
      </c>
      <c r="I124" s="49"/>
      <c r="J124" s="50" t="s">
        <v>2616</v>
      </c>
      <c r="K124" s="25" t="s">
        <v>2617</v>
      </c>
      <c r="L124" s="49" t="s">
        <v>2618</v>
      </c>
      <c r="M124" s="25" t="s">
        <v>2174</v>
      </c>
      <c r="N124" s="49" t="s">
        <v>2600</v>
      </c>
      <c r="O124" s="25" t="s">
        <v>2333</v>
      </c>
      <c r="P124" s="49" t="s">
        <v>2426</v>
      </c>
      <c r="Q124" s="49"/>
      <c r="R124" s="50" t="s">
        <v>44</v>
      </c>
      <c r="S124" s="52" t="s">
        <v>67</v>
      </c>
    </row>
    <row r="125" customFormat="false" ht="15" hidden="false" customHeight="true" outlineLevel="0" collapsed="false">
      <c r="A125" s="46" t="n">
        <v>121</v>
      </c>
      <c r="B125" s="24" t="s">
        <v>2182</v>
      </c>
      <c r="C125" s="47"/>
      <c r="D125" s="47" t="s">
        <v>2182</v>
      </c>
      <c r="E125" s="46" t="s">
        <v>17</v>
      </c>
      <c r="F125" s="46" t="s">
        <v>2104</v>
      </c>
      <c r="G125" s="24" t="s">
        <v>2405</v>
      </c>
      <c r="H125" s="48" t="n">
        <v>5</v>
      </c>
      <c r="I125" s="46"/>
      <c r="J125" s="47" t="s">
        <v>2619</v>
      </c>
      <c r="K125" s="24" t="s">
        <v>2620</v>
      </c>
      <c r="L125" s="46" t="s">
        <v>2621</v>
      </c>
      <c r="M125" s="24" t="s">
        <v>2174</v>
      </c>
      <c r="N125" s="46" t="s">
        <v>2600</v>
      </c>
      <c r="O125" s="24" t="s">
        <v>2333</v>
      </c>
      <c r="P125" s="46" t="s">
        <v>2426</v>
      </c>
      <c r="Q125" s="46"/>
      <c r="R125" s="47" t="s">
        <v>44</v>
      </c>
      <c r="S125" s="52" t="s">
        <v>67</v>
      </c>
    </row>
    <row r="126" customFormat="false" ht="15" hidden="false" customHeight="true" outlineLevel="0" collapsed="false">
      <c r="A126" s="49" t="n">
        <v>122</v>
      </c>
      <c r="B126" s="25" t="s">
        <v>2182</v>
      </c>
      <c r="C126" s="50"/>
      <c r="D126" s="50" t="s">
        <v>2182</v>
      </c>
      <c r="E126" s="49" t="s">
        <v>17</v>
      </c>
      <c r="F126" s="49" t="s">
        <v>2104</v>
      </c>
      <c r="G126" s="25" t="s">
        <v>2405</v>
      </c>
      <c r="H126" s="51" t="n">
        <v>5</v>
      </c>
      <c r="I126" s="49"/>
      <c r="J126" s="50" t="s">
        <v>2622</v>
      </c>
      <c r="K126" s="25" t="s">
        <v>2623</v>
      </c>
      <c r="L126" s="49" t="s">
        <v>2624</v>
      </c>
      <c r="M126" s="25" t="s">
        <v>2174</v>
      </c>
      <c r="N126" s="49" t="s">
        <v>2600</v>
      </c>
      <c r="O126" s="25" t="s">
        <v>2333</v>
      </c>
      <c r="P126" s="49" t="s">
        <v>2426</v>
      </c>
      <c r="Q126" s="49"/>
      <c r="R126" s="50" t="s">
        <v>44</v>
      </c>
      <c r="S126" s="52" t="s">
        <v>67</v>
      </c>
    </row>
    <row r="127" customFormat="false" ht="15" hidden="false" customHeight="true" outlineLevel="0" collapsed="false">
      <c r="A127" s="46" t="n">
        <v>123</v>
      </c>
      <c r="B127" s="24" t="s">
        <v>2182</v>
      </c>
      <c r="C127" s="47"/>
      <c r="D127" s="47" t="s">
        <v>2182</v>
      </c>
      <c r="E127" s="46" t="s">
        <v>17</v>
      </c>
      <c r="F127" s="46" t="s">
        <v>2104</v>
      </c>
      <c r="G127" s="24" t="s">
        <v>2405</v>
      </c>
      <c r="H127" s="48" t="n">
        <v>5</v>
      </c>
      <c r="I127" s="46"/>
      <c r="J127" s="47" t="s">
        <v>2625</v>
      </c>
      <c r="K127" s="24" t="s">
        <v>2560</v>
      </c>
      <c r="L127" s="46" t="s">
        <v>2626</v>
      </c>
      <c r="M127" s="24" t="s">
        <v>2174</v>
      </c>
      <c r="N127" s="46" t="s">
        <v>2600</v>
      </c>
      <c r="O127" s="24" t="s">
        <v>2333</v>
      </c>
      <c r="P127" s="46" t="s">
        <v>2426</v>
      </c>
      <c r="Q127" s="46"/>
      <c r="R127" s="47" t="s">
        <v>44</v>
      </c>
      <c r="S127" s="52" t="s">
        <v>67</v>
      </c>
    </row>
    <row r="128" customFormat="false" ht="15" hidden="false" customHeight="true" outlineLevel="0" collapsed="false">
      <c r="A128" s="49" t="n">
        <v>124</v>
      </c>
      <c r="B128" s="25" t="s">
        <v>2182</v>
      </c>
      <c r="C128" s="50"/>
      <c r="D128" s="50" t="s">
        <v>2182</v>
      </c>
      <c r="E128" s="49" t="s">
        <v>17</v>
      </c>
      <c r="F128" s="49" t="s">
        <v>2104</v>
      </c>
      <c r="G128" s="25" t="s">
        <v>2405</v>
      </c>
      <c r="H128" s="51" t="n">
        <v>5</v>
      </c>
      <c r="I128" s="49"/>
      <c r="J128" s="50" t="s">
        <v>2597</v>
      </c>
      <c r="K128" s="25" t="s">
        <v>2490</v>
      </c>
      <c r="L128" s="49" t="s">
        <v>2627</v>
      </c>
      <c r="M128" s="25" t="s">
        <v>2174</v>
      </c>
      <c r="N128" s="49" t="s">
        <v>2600</v>
      </c>
      <c r="O128" s="25" t="s">
        <v>2333</v>
      </c>
      <c r="P128" s="49" t="s">
        <v>2426</v>
      </c>
      <c r="Q128" s="49"/>
      <c r="R128" s="50" t="s">
        <v>44</v>
      </c>
      <c r="S128" s="52" t="s">
        <v>67</v>
      </c>
    </row>
    <row r="129" customFormat="false" ht="15" hidden="false" customHeight="true" outlineLevel="0" collapsed="false">
      <c r="A129" s="46" t="n">
        <v>125</v>
      </c>
      <c r="B129" s="24" t="s">
        <v>2182</v>
      </c>
      <c r="C129" s="47"/>
      <c r="D129" s="47" t="s">
        <v>2182</v>
      </c>
      <c r="E129" s="46" t="s">
        <v>17</v>
      </c>
      <c r="F129" s="46" t="s">
        <v>2104</v>
      </c>
      <c r="G129" s="24" t="s">
        <v>2405</v>
      </c>
      <c r="H129" s="48" t="n">
        <v>5</v>
      </c>
      <c r="I129" s="46"/>
      <c r="J129" s="47" t="s">
        <v>2628</v>
      </c>
      <c r="K129" s="24" t="s">
        <v>2629</v>
      </c>
      <c r="L129" s="46" t="s">
        <v>2630</v>
      </c>
      <c r="M129" s="24" t="s">
        <v>2174</v>
      </c>
      <c r="N129" s="46" t="s">
        <v>2600</v>
      </c>
      <c r="O129" s="24" t="s">
        <v>2333</v>
      </c>
      <c r="P129" s="46" t="s">
        <v>2426</v>
      </c>
      <c r="Q129" s="46"/>
      <c r="R129" s="47" t="s">
        <v>44</v>
      </c>
      <c r="S129" s="52" t="s">
        <v>67</v>
      </c>
    </row>
    <row r="130" customFormat="false" ht="15" hidden="false" customHeight="true" outlineLevel="0" collapsed="false">
      <c r="A130" s="49" t="n">
        <v>126</v>
      </c>
      <c r="B130" s="25" t="s">
        <v>2182</v>
      </c>
      <c r="C130" s="50"/>
      <c r="D130" s="50" t="s">
        <v>2182</v>
      </c>
      <c r="E130" s="49" t="s">
        <v>17</v>
      </c>
      <c r="F130" s="49" t="s">
        <v>2104</v>
      </c>
      <c r="G130" s="25" t="s">
        <v>2405</v>
      </c>
      <c r="H130" s="51" t="n">
        <v>5</v>
      </c>
      <c r="I130" s="49"/>
      <c r="J130" s="50" t="s">
        <v>2631</v>
      </c>
      <c r="K130" s="25" t="s">
        <v>2632</v>
      </c>
      <c r="L130" s="49" t="s">
        <v>2633</v>
      </c>
      <c r="M130" s="25" t="s">
        <v>2174</v>
      </c>
      <c r="N130" s="49" t="s">
        <v>2600</v>
      </c>
      <c r="O130" s="25" t="s">
        <v>2333</v>
      </c>
      <c r="P130" s="49" t="s">
        <v>2426</v>
      </c>
      <c r="Q130" s="49"/>
      <c r="R130" s="50" t="s">
        <v>44</v>
      </c>
      <c r="S130" s="52" t="s">
        <v>67</v>
      </c>
    </row>
    <row r="131" customFormat="false" ht="15" hidden="false" customHeight="true" outlineLevel="0" collapsed="false">
      <c r="A131" s="46" t="n">
        <v>127</v>
      </c>
      <c r="B131" s="24" t="s">
        <v>2182</v>
      </c>
      <c r="C131" s="47"/>
      <c r="D131" s="47" t="s">
        <v>2182</v>
      </c>
      <c r="E131" s="46" t="s">
        <v>17</v>
      </c>
      <c r="F131" s="46" t="s">
        <v>2104</v>
      </c>
      <c r="G131" s="24" t="s">
        <v>2405</v>
      </c>
      <c r="H131" s="48" t="n">
        <v>5</v>
      </c>
      <c r="I131" s="46"/>
      <c r="J131" s="47" t="s">
        <v>2634</v>
      </c>
      <c r="K131" s="24" t="s">
        <v>2635</v>
      </c>
      <c r="L131" s="46" t="s">
        <v>2636</v>
      </c>
      <c r="M131" s="24" t="s">
        <v>2174</v>
      </c>
      <c r="N131" s="46" t="s">
        <v>2600</v>
      </c>
      <c r="O131" s="24" t="s">
        <v>2333</v>
      </c>
      <c r="P131" s="46" t="s">
        <v>2426</v>
      </c>
      <c r="Q131" s="46"/>
      <c r="R131" s="47" t="s">
        <v>44</v>
      </c>
      <c r="S131" s="52" t="s">
        <v>67</v>
      </c>
    </row>
    <row r="132" customFormat="false" ht="15" hidden="false" customHeight="true" outlineLevel="0" collapsed="false">
      <c r="A132" s="49" t="n">
        <v>128</v>
      </c>
      <c r="B132" s="25" t="s">
        <v>2182</v>
      </c>
      <c r="C132" s="50"/>
      <c r="D132" s="50" t="s">
        <v>2182</v>
      </c>
      <c r="E132" s="49" t="s">
        <v>17</v>
      </c>
      <c r="F132" s="49" t="s">
        <v>2104</v>
      </c>
      <c r="G132" s="25" t="s">
        <v>2405</v>
      </c>
      <c r="H132" s="51" t="n">
        <v>5</v>
      </c>
      <c r="I132" s="49"/>
      <c r="J132" s="50" t="s">
        <v>2637</v>
      </c>
      <c r="K132" s="25" t="s">
        <v>2638</v>
      </c>
      <c r="L132" s="49" t="s">
        <v>2639</v>
      </c>
      <c r="M132" s="25" t="s">
        <v>2174</v>
      </c>
      <c r="N132" s="49" t="s">
        <v>2600</v>
      </c>
      <c r="O132" s="25" t="s">
        <v>2333</v>
      </c>
      <c r="P132" s="49" t="s">
        <v>2426</v>
      </c>
      <c r="Q132" s="49"/>
      <c r="R132" s="50" t="s">
        <v>44</v>
      </c>
      <c r="S132" s="52" t="s">
        <v>67</v>
      </c>
    </row>
    <row r="133" customFormat="false" ht="15" hidden="false" customHeight="true" outlineLevel="0" collapsed="false">
      <c r="A133" s="46" t="n">
        <v>129</v>
      </c>
      <c r="B133" s="24" t="s">
        <v>2182</v>
      </c>
      <c r="C133" s="47"/>
      <c r="D133" s="47" t="s">
        <v>2182</v>
      </c>
      <c r="E133" s="46" t="s">
        <v>17</v>
      </c>
      <c r="F133" s="46" t="s">
        <v>2104</v>
      </c>
      <c r="G133" s="24" t="s">
        <v>2405</v>
      </c>
      <c r="H133" s="48" t="n">
        <v>5</v>
      </c>
      <c r="I133" s="46"/>
      <c r="J133" s="47" t="s">
        <v>2640</v>
      </c>
      <c r="K133" s="24" t="s">
        <v>2560</v>
      </c>
      <c r="L133" s="46" t="s">
        <v>2641</v>
      </c>
      <c r="M133" s="24" t="s">
        <v>2174</v>
      </c>
      <c r="N133" s="46" t="s">
        <v>2600</v>
      </c>
      <c r="O133" s="24" t="s">
        <v>2333</v>
      </c>
      <c r="P133" s="46" t="s">
        <v>2426</v>
      </c>
      <c r="Q133" s="46"/>
      <c r="R133" s="47" t="s">
        <v>44</v>
      </c>
      <c r="S133" s="52" t="s">
        <v>67</v>
      </c>
    </row>
    <row r="134" customFormat="false" ht="15" hidden="false" customHeight="true" outlineLevel="0" collapsed="false">
      <c r="A134" s="49" t="n">
        <v>130</v>
      </c>
      <c r="B134" s="25" t="s">
        <v>2182</v>
      </c>
      <c r="C134" s="50"/>
      <c r="D134" s="50" t="s">
        <v>2182</v>
      </c>
      <c r="E134" s="49" t="s">
        <v>17</v>
      </c>
      <c r="F134" s="49" t="s">
        <v>2104</v>
      </c>
      <c r="G134" s="25" t="s">
        <v>2405</v>
      </c>
      <c r="H134" s="51" t="n">
        <v>5</v>
      </c>
      <c r="I134" s="49"/>
      <c r="J134" s="50" t="s">
        <v>2642</v>
      </c>
      <c r="K134" s="25" t="s">
        <v>2643</v>
      </c>
      <c r="L134" s="49" t="s">
        <v>2644</v>
      </c>
      <c r="M134" s="25" t="s">
        <v>2174</v>
      </c>
      <c r="N134" s="49" t="s">
        <v>2600</v>
      </c>
      <c r="O134" s="25" t="s">
        <v>2333</v>
      </c>
      <c r="P134" s="49" t="s">
        <v>2426</v>
      </c>
      <c r="Q134" s="49"/>
      <c r="R134" s="50" t="s">
        <v>44</v>
      </c>
      <c r="S134" s="52" t="s">
        <v>67</v>
      </c>
    </row>
    <row r="135" customFormat="false" ht="15" hidden="false" customHeight="true" outlineLevel="0" collapsed="false">
      <c r="A135" s="46" t="n">
        <v>131</v>
      </c>
      <c r="B135" s="24" t="s">
        <v>2182</v>
      </c>
      <c r="C135" s="47"/>
      <c r="D135" s="47" t="s">
        <v>2182</v>
      </c>
      <c r="E135" s="46" t="s">
        <v>17</v>
      </c>
      <c r="F135" s="46" t="s">
        <v>2104</v>
      </c>
      <c r="G135" s="24" t="s">
        <v>2405</v>
      </c>
      <c r="H135" s="48" t="n">
        <v>5</v>
      </c>
      <c r="I135" s="46"/>
      <c r="J135" s="47" t="s">
        <v>2645</v>
      </c>
      <c r="K135" s="24" t="s">
        <v>2646</v>
      </c>
      <c r="L135" s="46" t="s">
        <v>2647</v>
      </c>
      <c r="M135" s="24" t="s">
        <v>2174</v>
      </c>
      <c r="N135" s="46" t="s">
        <v>2600</v>
      </c>
      <c r="O135" s="24" t="s">
        <v>2333</v>
      </c>
      <c r="P135" s="46" t="s">
        <v>2426</v>
      </c>
      <c r="Q135" s="46"/>
      <c r="R135" s="47" t="s">
        <v>44</v>
      </c>
      <c r="S135" s="52" t="s">
        <v>67</v>
      </c>
    </row>
    <row r="136" customFormat="false" ht="15" hidden="false" customHeight="true" outlineLevel="0" collapsed="false">
      <c r="A136" s="49" t="n">
        <v>132</v>
      </c>
      <c r="B136" s="25" t="s">
        <v>2182</v>
      </c>
      <c r="C136" s="50"/>
      <c r="D136" s="50" t="s">
        <v>2182</v>
      </c>
      <c r="E136" s="49" t="s">
        <v>17</v>
      </c>
      <c r="F136" s="49" t="s">
        <v>2104</v>
      </c>
      <c r="G136" s="25" t="s">
        <v>2405</v>
      </c>
      <c r="H136" s="51" t="n">
        <v>5</v>
      </c>
      <c r="I136" s="49"/>
      <c r="J136" s="50" t="s">
        <v>2648</v>
      </c>
      <c r="K136" s="25" t="s">
        <v>2409</v>
      </c>
      <c r="L136" s="49" t="s">
        <v>2649</v>
      </c>
      <c r="M136" s="25" t="s">
        <v>2174</v>
      </c>
      <c r="N136" s="49" t="s">
        <v>2600</v>
      </c>
      <c r="O136" s="25" t="s">
        <v>2333</v>
      </c>
      <c r="P136" s="49" t="s">
        <v>2426</v>
      </c>
      <c r="Q136" s="49"/>
      <c r="R136" s="50" t="s">
        <v>44</v>
      </c>
      <c r="S136" s="52" t="s">
        <v>67</v>
      </c>
    </row>
    <row r="137" customFormat="false" ht="15" hidden="false" customHeight="true" outlineLevel="0" collapsed="false">
      <c r="A137" s="46" t="n">
        <v>133</v>
      </c>
      <c r="B137" s="24" t="s">
        <v>2182</v>
      </c>
      <c r="C137" s="47"/>
      <c r="D137" s="47" t="s">
        <v>2182</v>
      </c>
      <c r="E137" s="46" t="s">
        <v>17</v>
      </c>
      <c r="F137" s="46" t="s">
        <v>2104</v>
      </c>
      <c r="G137" s="24" t="s">
        <v>2405</v>
      </c>
      <c r="H137" s="48" t="n">
        <v>5</v>
      </c>
      <c r="I137" s="46"/>
      <c r="J137" s="47" t="s">
        <v>2650</v>
      </c>
      <c r="K137" s="24" t="s">
        <v>2651</v>
      </c>
      <c r="L137" s="46" t="s">
        <v>2647</v>
      </c>
      <c r="M137" s="24" t="s">
        <v>2174</v>
      </c>
      <c r="N137" s="46" t="s">
        <v>2600</v>
      </c>
      <c r="O137" s="24" t="s">
        <v>2333</v>
      </c>
      <c r="P137" s="46" t="s">
        <v>2426</v>
      </c>
      <c r="Q137" s="46"/>
      <c r="R137" s="47" t="s">
        <v>44</v>
      </c>
      <c r="S137" s="52" t="s">
        <v>67</v>
      </c>
    </row>
    <row r="138" customFormat="false" ht="15" hidden="false" customHeight="true" outlineLevel="0" collapsed="false">
      <c r="A138" s="49" t="n">
        <v>134</v>
      </c>
      <c r="B138" s="25" t="s">
        <v>2182</v>
      </c>
      <c r="C138" s="50"/>
      <c r="D138" s="50" t="s">
        <v>2182</v>
      </c>
      <c r="E138" s="49" t="s">
        <v>17</v>
      </c>
      <c r="F138" s="49" t="s">
        <v>2104</v>
      </c>
      <c r="G138" s="25" t="s">
        <v>2405</v>
      </c>
      <c r="H138" s="51" t="n">
        <v>5</v>
      </c>
      <c r="I138" s="49"/>
      <c r="J138" s="50" t="s">
        <v>2652</v>
      </c>
      <c r="K138" s="25" t="s">
        <v>2653</v>
      </c>
      <c r="L138" s="49" t="s">
        <v>2654</v>
      </c>
      <c r="M138" s="25" t="s">
        <v>2174</v>
      </c>
      <c r="N138" s="49" t="s">
        <v>2600</v>
      </c>
      <c r="O138" s="25" t="s">
        <v>2333</v>
      </c>
      <c r="P138" s="49" t="s">
        <v>2426</v>
      </c>
      <c r="Q138" s="49"/>
      <c r="R138" s="50" t="s">
        <v>44</v>
      </c>
      <c r="S138" s="52" t="s">
        <v>67</v>
      </c>
    </row>
    <row r="139" customFormat="false" ht="15" hidden="false" customHeight="true" outlineLevel="0" collapsed="false">
      <c r="A139" s="46" t="n">
        <v>136</v>
      </c>
      <c r="B139" s="24" t="s">
        <v>2655</v>
      </c>
      <c r="C139" s="47"/>
      <c r="D139" s="47" t="s">
        <v>2182</v>
      </c>
      <c r="E139" s="46" t="s">
        <v>17</v>
      </c>
      <c r="F139" s="46" t="s">
        <v>2104</v>
      </c>
      <c r="G139" s="24" t="s">
        <v>2405</v>
      </c>
      <c r="H139" s="48" t="n">
        <v>5</v>
      </c>
      <c r="I139" s="46"/>
      <c r="J139" s="47" t="s">
        <v>2656</v>
      </c>
      <c r="K139" s="24" t="s">
        <v>2657</v>
      </c>
      <c r="L139" s="46" t="s">
        <v>2658</v>
      </c>
      <c r="M139" s="24" t="s">
        <v>2174</v>
      </c>
      <c r="N139" s="46" t="s">
        <v>2600</v>
      </c>
      <c r="O139" s="24" t="s">
        <v>2333</v>
      </c>
      <c r="P139" s="46" t="s">
        <v>2426</v>
      </c>
      <c r="Q139" s="46"/>
      <c r="R139" s="47" t="s">
        <v>44</v>
      </c>
      <c r="S139" s="52" t="s">
        <v>67</v>
      </c>
    </row>
    <row r="140" customFormat="false" ht="15" hidden="false" customHeight="true" outlineLevel="0" collapsed="false">
      <c r="A140" s="49" t="n">
        <v>138</v>
      </c>
      <c r="B140" s="25" t="s">
        <v>2182</v>
      </c>
      <c r="C140" s="50"/>
      <c r="D140" s="50" t="s">
        <v>2182</v>
      </c>
      <c r="E140" s="49" t="s">
        <v>17</v>
      </c>
      <c r="F140" s="49" t="s">
        <v>2104</v>
      </c>
      <c r="G140" s="25" t="s">
        <v>2405</v>
      </c>
      <c r="H140" s="51" t="n">
        <v>5</v>
      </c>
      <c r="I140" s="49"/>
      <c r="J140" s="50" t="s">
        <v>2659</v>
      </c>
      <c r="K140" s="25" t="s">
        <v>2660</v>
      </c>
      <c r="L140" s="49" t="s">
        <v>2661</v>
      </c>
      <c r="M140" s="25" t="s">
        <v>2174</v>
      </c>
      <c r="N140" s="49" t="s">
        <v>2600</v>
      </c>
      <c r="O140" s="25" t="s">
        <v>2333</v>
      </c>
      <c r="P140" s="49" t="s">
        <v>2426</v>
      </c>
      <c r="Q140" s="49"/>
      <c r="R140" s="50" t="s">
        <v>44</v>
      </c>
      <c r="S140" s="52" t="s">
        <v>67</v>
      </c>
    </row>
    <row r="141" customFormat="false" ht="15" hidden="false" customHeight="true" outlineLevel="0" collapsed="false">
      <c r="A141" s="46" t="n">
        <v>139</v>
      </c>
      <c r="B141" s="24" t="s">
        <v>2182</v>
      </c>
      <c r="C141" s="47"/>
      <c r="D141" s="47" t="s">
        <v>2182</v>
      </c>
      <c r="E141" s="46" t="s">
        <v>17</v>
      </c>
      <c r="F141" s="46" t="s">
        <v>2104</v>
      </c>
      <c r="G141" s="24" t="s">
        <v>2405</v>
      </c>
      <c r="H141" s="48" t="n">
        <v>5</v>
      </c>
      <c r="I141" s="46"/>
      <c r="J141" s="47" t="s">
        <v>2662</v>
      </c>
      <c r="K141" s="24" t="s">
        <v>2663</v>
      </c>
      <c r="L141" s="46" t="s">
        <v>2664</v>
      </c>
      <c r="M141" s="24" t="s">
        <v>2174</v>
      </c>
      <c r="N141" s="46" t="s">
        <v>2600</v>
      </c>
      <c r="O141" s="24" t="s">
        <v>2333</v>
      </c>
      <c r="P141" s="46" t="s">
        <v>2426</v>
      </c>
      <c r="Q141" s="46"/>
      <c r="R141" s="47" t="s">
        <v>44</v>
      </c>
      <c r="S141" s="52" t="s">
        <v>67</v>
      </c>
    </row>
    <row r="142" customFormat="false" ht="15" hidden="false" customHeight="true" outlineLevel="0" collapsed="false">
      <c r="A142" s="49" t="n">
        <v>140</v>
      </c>
      <c r="B142" s="25" t="s">
        <v>2168</v>
      </c>
      <c r="C142" s="50"/>
      <c r="D142" s="50" t="s">
        <v>2168</v>
      </c>
      <c r="E142" s="49" t="s">
        <v>17</v>
      </c>
      <c r="F142" s="49" t="s">
        <v>2104</v>
      </c>
      <c r="G142" s="25" t="s">
        <v>2405</v>
      </c>
      <c r="H142" s="51" t="n">
        <v>5</v>
      </c>
      <c r="I142" s="49"/>
      <c r="J142" s="50" t="s">
        <v>2665</v>
      </c>
      <c r="K142" s="25" t="s">
        <v>2439</v>
      </c>
      <c r="L142" s="49" t="s">
        <v>2666</v>
      </c>
      <c r="M142" s="25" t="s">
        <v>2667</v>
      </c>
      <c r="N142" s="49" t="s">
        <v>2668</v>
      </c>
      <c r="O142" s="25" t="s">
        <v>2333</v>
      </c>
      <c r="P142" s="49" t="s">
        <v>2426</v>
      </c>
      <c r="Q142" s="49"/>
      <c r="R142" s="50" t="s">
        <v>44</v>
      </c>
      <c r="S142" s="52" t="s">
        <v>67</v>
      </c>
    </row>
    <row r="143" customFormat="false" ht="15" hidden="false" customHeight="true" outlineLevel="0" collapsed="false">
      <c r="A143" s="46" t="n">
        <v>141</v>
      </c>
      <c r="B143" s="24" t="s">
        <v>2168</v>
      </c>
      <c r="C143" s="47"/>
      <c r="D143" s="47" t="s">
        <v>2168</v>
      </c>
      <c r="E143" s="46" t="s">
        <v>17</v>
      </c>
      <c r="F143" s="46" t="s">
        <v>2104</v>
      </c>
      <c r="G143" s="24" t="s">
        <v>2405</v>
      </c>
      <c r="H143" s="48" t="n">
        <v>5</v>
      </c>
      <c r="I143" s="46"/>
      <c r="J143" s="47" t="s">
        <v>2669</v>
      </c>
      <c r="K143" s="24" t="s">
        <v>2670</v>
      </c>
      <c r="L143" s="46" t="s">
        <v>2671</v>
      </c>
      <c r="M143" s="24" t="s">
        <v>2667</v>
      </c>
      <c r="N143" s="46" t="s">
        <v>2668</v>
      </c>
      <c r="O143" s="24" t="s">
        <v>2333</v>
      </c>
      <c r="P143" s="46" t="s">
        <v>2426</v>
      </c>
      <c r="Q143" s="46"/>
      <c r="R143" s="47" t="s">
        <v>44</v>
      </c>
      <c r="S143" s="52" t="s">
        <v>67</v>
      </c>
    </row>
    <row r="144" customFormat="false" ht="15" hidden="false" customHeight="true" outlineLevel="0" collapsed="false">
      <c r="A144" s="49" t="n">
        <v>142</v>
      </c>
      <c r="B144" s="25" t="s">
        <v>2168</v>
      </c>
      <c r="C144" s="50"/>
      <c r="D144" s="50" t="s">
        <v>2168</v>
      </c>
      <c r="E144" s="49" t="s">
        <v>17</v>
      </c>
      <c r="F144" s="49" t="s">
        <v>2104</v>
      </c>
      <c r="G144" s="25" t="s">
        <v>2405</v>
      </c>
      <c r="H144" s="51" t="n">
        <v>5</v>
      </c>
      <c r="I144" s="49"/>
      <c r="J144" s="50" t="s">
        <v>2672</v>
      </c>
      <c r="K144" s="25" t="s">
        <v>2673</v>
      </c>
      <c r="L144" s="49" t="s">
        <v>2674</v>
      </c>
      <c r="M144" s="25" t="s">
        <v>2667</v>
      </c>
      <c r="N144" s="49" t="s">
        <v>2668</v>
      </c>
      <c r="O144" s="25" t="s">
        <v>2333</v>
      </c>
      <c r="P144" s="49" t="s">
        <v>2426</v>
      </c>
      <c r="Q144" s="49"/>
      <c r="R144" s="50" t="s">
        <v>44</v>
      </c>
      <c r="S144" s="52" t="s">
        <v>67</v>
      </c>
    </row>
    <row r="145" customFormat="false" ht="15" hidden="false" customHeight="true" outlineLevel="0" collapsed="false">
      <c r="A145" s="46" t="n">
        <v>143</v>
      </c>
      <c r="B145" s="24" t="s">
        <v>2168</v>
      </c>
      <c r="C145" s="47"/>
      <c r="D145" s="47" t="s">
        <v>2168</v>
      </c>
      <c r="E145" s="46" t="s">
        <v>17</v>
      </c>
      <c r="F145" s="46" t="s">
        <v>2104</v>
      </c>
      <c r="G145" s="24" t="s">
        <v>2405</v>
      </c>
      <c r="H145" s="48" t="n">
        <v>5</v>
      </c>
      <c r="I145" s="46"/>
      <c r="J145" s="47" t="s">
        <v>2675</v>
      </c>
      <c r="K145" s="24" t="s">
        <v>2676</v>
      </c>
      <c r="L145" s="46" t="s">
        <v>2677</v>
      </c>
      <c r="M145" s="24" t="s">
        <v>2667</v>
      </c>
      <c r="N145" s="46" t="s">
        <v>2668</v>
      </c>
      <c r="O145" s="24" t="s">
        <v>2333</v>
      </c>
      <c r="P145" s="46" t="s">
        <v>2426</v>
      </c>
      <c r="Q145" s="46"/>
      <c r="R145" s="47" t="s">
        <v>44</v>
      </c>
      <c r="S145" s="52" t="s">
        <v>67</v>
      </c>
    </row>
    <row r="146" customFormat="false" ht="15" hidden="false" customHeight="true" outlineLevel="0" collapsed="false">
      <c r="A146" s="49" t="n">
        <v>144</v>
      </c>
      <c r="B146" s="25" t="s">
        <v>2168</v>
      </c>
      <c r="C146" s="50"/>
      <c r="D146" s="50" t="s">
        <v>2168</v>
      </c>
      <c r="E146" s="49" t="s">
        <v>17</v>
      </c>
      <c r="F146" s="49" t="s">
        <v>2104</v>
      </c>
      <c r="G146" s="25" t="s">
        <v>2405</v>
      </c>
      <c r="H146" s="51" t="n">
        <v>5</v>
      </c>
      <c r="I146" s="49"/>
      <c r="J146" s="50" t="s">
        <v>2678</v>
      </c>
      <c r="K146" s="25" t="s">
        <v>2679</v>
      </c>
      <c r="L146" s="49" t="s">
        <v>2680</v>
      </c>
      <c r="M146" s="25" t="s">
        <v>2667</v>
      </c>
      <c r="N146" s="49" t="s">
        <v>2668</v>
      </c>
      <c r="O146" s="25" t="s">
        <v>2333</v>
      </c>
      <c r="P146" s="49" t="s">
        <v>2426</v>
      </c>
      <c r="Q146" s="49"/>
      <c r="R146" s="50" t="s">
        <v>44</v>
      </c>
      <c r="S146" s="52" t="s">
        <v>67</v>
      </c>
    </row>
    <row r="147" customFormat="false" ht="15" hidden="false" customHeight="true" outlineLevel="0" collapsed="false">
      <c r="A147" s="46" t="n">
        <v>145</v>
      </c>
      <c r="B147" s="24" t="s">
        <v>2176</v>
      </c>
      <c r="C147" s="47"/>
      <c r="D147" s="47" t="s">
        <v>2176</v>
      </c>
      <c r="E147" s="46" t="s">
        <v>17</v>
      </c>
      <c r="F147" s="46" t="s">
        <v>2104</v>
      </c>
      <c r="G147" s="24" t="s">
        <v>2405</v>
      </c>
      <c r="H147" s="48" t="n">
        <v>5</v>
      </c>
      <c r="I147" s="46"/>
      <c r="J147" s="47" t="s">
        <v>2681</v>
      </c>
      <c r="K147" s="24" t="s">
        <v>2682</v>
      </c>
      <c r="L147" s="46" t="s">
        <v>2683</v>
      </c>
      <c r="M147" s="24" t="s">
        <v>2667</v>
      </c>
      <c r="N147" s="46" t="s">
        <v>2668</v>
      </c>
      <c r="O147" s="24" t="s">
        <v>2333</v>
      </c>
      <c r="P147" s="46" t="s">
        <v>2426</v>
      </c>
      <c r="Q147" s="46"/>
      <c r="R147" s="47" t="s">
        <v>44</v>
      </c>
      <c r="S147" s="52" t="s">
        <v>67</v>
      </c>
    </row>
    <row r="148" customFormat="false" ht="15" hidden="false" customHeight="true" outlineLevel="0" collapsed="false">
      <c r="A148" s="49" t="n">
        <v>146</v>
      </c>
      <c r="B148" s="25" t="s">
        <v>2168</v>
      </c>
      <c r="C148" s="50"/>
      <c r="D148" s="50" t="s">
        <v>2168</v>
      </c>
      <c r="E148" s="49" t="s">
        <v>17</v>
      </c>
      <c r="F148" s="49" t="s">
        <v>2104</v>
      </c>
      <c r="G148" s="25" t="s">
        <v>2405</v>
      </c>
      <c r="H148" s="51" t="n">
        <v>5</v>
      </c>
      <c r="I148" s="49"/>
      <c r="J148" s="50" t="s">
        <v>2684</v>
      </c>
      <c r="K148" s="25" t="s">
        <v>2685</v>
      </c>
      <c r="L148" s="49" t="s">
        <v>2686</v>
      </c>
      <c r="M148" s="25" t="s">
        <v>2667</v>
      </c>
      <c r="N148" s="49" t="s">
        <v>2668</v>
      </c>
      <c r="O148" s="25" t="s">
        <v>2333</v>
      </c>
      <c r="P148" s="49" t="s">
        <v>2426</v>
      </c>
      <c r="Q148" s="49"/>
      <c r="R148" s="50" t="s">
        <v>44</v>
      </c>
      <c r="S148" s="52" t="s">
        <v>67</v>
      </c>
    </row>
    <row r="149" customFormat="false" ht="15" hidden="false" customHeight="true" outlineLevel="0" collapsed="false">
      <c r="A149" s="46" t="n">
        <v>147</v>
      </c>
      <c r="B149" s="24" t="s">
        <v>2176</v>
      </c>
      <c r="C149" s="47"/>
      <c r="D149" s="47" t="s">
        <v>2176</v>
      </c>
      <c r="E149" s="46" t="s">
        <v>17</v>
      </c>
      <c r="F149" s="46" t="s">
        <v>2104</v>
      </c>
      <c r="G149" s="24" t="s">
        <v>2405</v>
      </c>
      <c r="H149" s="48" t="n">
        <v>5</v>
      </c>
      <c r="I149" s="46"/>
      <c r="J149" s="47" t="s">
        <v>2687</v>
      </c>
      <c r="K149" s="24" t="s">
        <v>2688</v>
      </c>
      <c r="L149" s="46" t="s">
        <v>2689</v>
      </c>
      <c r="M149" s="24" t="s">
        <v>2667</v>
      </c>
      <c r="N149" s="46" t="s">
        <v>2668</v>
      </c>
      <c r="O149" s="24" t="s">
        <v>2333</v>
      </c>
      <c r="P149" s="46" t="s">
        <v>2426</v>
      </c>
      <c r="Q149" s="46"/>
      <c r="R149" s="47" t="s">
        <v>44</v>
      </c>
      <c r="S149" s="52" t="s">
        <v>67</v>
      </c>
    </row>
    <row r="150" customFormat="false" ht="15" hidden="false" customHeight="true" outlineLevel="0" collapsed="false">
      <c r="A150" s="49" t="n">
        <v>148</v>
      </c>
      <c r="B150" s="25" t="s">
        <v>2168</v>
      </c>
      <c r="C150" s="50"/>
      <c r="D150" s="50" t="s">
        <v>2168</v>
      </c>
      <c r="E150" s="49" t="s">
        <v>17</v>
      </c>
      <c r="F150" s="49" t="s">
        <v>2104</v>
      </c>
      <c r="G150" s="25" t="s">
        <v>2405</v>
      </c>
      <c r="H150" s="51" t="n">
        <v>5</v>
      </c>
      <c r="I150" s="49"/>
      <c r="J150" s="50" t="s">
        <v>2690</v>
      </c>
      <c r="K150" s="25" t="s">
        <v>2595</v>
      </c>
      <c r="L150" s="49" t="s">
        <v>2691</v>
      </c>
      <c r="M150" s="25" t="s">
        <v>2667</v>
      </c>
      <c r="N150" s="49" t="s">
        <v>2668</v>
      </c>
      <c r="O150" s="25" t="s">
        <v>2333</v>
      </c>
      <c r="P150" s="49" t="s">
        <v>2426</v>
      </c>
      <c r="Q150" s="49"/>
      <c r="R150" s="50" t="s">
        <v>44</v>
      </c>
      <c r="S150" s="52" t="s">
        <v>67</v>
      </c>
    </row>
    <row r="151" customFormat="false" ht="15" hidden="false" customHeight="true" outlineLevel="0" collapsed="false">
      <c r="A151" s="46" t="n">
        <v>149</v>
      </c>
      <c r="B151" s="24" t="s">
        <v>2168</v>
      </c>
      <c r="C151" s="47"/>
      <c r="D151" s="47" t="s">
        <v>2168</v>
      </c>
      <c r="E151" s="46" t="s">
        <v>17</v>
      </c>
      <c r="F151" s="46" t="s">
        <v>2104</v>
      </c>
      <c r="G151" s="24" t="s">
        <v>2405</v>
      </c>
      <c r="H151" s="48" t="n">
        <v>5</v>
      </c>
      <c r="I151" s="46"/>
      <c r="J151" s="47" t="s">
        <v>2692</v>
      </c>
      <c r="K151" s="24" t="s">
        <v>2693</v>
      </c>
      <c r="L151" s="46" t="s">
        <v>2694</v>
      </c>
      <c r="M151" s="24" t="s">
        <v>2667</v>
      </c>
      <c r="N151" s="46" t="s">
        <v>2668</v>
      </c>
      <c r="O151" s="24" t="s">
        <v>2333</v>
      </c>
      <c r="P151" s="46" t="s">
        <v>2334</v>
      </c>
      <c r="Q151" s="46"/>
      <c r="R151" s="47" t="s">
        <v>44</v>
      </c>
      <c r="S151" s="52" t="s">
        <v>67</v>
      </c>
    </row>
    <row r="152" customFormat="false" ht="15" hidden="false" customHeight="true" outlineLevel="0" collapsed="false">
      <c r="A152" s="49" t="n">
        <v>150</v>
      </c>
      <c r="B152" s="25" t="s">
        <v>2168</v>
      </c>
      <c r="C152" s="50"/>
      <c r="D152" s="50" t="s">
        <v>2168</v>
      </c>
      <c r="E152" s="49" t="s">
        <v>17</v>
      </c>
      <c r="F152" s="49" t="s">
        <v>2104</v>
      </c>
      <c r="G152" s="25" t="s">
        <v>2405</v>
      </c>
      <c r="H152" s="51" t="n">
        <v>5</v>
      </c>
      <c r="I152" s="49"/>
      <c r="J152" s="50" t="s">
        <v>2695</v>
      </c>
      <c r="K152" s="25" t="s">
        <v>2696</v>
      </c>
      <c r="L152" s="49" t="s">
        <v>2697</v>
      </c>
      <c r="M152" s="25" t="s">
        <v>2667</v>
      </c>
      <c r="N152" s="49" t="s">
        <v>2668</v>
      </c>
      <c r="O152" s="25" t="s">
        <v>2333</v>
      </c>
      <c r="P152" s="49" t="s">
        <v>2334</v>
      </c>
      <c r="Q152" s="49"/>
      <c r="R152" s="50" t="s">
        <v>44</v>
      </c>
      <c r="S152" s="52" t="s">
        <v>67</v>
      </c>
    </row>
    <row r="153" customFormat="false" ht="15" hidden="false" customHeight="true" outlineLevel="0" collapsed="false">
      <c r="A153" s="46" t="n">
        <v>151</v>
      </c>
      <c r="B153" s="24" t="s">
        <v>2168</v>
      </c>
      <c r="C153" s="47"/>
      <c r="D153" s="47" t="s">
        <v>2168</v>
      </c>
      <c r="E153" s="46" t="s">
        <v>17</v>
      </c>
      <c r="F153" s="46" t="s">
        <v>2104</v>
      </c>
      <c r="G153" s="24" t="s">
        <v>2405</v>
      </c>
      <c r="H153" s="48" t="n">
        <v>5</v>
      </c>
      <c r="I153" s="46"/>
      <c r="J153" s="47" t="s">
        <v>2698</v>
      </c>
      <c r="K153" s="24" t="s">
        <v>2693</v>
      </c>
      <c r="L153" s="46" t="s">
        <v>2697</v>
      </c>
      <c r="M153" s="24" t="s">
        <v>2667</v>
      </c>
      <c r="N153" s="46" t="s">
        <v>2668</v>
      </c>
      <c r="O153" s="24" t="s">
        <v>2333</v>
      </c>
      <c r="P153" s="46" t="s">
        <v>2334</v>
      </c>
      <c r="Q153" s="46"/>
      <c r="R153" s="47" t="s">
        <v>44</v>
      </c>
      <c r="S153" s="52" t="s">
        <v>67</v>
      </c>
    </row>
    <row r="154" customFormat="false" ht="15" hidden="false" customHeight="true" outlineLevel="0" collapsed="false">
      <c r="A154" s="49" t="n">
        <v>152</v>
      </c>
      <c r="B154" s="25" t="s">
        <v>2176</v>
      </c>
      <c r="C154" s="50"/>
      <c r="D154" s="50" t="s">
        <v>2176</v>
      </c>
      <c r="E154" s="49" t="s">
        <v>17</v>
      </c>
      <c r="F154" s="49" t="s">
        <v>2104</v>
      </c>
      <c r="G154" s="25" t="s">
        <v>2405</v>
      </c>
      <c r="H154" s="51" t="n">
        <v>5</v>
      </c>
      <c r="I154" s="49"/>
      <c r="J154" s="50" t="s">
        <v>2699</v>
      </c>
      <c r="K154" s="25" t="s">
        <v>2700</v>
      </c>
      <c r="L154" s="49" t="s">
        <v>2701</v>
      </c>
      <c r="M154" s="25" t="s">
        <v>2667</v>
      </c>
      <c r="N154" s="49" t="s">
        <v>2668</v>
      </c>
      <c r="O154" s="25" t="s">
        <v>2333</v>
      </c>
      <c r="P154" s="49" t="s">
        <v>2334</v>
      </c>
      <c r="Q154" s="49"/>
      <c r="R154" s="50" t="s">
        <v>44</v>
      </c>
      <c r="S154" s="52" t="s">
        <v>67</v>
      </c>
    </row>
    <row r="155" customFormat="false" ht="15" hidden="false" customHeight="true" outlineLevel="0" collapsed="false">
      <c r="A155" s="46" t="n">
        <v>153</v>
      </c>
      <c r="B155" s="24" t="s">
        <v>2168</v>
      </c>
      <c r="C155" s="47"/>
      <c r="D155" s="47" t="s">
        <v>2168</v>
      </c>
      <c r="E155" s="46" t="s">
        <v>17</v>
      </c>
      <c r="F155" s="46" t="s">
        <v>2104</v>
      </c>
      <c r="G155" s="24" t="s">
        <v>2405</v>
      </c>
      <c r="H155" s="48" t="n">
        <v>5</v>
      </c>
      <c r="I155" s="46"/>
      <c r="J155" s="47" t="s">
        <v>2702</v>
      </c>
      <c r="K155" s="24" t="s">
        <v>2487</v>
      </c>
      <c r="L155" s="46" t="s">
        <v>2703</v>
      </c>
      <c r="M155" s="24" t="s">
        <v>2667</v>
      </c>
      <c r="N155" s="46" t="s">
        <v>2668</v>
      </c>
      <c r="O155" s="24" t="s">
        <v>2333</v>
      </c>
      <c r="P155" s="46" t="s">
        <v>2334</v>
      </c>
      <c r="Q155" s="46"/>
      <c r="R155" s="47" t="s">
        <v>44</v>
      </c>
      <c r="S155" s="52" t="s">
        <v>67</v>
      </c>
    </row>
    <row r="156" customFormat="false" ht="15" hidden="false" customHeight="true" outlineLevel="0" collapsed="false">
      <c r="A156" s="49" t="n">
        <v>154</v>
      </c>
      <c r="B156" s="25" t="s">
        <v>2168</v>
      </c>
      <c r="C156" s="50"/>
      <c r="D156" s="50" t="s">
        <v>2168</v>
      </c>
      <c r="E156" s="49" t="s">
        <v>17</v>
      </c>
      <c r="F156" s="49" t="s">
        <v>2104</v>
      </c>
      <c r="G156" s="25" t="s">
        <v>2405</v>
      </c>
      <c r="H156" s="51" t="n">
        <v>5</v>
      </c>
      <c r="I156" s="49"/>
      <c r="J156" s="50" t="s">
        <v>2704</v>
      </c>
      <c r="K156" s="25" t="s">
        <v>2705</v>
      </c>
      <c r="L156" s="49" t="s">
        <v>2706</v>
      </c>
      <c r="M156" s="25" t="s">
        <v>2667</v>
      </c>
      <c r="N156" s="49" t="s">
        <v>2668</v>
      </c>
      <c r="O156" s="25" t="s">
        <v>2333</v>
      </c>
      <c r="P156" s="49" t="s">
        <v>2334</v>
      </c>
      <c r="Q156" s="49"/>
      <c r="R156" s="50" t="s">
        <v>44</v>
      </c>
      <c r="S156" s="52" t="s">
        <v>67</v>
      </c>
    </row>
    <row r="157" customFormat="false" ht="15" hidden="false" customHeight="true" outlineLevel="0" collapsed="false">
      <c r="A157" s="46" t="n">
        <v>155</v>
      </c>
      <c r="B157" s="24" t="s">
        <v>2168</v>
      </c>
      <c r="C157" s="47"/>
      <c r="D157" s="47" t="s">
        <v>2168</v>
      </c>
      <c r="E157" s="46" t="s">
        <v>17</v>
      </c>
      <c r="F157" s="46" t="s">
        <v>2104</v>
      </c>
      <c r="G157" s="24" t="s">
        <v>2405</v>
      </c>
      <c r="H157" s="48" t="n">
        <v>5</v>
      </c>
      <c r="I157" s="46"/>
      <c r="J157" s="47" t="s">
        <v>2707</v>
      </c>
      <c r="K157" s="24" t="s">
        <v>2708</v>
      </c>
      <c r="L157" s="46" t="s">
        <v>2706</v>
      </c>
      <c r="M157" s="24" t="s">
        <v>2667</v>
      </c>
      <c r="N157" s="46" t="s">
        <v>2668</v>
      </c>
      <c r="O157" s="24" t="s">
        <v>2333</v>
      </c>
      <c r="P157" s="46" t="s">
        <v>2334</v>
      </c>
      <c r="Q157" s="46"/>
      <c r="R157" s="47" t="s">
        <v>44</v>
      </c>
      <c r="S157" s="52" t="s">
        <v>67</v>
      </c>
    </row>
    <row r="158" customFormat="false" ht="15" hidden="false" customHeight="true" outlineLevel="0" collapsed="false">
      <c r="A158" s="49" t="n">
        <v>156</v>
      </c>
      <c r="B158" s="25" t="s">
        <v>2176</v>
      </c>
      <c r="C158" s="50"/>
      <c r="D158" s="50" t="s">
        <v>2176</v>
      </c>
      <c r="E158" s="49" t="s">
        <v>17</v>
      </c>
      <c r="F158" s="49" t="s">
        <v>2104</v>
      </c>
      <c r="G158" s="25" t="s">
        <v>2405</v>
      </c>
      <c r="H158" s="51" t="n">
        <v>5</v>
      </c>
      <c r="I158" s="49"/>
      <c r="J158" s="50" t="s">
        <v>2709</v>
      </c>
      <c r="K158" s="25" t="s">
        <v>2710</v>
      </c>
      <c r="L158" s="49" t="s">
        <v>2711</v>
      </c>
      <c r="M158" s="25" t="s">
        <v>2667</v>
      </c>
      <c r="N158" s="49" t="s">
        <v>2668</v>
      </c>
      <c r="O158" s="25" t="s">
        <v>2333</v>
      </c>
      <c r="P158" s="49" t="s">
        <v>2334</v>
      </c>
      <c r="Q158" s="49"/>
      <c r="R158" s="50" t="s">
        <v>44</v>
      </c>
      <c r="S158" s="52" t="s">
        <v>67</v>
      </c>
    </row>
    <row r="159" customFormat="false" ht="15" hidden="false" customHeight="true" outlineLevel="0" collapsed="false">
      <c r="A159" s="46" t="n">
        <v>157</v>
      </c>
      <c r="B159" s="24" t="s">
        <v>2168</v>
      </c>
      <c r="C159" s="47"/>
      <c r="D159" s="47" t="s">
        <v>2168</v>
      </c>
      <c r="E159" s="46" t="s">
        <v>17</v>
      </c>
      <c r="F159" s="46" t="s">
        <v>2104</v>
      </c>
      <c r="G159" s="24" t="s">
        <v>2405</v>
      </c>
      <c r="H159" s="48" t="n">
        <v>5</v>
      </c>
      <c r="I159" s="46"/>
      <c r="J159" s="47" t="s">
        <v>2712</v>
      </c>
      <c r="K159" s="24" t="s">
        <v>2713</v>
      </c>
      <c r="L159" s="46" t="s">
        <v>2714</v>
      </c>
      <c r="M159" s="24" t="s">
        <v>2667</v>
      </c>
      <c r="N159" s="46" t="s">
        <v>2668</v>
      </c>
      <c r="O159" s="24" t="s">
        <v>2333</v>
      </c>
      <c r="P159" s="46" t="s">
        <v>2334</v>
      </c>
      <c r="Q159" s="46"/>
      <c r="R159" s="47" t="s">
        <v>44</v>
      </c>
      <c r="S159" s="52" t="s">
        <v>67</v>
      </c>
    </row>
    <row r="160" customFormat="false" ht="15" hidden="false" customHeight="true" outlineLevel="0" collapsed="false">
      <c r="A160" s="49" t="n">
        <v>158</v>
      </c>
      <c r="B160" s="25" t="s">
        <v>2168</v>
      </c>
      <c r="C160" s="50"/>
      <c r="D160" s="50" t="s">
        <v>2168</v>
      </c>
      <c r="E160" s="49" t="s">
        <v>17</v>
      </c>
      <c r="F160" s="49" t="s">
        <v>2104</v>
      </c>
      <c r="G160" s="25" t="s">
        <v>2405</v>
      </c>
      <c r="H160" s="51" t="n">
        <v>5</v>
      </c>
      <c r="I160" s="49"/>
      <c r="J160" s="50" t="s">
        <v>2715</v>
      </c>
      <c r="K160" s="25" t="s">
        <v>2716</v>
      </c>
      <c r="L160" s="49" t="s">
        <v>2717</v>
      </c>
      <c r="M160" s="25" t="s">
        <v>2667</v>
      </c>
      <c r="N160" s="49" t="s">
        <v>2668</v>
      </c>
      <c r="O160" s="25" t="s">
        <v>2333</v>
      </c>
      <c r="P160" s="49" t="s">
        <v>2334</v>
      </c>
      <c r="Q160" s="49"/>
      <c r="R160" s="50" t="s">
        <v>44</v>
      </c>
      <c r="S160" s="52" t="s">
        <v>67</v>
      </c>
    </row>
    <row r="161" customFormat="false" ht="15" hidden="false" customHeight="true" outlineLevel="0" collapsed="false">
      <c r="A161" s="46" t="n">
        <v>159</v>
      </c>
      <c r="B161" s="24" t="s">
        <v>2168</v>
      </c>
      <c r="C161" s="47"/>
      <c r="D161" s="47" t="s">
        <v>2168</v>
      </c>
      <c r="E161" s="46" t="s">
        <v>17</v>
      </c>
      <c r="F161" s="46" t="s">
        <v>2104</v>
      </c>
      <c r="G161" s="24" t="s">
        <v>2405</v>
      </c>
      <c r="H161" s="48" t="n">
        <v>5</v>
      </c>
      <c r="I161" s="46"/>
      <c r="J161" s="47" t="s">
        <v>2718</v>
      </c>
      <c r="K161" s="24" t="s">
        <v>2719</v>
      </c>
      <c r="L161" s="46" t="s">
        <v>2720</v>
      </c>
      <c r="M161" s="24" t="s">
        <v>2667</v>
      </c>
      <c r="N161" s="46" t="s">
        <v>2668</v>
      </c>
      <c r="O161" s="24" t="s">
        <v>2333</v>
      </c>
      <c r="P161" s="46" t="s">
        <v>2334</v>
      </c>
      <c r="Q161" s="46"/>
      <c r="R161" s="47" t="s">
        <v>44</v>
      </c>
      <c r="S161" s="52" t="s">
        <v>67</v>
      </c>
    </row>
    <row r="162" customFormat="false" ht="15" hidden="false" customHeight="true" outlineLevel="0" collapsed="false">
      <c r="A162" s="49" t="n">
        <v>160</v>
      </c>
      <c r="B162" s="25" t="s">
        <v>2168</v>
      </c>
      <c r="C162" s="50"/>
      <c r="D162" s="50" t="s">
        <v>2168</v>
      </c>
      <c r="E162" s="49" t="s">
        <v>17</v>
      </c>
      <c r="F162" s="49" t="s">
        <v>2104</v>
      </c>
      <c r="G162" s="25" t="s">
        <v>2405</v>
      </c>
      <c r="H162" s="51" t="n">
        <v>5</v>
      </c>
      <c r="I162" s="49"/>
      <c r="J162" s="50" t="s">
        <v>2721</v>
      </c>
      <c r="K162" s="25" t="s">
        <v>2722</v>
      </c>
      <c r="L162" s="49" t="s">
        <v>2723</v>
      </c>
      <c r="M162" s="25" t="s">
        <v>2667</v>
      </c>
      <c r="N162" s="49" t="s">
        <v>2668</v>
      </c>
      <c r="O162" s="25" t="s">
        <v>2333</v>
      </c>
      <c r="P162" s="49" t="s">
        <v>2334</v>
      </c>
      <c r="Q162" s="49"/>
      <c r="R162" s="50" t="s">
        <v>44</v>
      </c>
      <c r="S162" s="52" t="s">
        <v>67</v>
      </c>
    </row>
    <row r="163" customFormat="false" ht="15" hidden="false" customHeight="true" outlineLevel="0" collapsed="false">
      <c r="A163" s="46" t="n">
        <v>161</v>
      </c>
      <c r="B163" s="24" t="s">
        <v>2724</v>
      </c>
      <c r="C163" s="47"/>
      <c r="D163" s="47"/>
      <c r="E163" s="46"/>
      <c r="F163" s="46" t="s">
        <v>2104</v>
      </c>
      <c r="G163" s="24" t="s">
        <v>2405</v>
      </c>
      <c r="H163" s="48" t="n">
        <v>5</v>
      </c>
      <c r="I163" s="46"/>
      <c r="J163" s="47" t="s">
        <v>2725</v>
      </c>
      <c r="K163" s="24" t="s">
        <v>2726</v>
      </c>
      <c r="L163" s="46" t="s">
        <v>2727</v>
      </c>
      <c r="M163" s="24" t="s">
        <v>2728</v>
      </c>
      <c r="N163" s="46" t="s">
        <v>2729</v>
      </c>
      <c r="O163" s="24" t="s">
        <v>2333</v>
      </c>
      <c r="P163" s="46" t="s">
        <v>2334</v>
      </c>
      <c r="Q163" s="46"/>
      <c r="R163" s="47" t="s">
        <v>44</v>
      </c>
      <c r="S163" s="52" t="s">
        <v>2730</v>
      </c>
    </row>
    <row r="164" customFormat="false" ht="15" hidden="false" customHeight="true" outlineLevel="0" collapsed="false">
      <c r="A164" s="49" t="n">
        <v>162</v>
      </c>
      <c r="B164" s="25" t="s">
        <v>2168</v>
      </c>
      <c r="C164" s="50"/>
      <c r="D164" s="50" t="s">
        <v>2168</v>
      </c>
      <c r="E164" s="49" t="s">
        <v>17</v>
      </c>
      <c r="F164" s="49" t="s">
        <v>2104</v>
      </c>
      <c r="G164" s="25" t="s">
        <v>2405</v>
      </c>
      <c r="H164" s="51" t="n">
        <v>5</v>
      </c>
      <c r="I164" s="49"/>
      <c r="J164" s="50" t="s">
        <v>2731</v>
      </c>
      <c r="K164" s="25" t="s">
        <v>2732</v>
      </c>
      <c r="L164" s="49" t="s">
        <v>2733</v>
      </c>
      <c r="M164" s="25" t="s">
        <v>2728</v>
      </c>
      <c r="N164" s="49" t="s">
        <v>2729</v>
      </c>
      <c r="O164" s="25" t="s">
        <v>2333</v>
      </c>
      <c r="P164" s="49" t="s">
        <v>2334</v>
      </c>
      <c r="Q164" s="49"/>
      <c r="R164" s="50" t="s">
        <v>44</v>
      </c>
      <c r="S164" s="52" t="s">
        <v>67</v>
      </c>
    </row>
    <row r="165" customFormat="false" ht="15" hidden="false" customHeight="true" outlineLevel="0" collapsed="false">
      <c r="A165" s="46" t="n">
        <v>163</v>
      </c>
      <c r="B165" s="24" t="s">
        <v>2168</v>
      </c>
      <c r="C165" s="47"/>
      <c r="D165" s="47" t="s">
        <v>2168</v>
      </c>
      <c r="E165" s="46" t="s">
        <v>17</v>
      </c>
      <c r="F165" s="46" t="s">
        <v>2104</v>
      </c>
      <c r="G165" s="24" t="s">
        <v>2405</v>
      </c>
      <c r="H165" s="48" t="n">
        <v>5</v>
      </c>
      <c r="I165" s="46"/>
      <c r="J165" s="47" t="s">
        <v>2734</v>
      </c>
      <c r="K165" s="24" t="s">
        <v>2679</v>
      </c>
      <c r="L165" s="46" t="s">
        <v>2735</v>
      </c>
      <c r="M165" s="24" t="s">
        <v>2728</v>
      </c>
      <c r="N165" s="46" t="s">
        <v>2729</v>
      </c>
      <c r="O165" s="24" t="s">
        <v>2333</v>
      </c>
      <c r="P165" s="46" t="s">
        <v>2334</v>
      </c>
      <c r="Q165" s="46"/>
      <c r="R165" s="47" t="s">
        <v>44</v>
      </c>
      <c r="S165" s="52" t="s">
        <v>67</v>
      </c>
    </row>
    <row r="166" customFormat="false" ht="15" hidden="false" customHeight="true" outlineLevel="0" collapsed="false">
      <c r="A166" s="49" t="n">
        <v>164</v>
      </c>
      <c r="B166" s="25" t="s">
        <v>2168</v>
      </c>
      <c r="C166" s="50"/>
      <c r="D166" s="50" t="s">
        <v>2168</v>
      </c>
      <c r="E166" s="49" t="s">
        <v>17</v>
      </c>
      <c r="F166" s="49" t="s">
        <v>2104</v>
      </c>
      <c r="G166" s="25" t="s">
        <v>2405</v>
      </c>
      <c r="H166" s="51" t="n">
        <v>5</v>
      </c>
      <c r="I166" s="49"/>
      <c r="J166" s="50" t="s">
        <v>2736</v>
      </c>
      <c r="K166" s="25" t="s">
        <v>2737</v>
      </c>
      <c r="L166" s="49" t="s">
        <v>2738</v>
      </c>
      <c r="M166" s="25" t="s">
        <v>2728</v>
      </c>
      <c r="N166" s="49" t="s">
        <v>2729</v>
      </c>
      <c r="O166" s="25" t="s">
        <v>2333</v>
      </c>
      <c r="P166" s="49" t="s">
        <v>2334</v>
      </c>
      <c r="Q166" s="49"/>
      <c r="R166" s="50" t="s">
        <v>44</v>
      </c>
      <c r="S166" s="52" t="s">
        <v>67</v>
      </c>
    </row>
    <row r="167" customFormat="false" ht="15" hidden="false" customHeight="true" outlineLevel="0" collapsed="false">
      <c r="A167" s="46" t="n">
        <v>165</v>
      </c>
      <c r="B167" s="24" t="s">
        <v>2168</v>
      </c>
      <c r="C167" s="47"/>
      <c r="D167" s="47" t="s">
        <v>2168</v>
      </c>
      <c r="E167" s="46" t="s">
        <v>17</v>
      </c>
      <c r="F167" s="46" t="s">
        <v>2104</v>
      </c>
      <c r="G167" s="24" t="s">
        <v>2405</v>
      </c>
      <c r="H167" s="48" t="n">
        <v>5</v>
      </c>
      <c r="I167" s="46"/>
      <c r="J167" s="47" t="s">
        <v>2739</v>
      </c>
      <c r="K167" s="24" t="s">
        <v>2740</v>
      </c>
      <c r="L167" s="46" t="s">
        <v>2741</v>
      </c>
      <c r="M167" s="24" t="s">
        <v>2728</v>
      </c>
      <c r="N167" s="46" t="s">
        <v>2729</v>
      </c>
      <c r="O167" s="24" t="s">
        <v>2333</v>
      </c>
      <c r="P167" s="46" t="s">
        <v>2334</v>
      </c>
      <c r="Q167" s="46"/>
      <c r="R167" s="47" t="s">
        <v>44</v>
      </c>
      <c r="S167" s="52" t="s">
        <v>67</v>
      </c>
    </row>
    <row r="168" customFormat="false" ht="15" hidden="false" customHeight="true" outlineLevel="0" collapsed="false">
      <c r="A168" s="49" t="n">
        <v>166</v>
      </c>
      <c r="B168" s="25" t="s">
        <v>2168</v>
      </c>
      <c r="C168" s="50"/>
      <c r="D168" s="50" t="s">
        <v>2168</v>
      </c>
      <c r="E168" s="49" t="s">
        <v>17</v>
      </c>
      <c r="F168" s="49" t="s">
        <v>2104</v>
      </c>
      <c r="G168" s="25" t="s">
        <v>2405</v>
      </c>
      <c r="H168" s="51" t="n">
        <v>5</v>
      </c>
      <c r="I168" s="49"/>
      <c r="J168" s="50" t="s">
        <v>2742</v>
      </c>
      <c r="K168" s="25" t="s">
        <v>2743</v>
      </c>
      <c r="L168" s="49" t="s">
        <v>2744</v>
      </c>
      <c r="M168" s="25" t="s">
        <v>2728</v>
      </c>
      <c r="N168" s="49" t="s">
        <v>2729</v>
      </c>
      <c r="O168" s="25" t="s">
        <v>2333</v>
      </c>
      <c r="P168" s="49" t="s">
        <v>2334</v>
      </c>
      <c r="Q168" s="49"/>
      <c r="R168" s="50" t="s">
        <v>44</v>
      </c>
      <c r="S168" s="52" t="s">
        <v>67</v>
      </c>
    </row>
    <row r="169" customFormat="false" ht="15" hidden="false" customHeight="true" outlineLevel="0" collapsed="false">
      <c r="A169" s="46" t="n">
        <v>168</v>
      </c>
      <c r="B169" s="24" t="s">
        <v>2168</v>
      </c>
      <c r="C169" s="47"/>
      <c r="D169" s="47" t="s">
        <v>2168</v>
      </c>
      <c r="E169" s="46" t="s">
        <v>17</v>
      </c>
      <c r="F169" s="46" t="s">
        <v>2104</v>
      </c>
      <c r="G169" s="24" t="s">
        <v>2405</v>
      </c>
      <c r="H169" s="48" t="n">
        <v>5</v>
      </c>
      <c r="I169" s="46"/>
      <c r="J169" s="47" t="s">
        <v>2745</v>
      </c>
      <c r="K169" s="24" t="s">
        <v>2746</v>
      </c>
      <c r="L169" s="46" t="s">
        <v>2747</v>
      </c>
      <c r="M169" s="24" t="s">
        <v>2728</v>
      </c>
      <c r="N169" s="46" t="s">
        <v>2729</v>
      </c>
      <c r="O169" s="24" t="s">
        <v>2333</v>
      </c>
      <c r="P169" s="46" t="s">
        <v>2334</v>
      </c>
      <c r="Q169" s="46"/>
      <c r="R169" s="47" t="s">
        <v>44</v>
      </c>
      <c r="S169" s="52" t="s">
        <v>67</v>
      </c>
    </row>
    <row r="170" customFormat="false" ht="15" hidden="false" customHeight="true" outlineLevel="0" collapsed="false">
      <c r="A170" s="49" t="n">
        <v>169</v>
      </c>
      <c r="B170" s="25" t="s">
        <v>2168</v>
      </c>
      <c r="C170" s="50"/>
      <c r="D170" s="50" t="s">
        <v>2168</v>
      </c>
      <c r="E170" s="49" t="s">
        <v>17</v>
      </c>
      <c r="F170" s="49" t="s">
        <v>2104</v>
      </c>
      <c r="G170" s="25" t="s">
        <v>2405</v>
      </c>
      <c r="H170" s="51" t="n">
        <v>5</v>
      </c>
      <c r="I170" s="49"/>
      <c r="J170" s="50" t="s">
        <v>2745</v>
      </c>
      <c r="K170" s="25" t="s">
        <v>2748</v>
      </c>
      <c r="L170" s="49" t="s">
        <v>2749</v>
      </c>
      <c r="M170" s="25" t="s">
        <v>2728</v>
      </c>
      <c r="N170" s="49" t="s">
        <v>2729</v>
      </c>
      <c r="O170" s="25" t="s">
        <v>2333</v>
      </c>
      <c r="P170" s="49" t="s">
        <v>2334</v>
      </c>
      <c r="Q170" s="49"/>
      <c r="R170" s="50" t="s">
        <v>44</v>
      </c>
      <c r="S170" s="52" t="s">
        <v>67</v>
      </c>
    </row>
    <row r="171" customFormat="false" ht="15" hidden="false" customHeight="true" outlineLevel="0" collapsed="false">
      <c r="A171" s="46" t="n">
        <v>170</v>
      </c>
      <c r="B171" s="24" t="s">
        <v>2168</v>
      </c>
      <c r="C171" s="47"/>
      <c r="D171" s="47" t="s">
        <v>2168</v>
      </c>
      <c r="E171" s="46" t="s">
        <v>17</v>
      </c>
      <c r="F171" s="46" t="s">
        <v>2104</v>
      </c>
      <c r="G171" s="24" t="s">
        <v>2405</v>
      </c>
      <c r="H171" s="48" t="n">
        <v>5</v>
      </c>
      <c r="I171" s="46"/>
      <c r="J171" s="47" t="s">
        <v>2750</v>
      </c>
      <c r="K171" s="24" t="s">
        <v>2751</v>
      </c>
      <c r="L171" s="46" t="s">
        <v>2752</v>
      </c>
      <c r="M171" s="24" t="s">
        <v>2728</v>
      </c>
      <c r="N171" s="46" t="s">
        <v>2729</v>
      </c>
      <c r="O171" s="24" t="s">
        <v>2333</v>
      </c>
      <c r="P171" s="46" t="s">
        <v>2334</v>
      </c>
      <c r="Q171" s="46"/>
      <c r="R171" s="47" t="s">
        <v>44</v>
      </c>
      <c r="S171" s="52" t="s">
        <v>67</v>
      </c>
    </row>
    <row r="172" customFormat="false" ht="15" hidden="false" customHeight="true" outlineLevel="0" collapsed="false">
      <c r="A172" s="49" t="n">
        <v>171</v>
      </c>
      <c r="B172" s="25" t="s">
        <v>2168</v>
      </c>
      <c r="C172" s="50"/>
      <c r="D172" s="50" t="s">
        <v>2168</v>
      </c>
      <c r="E172" s="49" t="s">
        <v>17</v>
      </c>
      <c r="F172" s="49" t="s">
        <v>2104</v>
      </c>
      <c r="G172" s="25" t="s">
        <v>2405</v>
      </c>
      <c r="H172" s="51" t="n">
        <v>5</v>
      </c>
      <c r="I172" s="49"/>
      <c r="J172" s="50" t="s">
        <v>2753</v>
      </c>
      <c r="K172" s="25" t="s">
        <v>2754</v>
      </c>
      <c r="L172" s="49" t="s">
        <v>2755</v>
      </c>
      <c r="M172" s="25" t="s">
        <v>2728</v>
      </c>
      <c r="N172" s="49" t="s">
        <v>2729</v>
      </c>
      <c r="O172" s="25" t="s">
        <v>2333</v>
      </c>
      <c r="P172" s="49" t="s">
        <v>2334</v>
      </c>
      <c r="Q172" s="49"/>
      <c r="R172" s="50" t="s">
        <v>44</v>
      </c>
      <c r="S172" s="52" t="s">
        <v>67</v>
      </c>
    </row>
    <row r="173" customFormat="false" ht="15" hidden="false" customHeight="true" outlineLevel="0" collapsed="false">
      <c r="A173" s="46" t="n">
        <v>172</v>
      </c>
      <c r="B173" s="24" t="s">
        <v>2168</v>
      </c>
      <c r="C173" s="47"/>
      <c r="D173" s="47" t="s">
        <v>2168</v>
      </c>
      <c r="E173" s="46" t="s">
        <v>17</v>
      </c>
      <c r="F173" s="46" t="s">
        <v>2104</v>
      </c>
      <c r="G173" s="24" t="s">
        <v>2405</v>
      </c>
      <c r="H173" s="48" t="n">
        <v>5</v>
      </c>
      <c r="I173" s="46"/>
      <c r="J173" s="47" t="s">
        <v>2756</v>
      </c>
      <c r="K173" s="24" t="s">
        <v>2757</v>
      </c>
      <c r="L173" s="46" t="s">
        <v>2758</v>
      </c>
      <c r="M173" s="24" t="s">
        <v>2728</v>
      </c>
      <c r="N173" s="46" t="s">
        <v>2729</v>
      </c>
      <c r="O173" s="24" t="s">
        <v>2333</v>
      </c>
      <c r="P173" s="46" t="s">
        <v>2334</v>
      </c>
      <c r="Q173" s="46"/>
      <c r="R173" s="47" t="s">
        <v>44</v>
      </c>
      <c r="S173" s="52" t="s">
        <v>67</v>
      </c>
    </row>
    <row r="174" customFormat="false" ht="15" hidden="false" customHeight="true" outlineLevel="0" collapsed="false">
      <c r="A174" s="49" t="n">
        <v>173</v>
      </c>
      <c r="B174" s="25" t="s">
        <v>2168</v>
      </c>
      <c r="C174" s="50"/>
      <c r="D174" s="50" t="s">
        <v>2168</v>
      </c>
      <c r="E174" s="49" t="s">
        <v>17</v>
      </c>
      <c r="F174" s="49" t="s">
        <v>2104</v>
      </c>
      <c r="G174" s="25" t="s">
        <v>2405</v>
      </c>
      <c r="H174" s="51" t="n">
        <v>5</v>
      </c>
      <c r="I174" s="49"/>
      <c r="J174" s="50" t="s">
        <v>2759</v>
      </c>
      <c r="K174" s="25" t="s">
        <v>2760</v>
      </c>
      <c r="L174" s="49" t="s">
        <v>2761</v>
      </c>
      <c r="M174" s="25" t="s">
        <v>2728</v>
      </c>
      <c r="N174" s="49" t="s">
        <v>2729</v>
      </c>
      <c r="O174" s="25" t="s">
        <v>2333</v>
      </c>
      <c r="P174" s="49" t="s">
        <v>2334</v>
      </c>
      <c r="Q174" s="49"/>
      <c r="R174" s="50" t="s">
        <v>44</v>
      </c>
      <c r="S174" s="52" t="s">
        <v>67</v>
      </c>
    </row>
    <row r="175" customFormat="false" ht="15" hidden="false" customHeight="true" outlineLevel="0" collapsed="false">
      <c r="A175" s="46" t="n">
        <v>174</v>
      </c>
      <c r="B175" s="24" t="s">
        <v>2168</v>
      </c>
      <c r="C175" s="47"/>
      <c r="D175" s="47" t="s">
        <v>2168</v>
      </c>
      <c r="E175" s="46" t="s">
        <v>17</v>
      </c>
      <c r="F175" s="46" t="s">
        <v>2104</v>
      </c>
      <c r="G175" s="24" t="s">
        <v>2405</v>
      </c>
      <c r="H175" s="48" t="n">
        <v>5</v>
      </c>
      <c r="I175" s="46"/>
      <c r="J175" s="47" t="s">
        <v>2762</v>
      </c>
      <c r="K175" s="24" t="s">
        <v>2763</v>
      </c>
      <c r="L175" s="46" t="s">
        <v>2764</v>
      </c>
      <c r="M175" s="24" t="s">
        <v>2728</v>
      </c>
      <c r="N175" s="46" t="s">
        <v>2729</v>
      </c>
      <c r="O175" s="24" t="s">
        <v>2333</v>
      </c>
      <c r="P175" s="46" t="s">
        <v>2334</v>
      </c>
      <c r="Q175" s="46"/>
      <c r="R175" s="47" t="s">
        <v>44</v>
      </c>
      <c r="S175" s="52" t="s">
        <v>67</v>
      </c>
    </row>
    <row r="176" customFormat="false" ht="15" hidden="false" customHeight="true" outlineLevel="0" collapsed="false">
      <c r="A176" s="49" t="n">
        <v>175</v>
      </c>
      <c r="B176" s="25" t="s">
        <v>2168</v>
      </c>
      <c r="C176" s="50"/>
      <c r="D176" s="50" t="s">
        <v>2168</v>
      </c>
      <c r="E176" s="49" t="s">
        <v>17</v>
      </c>
      <c r="F176" s="49" t="s">
        <v>2104</v>
      </c>
      <c r="G176" s="25" t="s">
        <v>2405</v>
      </c>
      <c r="H176" s="51" t="n">
        <v>5</v>
      </c>
      <c r="I176" s="49"/>
      <c r="J176" s="50" t="s">
        <v>2765</v>
      </c>
      <c r="K176" s="25" t="s">
        <v>2766</v>
      </c>
      <c r="L176" s="49" t="s">
        <v>2767</v>
      </c>
      <c r="M176" s="25" t="s">
        <v>2728</v>
      </c>
      <c r="N176" s="49" t="s">
        <v>2729</v>
      </c>
      <c r="O176" s="25" t="s">
        <v>2333</v>
      </c>
      <c r="P176" s="49" t="s">
        <v>2334</v>
      </c>
      <c r="Q176" s="49"/>
      <c r="R176" s="50" t="s">
        <v>44</v>
      </c>
      <c r="S176" s="52" t="s">
        <v>67</v>
      </c>
    </row>
    <row r="177" customFormat="false" ht="15" hidden="false" customHeight="true" outlineLevel="0" collapsed="false">
      <c r="A177" s="46" t="n">
        <v>176</v>
      </c>
      <c r="B177" s="24" t="s">
        <v>2168</v>
      </c>
      <c r="C177" s="47"/>
      <c r="D177" s="47" t="s">
        <v>2168</v>
      </c>
      <c r="E177" s="46" t="s">
        <v>17</v>
      </c>
      <c r="F177" s="46" t="s">
        <v>2104</v>
      </c>
      <c r="G177" s="24" t="s">
        <v>2405</v>
      </c>
      <c r="H177" s="48" t="n">
        <v>5</v>
      </c>
      <c r="I177" s="46"/>
      <c r="J177" s="47" t="s">
        <v>2768</v>
      </c>
      <c r="K177" s="24" t="s">
        <v>2769</v>
      </c>
      <c r="L177" s="46" t="s">
        <v>2770</v>
      </c>
      <c r="M177" s="24" t="s">
        <v>2713</v>
      </c>
      <c r="N177" s="46" t="s">
        <v>2771</v>
      </c>
      <c r="O177" s="24" t="s">
        <v>2333</v>
      </c>
      <c r="P177" s="46" t="s">
        <v>2334</v>
      </c>
      <c r="Q177" s="46"/>
      <c r="R177" s="47" t="s">
        <v>44</v>
      </c>
      <c r="S177" s="52" t="s">
        <v>67</v>
      </c>
    </row>
    <row r="178" customFormat="false" ht="15" hidden="false" customHeight="true" outlineLevel="0" collapsed="false">
      <c r="A178" s="49" t="n">
        <v>177</v>
      </c>
      <c r="B178" s="25" t="s">
        <v>2168</v>
      </c>
      <c r="C178" s="50"/>
      <c r="D178" s="50" t="s">
        <v>2168</v>
      </c>
      <c r="E178" s="49" t="s">
        <v>17</v>
      </c>
      <c r="F178" s="49" t="s">
        <v>2104</v>
      </c>
      <c r="G178" s="25" t="s">
        <v>2405</v>
      </c>
      <c r="H178" s="51" t="n">
        <v>5</v>
      </c>
      <c r="I178" s="49"/>
      <c r="J178" s="50" t="s">
        <v>2772</v>
      </c>
      <c r="K178" s="25" t="s">
        <v>2773</v>
      </c>
      <c r="L178" s="49" t="s">
        <v>2774</v>
      </c>
      <c r="M178" s="25" t="s">
        <v>2713</v>
      </c>
      <c r="N178" s="49" t="s">
        <v>2771</v>
      </c>
      <c r="O178" s="25" t="s">
        <v>2333</v>
      </c>
      <c r="P178" s="49" t="s">
        <v>2334</v>
      </c>
      <c r="Q178" s="49"/>
      <c r="R178" s="50" t="s">
        <v>44</v>
      </c>
      <c r="S178" s="52" t="s">
        <v>67</v>
      </c>
    </row>
    <row r="179" customFormat="false" ht="15" hidden="false" customHeight="true" outlineLevel="0" collapsed="false">
      <c r="A179" s="46" t="n">
        <v>178</v>
      </c>
      <c r="B179" s="24" t="s">
        <v>2168</v>
      </c>
      <c r="C179" s="47"/>
      <c r="D179" s="47" t="s">
        <v>2168</v>
      </c>
      <c r="E179" s="46" t="s">
        <v>17</v>
      </c>
      <c r="F179" s="46" t="s">
        <v>2104</v>
      </c>
      <c r="G179" s="24" t="s">
        <v>2405</v>
      </c>
      <c r="H179" s="48" t="n">
        <v>5</v>
      </c>
      <c r="I179" s="46"/>
      <c r="J179" s="47" t="s">
        <v>2775</v>
      </c>
      <c r="K179" s="24" t="s">
        <v>2776</v>
      </c>
      <c r="L179" s="46" t="s">
        <v>2777</v>
      </c>
      <c r="M179" s="24" t="s">
        <v>2713</v>
      </c>
      <c r="N179" s="46" t="s">
        <v>2771</v>
      </c>
      <c r="O179" s="24" t="s">
        <v>2333</v>
      </c>
      <c r="P179" s="46" t="s">
        <v>2334</v>
      </c>
      <c r="Q179" s="46"/>
      <c r="R179" s="47" t="s">
        <v>44</v>
      </c>
      <c r="S179" s="52" t="s">
        <v>67</v>
      </c>
    </row>
    <row r="180" customFormat="false" ht="15" hidden="false" customHeight="true" outlineLevel="0" collapsed="false">
      <c r="A180" s="49" t="n">
        <v>179</v>
      </c>
      <c r="B180" s="25" t="s">
        <v>2724</v>
      </c>
      <c r="C180" s="50"/>
      <c r="D180" s="50"/>
      <c r="E180" s="49"/>
      <c r="F180" s="49" t="s">
        <v>2104</v>
      </c>
      <c r="G180" s="25" t="s">
        <v>2405</v>
      </c>
      <c r="H180" s="51" t="n">
        <v>5</v>
      </c>
      <c r="I180" s="49"/>
      <c r="J180" s="50" t="s">
        <v>2778</v>
      </c>
      <c r="K180" s="25" t="s">
        <v>2779</v>
      </c>
      <c r="L180" s="49" t="s">
        <v>2780</v>
      </c>
      <c r="M180" s="25" t="s">
        <v>2713</v>
      </c>
      <c r="N180" s="49" t="s">
        <v>2771</v>
      </c>
      <c r="O180" s="25" t="s">
        <v>2333</v>
      </c>
      <c r="P180" s="49" t="s">
        <v>2334</v>
      </c>
      <c r="Q180" s="49"/>
      <c r="R180" s="50" t="s">
        <v>44</v>
      </c>
      <c r="S180" s="52" t="s">
        <v>2730</v>
      </c>
    </row>
    <row r="181" customFormat="false" ht="15" hidden="false" customHeight="true" outlineLevel="0" collapsed="false">
      <c r="A181" s="46" t="n">
        <v>180</v>
      </c>
      <c r="B181" s="24" t="s">
        <v>2781</v>
      </c>
      <c r="C181" s="47"/>
      <c r="D181" s="47" t="s">
        <v>2168</v>
      </c>
      <c r="E181" s="46" t="s">
        <v>17</v>
      </c>
      <c r="F181" s="46" t="s">
        <v>2104</v>
      </c>
      <c r="G181" s="24" t="s">
        <v>2405</v>
      </c>
      <c r="H181" s="48" t="n">
        <v>5</v>
      </c>
      <c r="I181" s="46"/>
      <c r="J181" s="47" t="s">
        <v>2782</v>
      </c>
      <c r="K181" s="24" t="s">
        <v>2783</v>
      </c>
      <c r="L181" s="46" t="s">
        <v>2784</v>
      </c>
      <c r="M181" s="24" t="s">
        <v>2713</v>
      </c>
      <c r="N181" s="46" t="s">
        <v>2771</v>
      </c>
      <c r="O181" s="24" t="s">
        <v>2333</v>
      </c>
      <c r="P181" s="46" t="s">
        <v>2334</v>
      </c>
      <c r="Q181" s="46"/>
      <c r="R181" s="47" t="s">
        <v>44</v>
      </c>
      <c r="S181" s="52" t="s">
        <v>67</v>
      </c>
    </row>
    <row r="182" customFormat="false" ht="15" hidden="false" customHeight="true" outlineLevel="0" collapsed="false">
      <c r="A182" s="49" t="n">
        <v>181</v>
      </c>
      <c r="B182" s="25" t="s">
        <v>2785</v>
      </c>
      <c r="C182" s="50"/>
      <c r="D182" s="50"/>
      <c r="E182" s="49"/>
      <c r="F182" s="49" t="s">
        <v>2104</v>
      </c>
      <c r="G182" s="25" t="s">
        <v>2405</v>
      </c>
      <c r="H182" s="51" t="n">
        <v>5</v>
      </c>
      <c r="I182" s="49"/>
      <c r="J182" s="50" t="s">
        <v>2786</v>
      </c>
      <c r="K182" s="25" t="s">
        <v>2421</v>
      </c>
      <c r="L182" s="49" t="s">
        <v>2787</v>
      </c>
      <c r="M182" s="25" t="s">
        <v>2713</v>
      </c>
      <c r="N182" s="49" t="s">
        <v>2771</v>
      </c>
      <c r="O182" s="25" t="s">
        <v>2333</v>
      </c>
      <c r="P182" s="49" t="s">
        <v>2334</v>
      </c>
      <c r="Q182" s="49"/>
      <c r="R182" s="50" t="s">
        <v>44</v>
      </c>
      <c r="S182" s="52" t="s">
        <v>2730</v>
      </c>
    </row>
    <row r="183" customFormat="false" ht="15" hidden="false" customHeight="true" outlineLevel="0" collapsed="false">
      <c r="A183" s="46" t="n">
        <v>182</v>
      </c>
      <c r="B183" s="24" t="s">
        <v>2781</v>
      </c>
      <c r="C183" s="47"/>
      <c r="D183" s="47" t="s">
        <v>2168</v>
      </c>
      <c r="E183" s="46" t="s">
        <v>17</v>
      </c>
      <c r="F183" s="46" t="s">
        <v>2104</v>
      </c>
      <c r="G183" s="24" t="s">
        <v>2405</v>
      </c>
      <c r="H183" s="48" t="n">
        <v>5</v>
      </c>
      <c r="I183" s="46"/>
      <c r="J183" s="47" t="s">
        <v>2788</v>
      </c>
      <c r="K183" s="24" t="s">
        <v>2789</v>
      </c>
      <c r="L183" s="46" t="s">
        <v>2790</v>
      </c>
      <c r="M183" s="24" t="s">
        <v>2713</v>
      </c>
      <c r="N183" s="46" t="s">
        <v>2771</v>
      </c>
      <c r="O183" s="24" t="s">
        <v>2333</v>
      </c>
      <c r="P183" s="46" t="s">
        <v>2334</v>
      </c>
      <c r="Q183" s="46"/>
      <c r="R183" s="47" t="s">
        <v>44</v>
      </c>
      <c r="S183" s="52" t="s">
        <v>67</v>
      </c>
    </row>
    <row r="184" customFormat="false" ht="15" hidden="false" customHeight="true" outlineLevel="0" collapsed="false">
      <c r="A184" s="49" t="n">
        <v>183</v>
      </c>
      <c r="B184" s="25" t="s">
        <v>2168</v>
      </c>
      <c r="C184" s="50"/>
      <c r="D184" s="50" t="s">
        <v>2168</v>
      </c>
      <c r="E184" s="49" t="s">
        <v>17</v>
      </c>
      <c r="F184" s="49" t="s">
        <v>2104</v>
      </c>
      <c r="G184" s="25" t="s">
        <v>2405</v>
      </c>
      <c r="H184" s="51" t="n">
        <v>5</v>
      </c>
      <c r="I184" s="49"/>
      <c r="J184" s="50" t="s">
        <v>2791</v>
      </c>
      <c r="K184" s="25" t="s">
        <v>2792</v>
      </c>
      <c r="L184" s="49" t="s">
        <v>2793</v>
      </c>
      <c r="M184" s="25" t="s">
        <v>2713</v>
      </c>
      <c r="N184" s="49" t="s">
        <v>2771</v>
      </c>
      <c r="O184" s="25" t="s">
        <v>2333</v>
      </c>
      <c r="P184" s="49" t="s">
        <v>2334</v>
      </c>
      <c r="Q184" s="49"/>
      <c r="R184" s="50" t="s">
        <v>44</v>
      </c>
      <c r="S184" s="52" t="s">
        <v>67</v>
      </c>
    </row>
    <row r="185" customFormat="false" ht="15" hidden="false" customHeight="true" outlineLevel="0" collapsed="false">
      <c r="A185" s="46" t="n">
        <v>184</v>
      </c>
      <c r="B185" s="24" t="s">
        <v>2794</v>
      </c>
      <c r="C185" s="47"/>
      <c r="D185" s="47"/>
      <c r="E185" s="46"/>
      <c r="F185" s="46" t="s">
        <v>2104</v>
      </c>
      <c r="G185" s="24" t="s">
        <v>2405</v>
      </c>
      <c r="H185" s="48" t="n">
        <v>5</v>
      </c>
      <c r="I185" s="46"/>
      <c r="J185" s="47" t="s">
        <v>2795</v>
      </c>
      <c r="K185" s="24" t="s">
        <v>2055</v>
      </c>
      <c r="L185" s="46" t="s">
        <v>2796</v>
      </c>
      <c r="M185" s="24" t="s">
        <v>2713</v>
      </c>
      <c r="N185" s="46" t="s">
        <v>2771</v>
      </c>
      <c r="O185" s="24" t="s">
        <v>2333</v>
      </c>
      <c r="P185" s="46" t="s">
        <v>2334</v>
      </c>
      <c r="Q185" s="46"/>
      <c r="R185" s="47" t="s">
        <v>44</v>
      </c>
      <c r="S185" s="52" t="s">
        <v>2730</v>
      </c>
    </row>
    <row r="186" customFormat="false" ht="15" hidden="false" customHeight="true" outlineLevel="0" collapsed="false">
      <c r="A186" s="49" t="n">
        <v>185</v>
      </c>
      <c r="B186" s="25" t="s">
        <v>2781</v>
      </c>
      <c r="C186" s="50"/>
      <c r="D186" s="50" t="s">
        <v>2168</v>
      </c>
      <c r="E186" s="49" t="s">
        <v>17</v>
      </c>
      <c r="F186" s="49" t="s">
        <v>2104</v>
      </c>
      <c r="G186" s="25" t="s">
        <v>2405</v>
      </c>
      <c r="H186" s="51" t="n">
        <v>5</v>
      </c>
      <c r="I186" s="49"/>
      <c r="J186" s="50" t="s">
        <v>2797</v>
      </c>
      <c r="K186" s="25" t="s">
        <v>2798</v>
      </c>
      <c r="L186" s="49" t="s">
        <v>2799</v>
      </c>
      <c r="M186" s="25" t="s">
        <v>2713</v>
      </c>
      <c r="N186" s="49" t="s">
        <v>2771</v>
      </c>
      <c r="O186" s="25" t="s">
        <v>2333</v>
      </c>
      <c r="P186" s="49" t="s">
        <v>2334</v>
      </c>
      <c r="Q186" s="49"/>
      <c r="R186" s="50" t="s">
        <v>44</v>
      </c>
      <c r="S186" s="52" t="s">
        <v>67</v>
      </c>
    </row>
    <row r="187" customFormat="false" ht="15" hidden="false" customHeight="true" outlineLevel="0" collapsed="false">
      <c r="A187" s="46" t="n">
        <v>186</v>
      </c>
      <c r="B187" s="24" t="s">
        <v>2168</v>
      </c>
      <c r="C187" s="47"/>
      <c r="D187" s="47" t="s">
        <v>2168</v>
      </c>
      <c r="E187" s="46" t="s">
        <v>17</v>
      </c>
      <c r="F187" s="46" t="s">
        <v>2104</v>
      </c>
      <c r="G187" s="24" t="s">
        <v>2405</v>
      </c>
      <c r="H187" s="48" t="n">
        <v>5</v>
      </c>
      <c r="I187" s="46"/>
      <c r="J187" s="47" t="s">
        <v>2800</v>
      </c>
      <c r="K187" s="24" t="s">
        <v>2801</v>
      </c>
      <c r="L187" s="46" t="s">
        <v>2802</v>
      </c>
      <c r="M187" s="24" t="s">
        <v>2713</v>
      </c>
      <c r="N187" s="46" t="s">
        <v>2771</v>
      </c>
      <c r="O187" s="24" t="s">
        <v>2333</v>
      </c>
      <c r="P187" s="46" t="s">
        <v>2334</v>
      </c>
      <c r="Q187" s="46"/>
      <c r="R187" s="47" t="s">
        <v>44</v>
      </c>
      <c r="S187" s="52" t="s">
        <v>67</v>
      </c>
    </row>
    <row r="188" customFormat="false" ht="15" hidden="false" customHeight="true" outlineLevel="0" collapsed="false">
      <c r="A188" s="49" t="n">
        <v>187</v>
      </c>
      <c r="B188" s="25" t="s">
        <v>2168</v>
      </c>
      <c r="C188" s="50"/>
      <c r="D188" s="50" t="s">
        <v>2168</v>
      </c>
      <c r="E188" s="49" t="s">
        <v>17</v>
      </c>
      <c r="F188" s="49" t="s">
        <v>2104</v>
      </c>
      <c r="G188" s="25" t="s">
        <v>2405</v>
      </c>
      <c r="H188" s="51" t="n">
        <v>5</v>
      </c>
      <c r="I188" s="49"/>
      <c r="J188" s="50" t="s">
        <v>2803</v>
      </c>
      <c r="K188" s="25" t="s">
        <v>2804</v>
      </c>
      <c r="L188" s="49" t="s">
        <v>2805</v>
      </c>
      <c r="M188" s="25" t="s">
        <v>2713</v>
      </c>
      <c r="N188" s="49" t="s">
        <v>2771</v>
      </c>
      <c r="O188" s="25" t="s">
        <v>2333</v>
      </c>
      <c r="P188" s="49" t="s">
        <v>2334</v>
      </c>
      <c r="Q188" s="49"/>
      <c r="R188" s="50" t="s">
        <v>44</v>
      </c>
      <c r="S188" s="52" t="s">
        <v>67</v>
      </c>
    </row>
    <row r="189" customFormat="false" ht="15" hidden="false" customHeight="true" outlineLevel="0" collapsed="false">
      <c r="A189" s="46" t="n">
        <v>188</v>
      </c>
      <c r="B189" s="24" t="s">
        <v>2168</v>
      </c>
      <c r="C189" s="47"/>
      <c r="D189" s="47" t="s">
        <v>2168</v>
      </c>
      <c r="E189" s="46" t="s">
        <v>17</v>
      </c>
      <c r="F189" s="46" t="s">
        <v>2104</v>
      </c>
      <c r="G189" s="24" t="s">
        <v>2405</v>
      </c>
      <c r="H189" s="48" t="n">
        <v>5</v>
      </c>
      <c r="I189" s="46"/>
      <c r="J189" s="47" t="s">
        <v>2806</v>
      </c>
      <c r="K189" s="24" t="s">
        <v>388</v>
      </c>
      <c r="L189" s="46" t="e">
        <f aca="false">#N/A</f>
        <v>#N/A</v>
      </c>
      <c r="M189" s="24" t="s">
        <v>2713</v>
      </c>
      <c r="N189" s="46" t="s">
        <v>2771</v>
      </c>
      <c r="O189" s="24" t="s">
        <v>2333</v>
      </c>
      <c r="P189" s="46" t="s">
        <v>2334</v>
      </c>
      <c r="Q189" s="46"/>
      <c r="R189" s="47" t="s">
        <v>44</v>
      </c>
      <c r="S189" s="52" t="s">
        <v>67</v>
      </c>
    </row>
    <row r="190" customFormat="false" ht="15" hidden="false" customHeight="true" outlineLevel="0" collapsed="false">
      <c r="A190" s="49" t="n">
        <v>189</v>
      </c>
      <c r="B190" s="25" t="s">
        <v>2781</v>
      </c>
      <c r="C190" s="50"/>
      <c r="D190" s="50" t="s">
        <v>2168</v>
      </c>
      <c r="E190" s="49" t="s">
        <v>17</v>
      </c>
      <c r="F190" s="49" t="s">
        <v>2104</v>
      </c>
      <c r="G190" s="25" t="s">
        <v>2405</v>
      </c>
      <c r="H190" s="51" t="n">
        <v>5</v>
      </c>
      <c r="I190" s="49"/>
      <c r="J190" s="50" t="s">
        <v>2807</v>
      </c>
      <c r="K190" s="25" t="s">
        <v>2808</v>
      </c>
      <c r="L190" s="49" t="s">
        <v>2809</v>
      </c>
      <c r="M190" s="25" t="s">
        <v>2713</v>
      </c>
      <c r="N190" s="49" t="s">
        <v>2771</v>
      </c>
      <c r="O190" s="25" t="s">
        <v>2333</v>
      </c>
      <c r="P190" s="49" t="s">
        <v>2334</v>
      </c>
      <c r="Q190" s="49"/>
      <c r="R190" s="50" t="s">
        <v>44</v>
      </c>
      <c r="S190" s="52" t="s">
        <v>67</v>
      </c>
    </row>
    <row r="191" customFormat="false" ht="15" hidden="false" customHeight="true" outlineLevel="0" collapsed="false">
      <c r="A191" s="46" t="n">
        <v>190</v>
      </c>
      <c r="B191" s="24" t="s">
        <v>2168</v>
      </c>
      <c r="C191" s="47"/>
      <c r="D191" s="47" t="s">
        <v>2168</v>
      </c>
      <c r="E191" s="46" t="s">
        <v>17</v>
      </c>
      <c r="F191" s="46" t="s">
        <v>2104</v>
      </c>
      <c r="G191" s="24" t="s">
        <v>2405</v>
      </c>
      <c r="H191" s="48" t="n">
        <v>5</v>
      </c>
      <c r="I191" s="46"/>
      <c r="J191" s="47" t="s">
        <v>2810</v>
      </c>
      <c r="K191" s="24" t="s">
        <v>2811</v>
      </c>
      <c r="L191" s="46" t="s">
        <v>2812</v>
      </c>
      <c r="M191" s="24" t="s">
        <v>2713</v>
      </c>
      <c r="N191" s="46" t="s">
        <v>2771</v>
      </c>
      <c r="O191" s="24" t="s">
        <v>2333</v>
      </c>
      <c r="P191" s="46" t="s">
        <v>2334</v>
      </c>
      <c r="Q191" s="46"/>
      <c r="R191" s="47" t="s">
        <v>44</v>
      </c>
      <c r="S191" s="52" t="s">
        <v>67</v>
      </c>
    </row>
    <row r="192" customFormat="false" ht="15" hidden="false" customHeight="true" outlineLevel="0" collapsed="false">
      <c r="A192" s="49" t="n">
        <v>191</v>
      </c>
      <c r="B192" s="25" t="s">
        <v>2168</v>
      </c>
      <c r="C192" s="50"/>
      <c r="D192" s="50" t="s">
        <v>2168</v>
      </c>
      <c r="E192" s="49" t="s">
        <v>17</v>
      </c>
      <c r="F192" s="49" t="s">
        <v>2104</v>
      </c>
      <c r="G192" s="25" t="s">
        <v>2405</v>
      </c>
      <c r="H192" s="51" t="n">
        <v>5</v>
      </c>
      <c r="I192" s="49"/>
      <c r="J192" s="50" t="s">
        <v>2813</v>
      </c>
      <c r="K192" s="25" t="s">
        <v>2814</v>
      </c>
      <c r="L192" s="49" t="s">
        <v>2815</v>
      </c>
      <c r="M192" s="25" t="s">
        <v>2713</v>
      </c>
      <c r="N192" s="49" t="s">
        <v>2771</v>
      </c>
      <c r="O192" s="25" t="s">
        <v>2333</v>
      </c>
      <c r="P192" s="49" t="s">
        <v>2334</v>
      </c>
      <c r="Q192" s="49"/>
      <c r="R192" s="50" t="s">
        <v>44</v>
      </c>
      <c r="S192" s="52" t="s">
        <v>67</v>
      </c>
    </row>
    <row r="193" customFormat="false" ht="15" hidden="false" customHeight="true" outlineLevel="0" collapsed="false">
      <c r="A193" s="46" t="n">
        <v>192</v>
      </c>
      <c r="B193" s="24" t="s">
        <v>2168</v>
      </c>
      <c r="C193" s="47"/>
      <c r="D193" s="47" t="s">
        <v>2168</v>
      </c>
      <c r="E193" s="46" t="s">
        <v>17</v>
      </c>
      <c r="F193" s="46" t="s">
        <v>2104</v>
      </c>
      <c r="G193" s="24" t="s">
        <v>2405</v>
      </c>
      <c r="H193" s="48" t="n">
        <v>5</v>
      </c>
      <c r="I193" s="46"/>
      <c r="J193" s="47" t="s">
        <v>2816</v>
      </c>
      <c r="K193" s="24" t="s">
        <v>2817</v>
      </c>
      <c r="L193" s="46" t="s">
        <v>2784</v>
      </c>
      <c r="M193" s="24" t="s">
        <v>2713</v>
      </c>
      <c r="N193" s="46" t="s">
        <v>2771</v>
      </c>
      <c r="O193" s="24" t="s">
        <v>2333</v>
      </c>
      <c r="P193" s="46" t="s">
        <v>2334</v>
      </c>
      <c r="Q193" s="46"/>
      <c r="R193" s="47" t="s">
        <v>44</v>
      </c>
      <c r="S193" s="52" t="s">
        <v>67</v>
      </c>
    </row>
    <row r="194" customFormat="false" ht="15" hidden="false" customHeight="true" outlineLevel="0" collapsed="false">
      <c r="A194" s="49" t="n">
        <v>193</v>
      </c>
      <c r="B194" s="25" t="s">
        <v>2176</v>
      </c>
      <c r="C194" s="50"/>
      <c r="D194" s="50" t="s">
        <v>2176</v>
      </c>
      <c r="E194" s="49" t="s">
        <v>17</v>
      </c>
      <c r="F194" s="49" t="s">
        <v>2104</v>
      </c>
      <c r="G194" s="25" t="s">
        <v>2405</v>
      </c>
      <c r="H194" s="51" t="n">
        <v>5</v>
      </c>
      <c r="I194" s="49"/>
      <c r="J194" s="50" t="s">
        <v>2818</v>
      </c>
      <c r="K194" s="25" t="s">
        <v>2819</v>
      </c>
      <c r="L194" s="49" t="s">
        <v>2820</v>
      </c>
      <c r="M194" s="25" t="s">
        <v>2713</v>
      </c>
      <c r="N194" s="49" t="s">
        <v>2771</v>
      </c>
      <c r="O194" s="25" t="s">
        <v>2333</v>
      </c>
      <c r="P194" s="49" t="s">
        <v>2334</v>
      </c>
      <c r="Q194" s="49"/>
      <c r="R194" s="50" t="s">
        <v>44</v>
      </c>
      <c r="S194" s="52" t="s">
        <v>67</v>
      </c>
    </row>
    <row r="195" customFormat="false" ht="15" hidden="false" customHeight="true" outlineLevel="0" collapsed="false">
      <c r="A195" s="46" t="n">
        <v>194</v>
      </c>
      <c r="B195" s="24" t="s">
        <v>2176</v>
      </c>
      <c r="C195" s="47"/>
      <c r="D195" s="47" t="s">
        <v>2176</v>
      </c>
      <c r="E195" s="46" t="s">
        <v>17</v>
      </c>
      <c r="F195" s="46" t="s">
        <v>2104</v>
      </c>
      <c r="G195" s="24" t="s">
        <v>2405</v>
      </c>
      <c r="H195" s="48" t="n">
        <v>5</v>
      </c>
      <c r="I195" s="46"/>
      <c r="J195" s="47" t="s">
        <v>2786</v>
      </c>
      <c r="K195" s="24" t="s">
        <v>2821</v>
      </c>
      <c r="L195" s="46" t="s">
        <v>2822</v>
      </c>
      <c r="M195" s="24" t="s">
        <v>2713</v>
      </c>
      <c r="N195" s="46" t="s">
        <v>2771</v>
      </c>
      <c r="O195" s="24" t="s">
        <v>2333</v>
      </c>
      <c r="P195" s="46" t="s">
        <v>2334</v>
      </c>
      <c r="Q195" s="46"/>
      <c r="R195" s="47" t="s">
        <v>44</v>
      </c>
      <c r="S195" s="52" t="s">
        <v>67</v>
      </c>
    </row>
    <row r="196" customFormat="false" ht="15" hidden="false" customHeight="true" outlineLevel="0" collapsed="false">
      <c r="A196" s="49" t="n">
        <v>195</v>
      </c>
      <c r="B196" s="25" t="s">
        <v>2176</v>
      </c>
      <c r="C196" s="50"/>
      <c r="D196" s="50" t="s">
        <v>2176</v>
      </c>
      <c r="E196" s="49" t="s">
        <v>17</v>
      </c>
      <c r="F196" s="49" t="s">
        <v>2104</v>
      </c>
      <c r="G196" s="25" t="s">
        <v>2405</v>
      </c>
      <c r="H196" s="51" t="n">
        <v>5</v>
      </c>
      <c r="I196" s="49"/>
      <c r="J196" s="50" t="s">
        <v>2823</v>
      </c>
      <c r="K196" s="25" t="s">
        <v>2824</v>
      </c>
      <c r="L196" s="49" t="s">
        <v>2825</v>
      </c>
      <c r="M196" s="25" t="s">
        <v>2713</v>
      </c>
      <c r="N196" s="49" t="s">
        <v>2771</v>
      </c>
      <c r="O196" s="25" t="s">
        <v>2333</v>
      </c>
      <c r="P196" s="49" t="s">
        <v>2334</v>
      </c>
      <c r="Q196" s="49"/>
      <c r="R196" s="50" t="s">
        <v>44</v>
      </c>
      <c r="S196" s="52" t="s">
        <v>67</v>
      </c>
    </row>
    <row r="197" customFormat="false" ht="15" hidden="false" customHeight="true" outlineLevel="0" collapsed="false">
      <c r="A197" s="46" t="n">
        <v>196</v>
      </c>
      <c r="B197" s="24" t="s">
        <v>2176</v>
      </c>
      <c r="C197" s="47"/>
      <c r="D197" s="47" t="s">
        <v>2176</v>
      </c>
      <c r="E197" s="46" t="s">
        <v>17</v>
      </c>
      <c r="F197" s="46" t="s">
        <v>2104</v>
      </c>
      <c r="G197" s="24" t="s">
        <v>2405</v>
      </c>
      <c r="H197" s="48" t="n">
        <v>5</v>
      </c>
      <c r="I197" s="46"/>
      <c r="J197" s="47" t="s">
        <v>2826</v>
      </c>
      <c r="K197" s="24" t="s">
        <v>2827</v>
      </c>
      <c r="L197" s="46" t="s">
        <v>2828</v>
      </c>
      <c r="M197" s="24" t="s">
        <v>2713</v>
      </c>
      <c r="N197" s="46" t="s">
        <v>2771</v>
      </c>
      <c r="O197" s="24" t="s">
        <v>2333</v>
      </c>
      <c r="P197" s="46" t="s">
        <v>2334</v>
      </c>
      <c r="Q197" s="46"/>
      <c r="R197" s="47" t="s">
        <v>44</v>
      </c>
      <c r="S197" s="52" t="s">
        <v>2829</v>
      </c>
    </row>
    <row r="198" customFormat="false" ht="15" hidden="false" customHeight="true" outlineLevel="0" collapsed="false">
      <c r="A198" s="49" t="n">
        <v>197</v>
      </c>
      <c r="B198" s="25" t="s">
        <v>2176</v>
      </c>
      <c r="C198" s="50"/>
      <c r="D198" s="50" t="s">
        <v>2176</v>
      </c>
      <c r="E198" s="49" t="s">
        <v>17</v>
      </c>
      <c r="F198" s="49" t="s">
        <v>2104</v>
      </c>
      <c r="G198" s="25" t="s">
        <v>2405</v>
      </c>
      <c r="H198" s="51" t="n">
        <v>5</v>
      </c>
      <c r="I198" s="49"/>
      <c r="J198" s="50" t="s">
        <v>2830</v>
      </c>
      <c r="K198" s="25" t="s">
        <v>2831</v>
      </c>
      <c r="L198" s="49" t="s">
        <v>2832</v>
      </c>
      <c r="M198" s="25" t="s">
        <v>2713</v>
      </c>
      <c r="N198" s="49" t="s">
        <v>2771</v>
      </c>
      <c r="O198" s="25" t="s">
        <v>2333</v>
      </c>
      <c r="P198" s="49" t="s">
        <v>2334</v>
      </c>
      <c r="Q198" s="49"/>
      <c r="R198" s="50" t="s">
        <v>44</v>
      </c>
      <c r="S198" s="52" t="s">
        <v>67</v>
      </c>
    </row>
    <row r="199" customFormat="false" ht="15" hidden="false" customHeight="true" outlineLevel="0" collapsed="false">
      <c r="A199" s="46" t="n">
        <v>198</v>
      </c>
      <c r="B199" s="24" t="s">
        <v>2182</v>
      </c>
      <c r="C199" s="47"/>
      <c r="D199" s="47" t="s">
        <v>2182</v>
      </c>
      <c r="E199" s="46" t="s">
        <v>17</v>
      </c>
      <c r="F199" s="46" t="s">
        <v>2104</v>
      </c>
      <c r="G199" s="24" t="s">
        <v>2405</v>
      </c>
      <c r="H199" s="48" t="n">
        <v>5</v>
      </c>
      <c r="I199" s="46"/>
      <c r="J199" s="47" t="s">
        <v>2833</v>
      </c>
      <c r="K199" s="24" t="s">
        <v>2834</v>
      </c>
      <c r="L199" s="46" t="s">
        <v>2835</v>
      </c>
      <c r="M199" s="24" t="s">
        <v>2713</v>
      </c>
      <c r="N199" s="46" t="s">
        <v>2771</v>
      </c>
      <c r="O199" s="24" t="s">
        <v>2333</v>
      </c>
      <c r="P199" s="46" t="s">
        <v>2334</v>
      </c>
      <c r="Q199" s="46"/>
      <c r="R199" s="47" t="s">
        <v>44</v>
      </c>
      <c r="S199" s="52" t="s">
        <v>67</v>
      </c>
    </row>
    <row r="200" customFormat="false" ht="15" hidden="false" customHeight="true" outlineLevel="0" collapsed="false">
      <c r="A200" s="49" t="n">
        <v>199</v>
      </c>
      <c r="B200" s="25" t="s">
        <v>2182</v>
      </c>
      <c r="C200" s="50"/>
      <c r="D200" s="50" t="s">
        <v>2182</v>
      </c>
      <c r="E200" s="49" t="s">
        <v>17</v>
      </c>
      <c r="F200" s="49" t="s">
        <v>2104</v>
      </c>
      <c r="G200" s="25" t="s">
        <v>2405</v>
      </c>
      <c r="H200" s="51" t="n">
        <v>5</v>
      </c>
      <c r="I200" s="49"/>
      <c r="J200" s="50" t="s">
        <v>2836</v>
      </c>
      <c r="K200" s="25" t="s">
        <v>2837</v>
      </c>
      <c r="L200" s="49" t="s">
        <v>2838</v>
      </c>
      <c r="M200" s="25" t="s">
        <v>2713</v>
      </c>
      <c r="N200" s="49" t="s">
        <v>2771</v>
      </c>
      <c r="O200" s="25" t="s">
        <v>2333</v>
      </c>
      <c r="P200" s="49" t="s">
        <v>2334</v>
      </c>
      <c r="Q200" s="49"/>
      <c r="R200" s="50" t="s">
        <v>44</v>
      </c>
      <c r="S200" s="52" t="s">
        <v>67</v>
      </c>
    </row>
    <row r="201" customFormat="false" ht="15" hidden="false" customHeight="true" outlineLevel="0" collapsed="false">
      <c r="A201" s="46" t="n">
        <v>200</v>
      </c>
      <c r="B201" s="24" t="s">
        <v>2182</v>
      </c>
      <c r="C201" s="47"/>
      <c r="D201" s="47" t="s">
        <v>2182</v>
      </c>
      <c r="E201" s="46" t="s">
        <v>17</v>
      </c>
      <c r="F201" s="46" t="s">
        <v>2104</v>
      </c>
      <c r="G201" s="24" t="s">
        <v>2405</v>
      </c>
      <c r="H201" s="48" t="n">
        <v>5</v>
      </c>
      <c r="I201" s="46"/>
      <c r="J201" s="47" t="s">
        <v>2839</v>
      </c>
      <c r="K201" s="24" t="s">
        <v>2840</v>
      </c>
      <c r="L201" s="46" t="s">
        <v>2841</v>
      </c>
      <c r="M201" s="24" t="s">
        <v>2842</v>
      </c>
      <c r="N201" s="46" t="s">
        <v>2843</v>
      </c>
      <c r="O201" s="24" t="s">
        <v>2333</v>
      </c>
      <c r="P201" s="46" t="s">
        <v>2334</v>
      </c>
      <c r="Q201" s="46"/>
      <c r="R201" s="47" t="s">
        <v>44</v>
      </c>
      <c r="S201" s="52" t="s">
        <v>67</v>
      </c>
    </row>
    <row r="202" customFormat="false" ht="15" hidden="false" customHeight="true" outlineLevel="0" collapsed="false">
      <c r="A202" s="49" t="n">
        <v>201</v>
      </c>
      <c r="B202" s="25" t="s">
        <v>2182</v>
      </c>
      <c r="C202" s="50"/>
      <c r="D202" s="50" t="s">
        <v>2182</v>
      </c>
      <c r="E202" s="49" t="s">
        <v>17</v>
      </c>
      <c r="F202" s="49" t="s">
        <v>2104</v>
      </c>
      <c r="G202" s="25" t="s">
        <v>2405</v>
      </c>
      <c r="H202" s="51" t="n">
        <v>5</v>
      </c>
      <c r="I202" s="49"/>
      <c r="J202" s="50" t="s">
        <v>2844</v>
      </c>
      <c r="K202" s="25" t="s">
        <v>1490</v>
      </c>
      <c r="L202" s="49" t="s">
        <v>2845</v>
      </c>
      <c r="M202" s="25" t="s">
        <v>2842</v>
      </c>
      <c r="N202" s="49" t="s">
        <v>2843</v>
      </c>
      <c r="O202" s="25" t="s">
        <v>2333</v>
      </c>
      <c r="P202" s="49" t="s">
        <v>2334</v>
      </c>
      <c r="Q202" s="49"/>
      <c r="R202" s="50" t="s">
        <v>44</v>
      </c>
      <c r="S202" s="52" t="s">
        <v>67</v>
      </c>
    </row>
    <row r="203" customFormat="false" ht="15" hidden="false" customHeight="true" outlineLevel="0" collapsed="false">
      <c r="A203" s="46" t="n">
        <v>202</v>
      </c>
      <c r="B203" s="24" t="s">
        <v>2182</v>
      </c>
      <c r="C203" s="47"/>
      <c r="D203" s="47" t="s">
        <v>2182</v>
      </c>
      <c r="E203" s="46" t="s">
        <v>17</v>
      </c>
      <c r="F203" s="46" t="s">
        <v>2104</v>
      </c>
      <c r="G203" s="24" t="s">
        <v>2405</v>
      </c>
      <c r="H203" s="48" t="n">
        <v>5</v>
      </c>
      <c r="I203" s="46"/>
      <c r="J203" s="47" t="s">
        <v>2846</v>
      </c>
      <c r="K203" s="24" t="s">
        <v>2847</v>
      </c>
      <c r="L203" s="46" t="s">
        <v>2848</v>
      </c>
      <c r="M203" s="24" t="s">
        <v>2842</v>
      </c>
      <c r="N203" s="46" t="s">
        <v>2843</v>
      </c>
      <c r="O203" s="24" t="s">
        <v>2333</v>
      </c>
      <c r="P203" s="46" t="s">
        <v>2334</v>
      </c>
      <c r="Q203" s="46"/>
      <c r="R203" s="47" t="s">
        <v>44</v>
      </c>
      <c r="S203" s="52" t="s">
        <v>67</v>
      </c>
    </row>
    <row r="204" customFormat="false" ht="15" hidden="false" customHeight="true" outlineLevel="0" collapsed="false">
      <c r="A204" s="49" t="n">
        <v>203</v>
      </c>
      <c r="B204" s="25" t="s">
        <v>2182</v>
      </c>
      <c r="C204" s="50"/>
      <c r="D204" s="50" t="s">
        <v>2182</v>
      </c>
      <c r="E204" s="49" t="s">
        <v>17</v>
      </c>
      <c r="F204" s="49" t="s">
        <v>2104</v>
      </c>
      <c r="G204" s="25" t="s">
        <v>2405</v>
      </c>
      <c r="H204" s="51" t="n">
        <v>5</v>
      </c>
      <c r="I204" s="49"/>
      <c r="J204" s="50" t="s">
        <v>2849</v>
      </c>
      <c r="K204" s="25" t="s">
        <v>2850</v>
      </c>
      <c r="L204" s="49" t="s">
        <v>2851</v>
      </c>
      <c r="M204" s="25" t="s">
        <v>2842</v>
      </c>
      <c r="N204" s="49" t="s">
        <v>2843</v>
      </c>
      <c r="O204" s="25" t="s">
        <v>2333</v>
      </c>
      <c r="P204" s="49" t="s">
        <v>2334</v>
      </c>
      <c r="Q204" s="49"/>
      <c r="R204" s="50" t="s">
        <v>44</v>
      </c>
      <c r="S204" s="52" t="s">
        <v>67</v>
      </c>
    </row>
    <row r="205" customFormat="false" ht="15" hidden="false" customHeight="true" outlineLevel="0" collapsed="false">
      <c r="A205" s="46" t="n">
        <v>204</v>
      </c>
      <c r="B205" s="24" t="s">
        <v>2182</v>
      </c>
      <c r="C205" s="47"/>
      <c r="D205" s="47" t="s">
        <v>2182</v>
      </c>
      <c r="E205" s="46" t="s">
        <v>17</v>
      </c>
      <c r="F205" s="46" t="s">
        <v>2104</v>
      </c>
      <c r="G205" s="24" t="s">
        <v>2405</v>
      </c>
      <c r="H205" s="48" t="n">
        <v>5</v>
      </c>
      <c r="I205" s="46"/>
      <c r="J205" s="47" t="s">
        <v>2852</v>
      </c>
      <c r="K205" s="24" t="s">
        <v>2853</v>
      </c>
      <c r="L205" s="46" t="s">
        <v>2854</v>
      </c>
      <c r="M205" s="24" t="s">
        <v>2842</v>
      </c>
      <c r="N205" s="46" t="s">
        <v>2843</v>
      </c>
      <c r="O205" s="24" t="s">
        <v>2333</v>
      </c>
      <c r="P205" s="46" t="s">
        <v>2334</v>
      </c>
      <c r="Q205" s="46"/>
      <c r="R205" s="47" t="s">
        <v>44</v>
      </c>
      <c r="S205" s="52" t="s">
        <v>67</v>
      </c>
    </row>
    <row r="206" customFormat="false" ht="15" hidden="false" customHeight="true" outlineLevel="0" collapsed="false">
      <c r="A206" s="49" t="n">
        <v>205</v>
      </c>
      <c r="B206" s="25" t="s">
        <v>2182</v>
      </c>
      <c r="C206" s="50"/>
      <c r="D206" s="50" t="s">
        <v>2182</v>
      </c>
      <c r="E206" s="49" t="s">
        <v>17</v>
      </c>
      <c r="F206" s="49" t="s">
        <v>2104</v>
      </c>
      <c r="G206" s="25" t="s">
        <v>2405</v>
      </c>
      <c r="H206" s="51" t="n">
        <v>5</v>
      </c>
      <c r="I206" s="49"/>
      <c r="J206" s="50" t="s">
        <v>2855</v>
      </c>
      <c r="K206" s="25" t="s">
        <v>2856</v>
      </c>
      <c r="L206" s="49" t="s">
        <v>2857</v>
      </c>
      <c r="M206" s="25" t="s">
        <v>2842</v>
      </c>
      <c r="N206" s="49" t="s">
        <v>2843</v>
      </c>
      <c r="O206" s="25" t="s">
        <v>2333</v>
      </c>
      <c r="P206" s="49" t="s">
        <v>2334</v>
      </c>
      <c r="Q206" s="49"/>
      <c r="R206" s="50" t="s">
        <v>44</v>
      </c>
      <c r="S206" s="52" t="s">
        <v>67</v>
      </c>
    </row>
    <row r="207" customFormat="false" ht="15" hidden="false" customHeight="true" outlineLevel="0" collapsed="false">
      <c r="A207" s="46" t="n">
        <v>206</v>
      </c>
      <c r="B207" s="24" t="s">
        <v>2182</v>
      </c>
      <c r="C207" s="47"/>
      <c r="D207" s="47" t="s">
        <v>2182</v>
      </c>
      <c r="E207" s="46" t="s">
        <v>17</v>
      </c>
      <c r="F207" s="46" t="s">
        <v>2104</v>
      </c>
      <c r="G207" s="24" t="s">
        <v>2405</v>
      </c>
      <c r="H207" s="48" t="n">
        <v>5</v>
      </c>
      <c r="I207" s="46"/>
      <c r="J207" s="47" t="s">
        <v>2858</v>
      </c>
      <c r="K207" s="24" t="s">
        <v>2859</v>
      </c>
      <c r="L207" s="46" t="s">
        <v>2860</v>
      </c>
      <c r="M207" s="24" t="s">
        <v>2842</v>
      </c>
      <c r="N207" s="46" t="s">
        <v>2843</v>
      </c>
      <c r="O207" s="24" t="s">
        <v>2333</v>
      </c>
      <c r="P207" s="46" t="s">
        <v>2334</v>
      </c>
      <c r="Q207" s="46"/>
      <c r="R207" s="47" t="s">
        <v>44</v>
      </c>
      <c r="S207" s="52" t="s">
        <v>67</v>
      </c>
    </row>
    <row r="208" customFormat="false" ht="15" hidden="false" customHeight="true" outlineLevel="0" collapsed="false">
      <c r="A208" s="49" t="n">
        <v>207</v>
      </c>
      <c r="B208" s="25" t="s">
        <v>2182</v>
      </c>
      <c r="C208" s="50"/>
      <c r="D208" s="50" t="s">
        <v>2182</v>
      </c>
      <c r="E208" s="49" t="s">
        <v>17</v>
      </c>
      <c r="F208" s="49" t="s">
        <v>2104</v>
      </c>
      <c r="G208" s="25" t="s">
        <v>2405</v>
      </c>
      <c r="H208" s="51" t="n">
        <v>5</v>
      </c>
      <c r="I208" s="49"/>
      <c r="J208" s="50" t="s">
        <v>2861</v>
      </c>
      <c r="K208" s="25" t="s">
        <v>2862</v>
      </c>
      <c r="L208" s="49" t="s">
        <v>2863</v>
      </c>
      <c r="M208" s="25" t="s">
        <v>2842</v>
      </c>
      <c r="N208" s="49" t="s">
        <v>2843</v>
      </c>
      <c r="O208" s="25" t="s">
        <v>2333</v>
      </c>
      <c r="P208" s="49" t="s">
        <v>2334</v>
      </c>
      <c r="Q208" s="49"/>
      <c r="R208" s="50" t="s">
        <v>44</v>
      </c>
      <c r="S208" s="52" t="s">
        <v>67</v>
      </c>
    </row>
    <row r="209" customFormat="false" ht="15" hidden="false" customHeight="true" outlineLevel="0" collapsed="false">
      <c r="A209" s="46" t="n">
        <v>208</v>
      </c>
      <c r="B209" s="24" t="s">
        <v>2176</v>
      </c>
      <c r="C209" s="47"/>
      <c r="D209" s="47" t="s">
        <v>2176</v>
      </c>
      <c r="E209" s="46" t="s">
        <v>17</v>
      </c>
      <c r="F209" s="46" t="s">
        <v>2104</v>
      </c>
      <c r="G209" s="24" t="s">
        <v>2405</v>
      </c>
      <c r="H209" s="48" t="n">
        <v>5</v>
      </c>
      <c r="I209" s="46"/>
      <c r="J209" s="47" t="s">
        <v>2864</v>
      </c>
      <c r="K209" s="24" t="s">
        <v>2865</v>
      </c>
      <c r="L209" s="46" t="s">
        <v>2866</v>
      </c>
      <c r="M209" s="24" t="s">
        <v>2842</v>
      </c>
      <c r="N209" s="46" t="s">
        <v>2843</v>
      </c>
      <c r="O209" s="24" t="s">
        <v>2333</v>
      </c>
      <c r="P209" s="46" t="s">
        <v>2334</v>
      </c>
      <c r="Q209" s="46"/>
      <c r="R209" s="47" t="s">
        <v>44</v>
      </c>
      <c r="S209" s="52" t="s">
        <v>67</v>
      </c>
    </row>
    <row r="210" customFormat="false" ht="15" hidden="false" customHeight="true" outlineLevel="0" collapsed="false">
      <c r="A210" s="49" t="n">
        <v>209</v>
      </c>
      <c r="B210" s="25" t="s">
        <v>2176</v>
      </c>
      <c r="C210" s="50"/>
      <c r="D210" s="50" t="s">
        <v>2176</v>
      </c>
      <c r="E210" s="49" t="s">
        <v>17</v>
      </c>
      <c r="F210" s="49" t="s">
        <v>2104</v>
      </c>
      <c r="G210" s="25" t="s">
        <v>2405</v>
      </c>
      <c r="H210" s="51" t="n">
        <v>5</v>
      </c>
      <c r="I210" s="49"/>
      <c r="J210" s="50" t="s">
        <v>2867</v>
      </c>
      <c r="K210" s="25" t="s">
        <v>2868</v>
      </c>
      <c r="L210" s="49" t="s">
        <v>2869</v>
      </c>
      <c r="M210" s="25" t="s">
        <v>2842</v>
      </c>
      <c r="N210" s="49" t="s">
        <v>2843</v>
      </c>
      <c r="O210" s="25" t="s">
        <v>2333</v>
      </c>
      <c r="P210" s="49" t="s">
        <v>2334</v>
      </c>
      <c r="Q210" s="49"/>
      <c r="R210" s="50" t="s">
        <v>44</v>
      </c>
      <c r="S210" s="52" t="s">
        <v>67</v>
      </c>
    </row>
    <row r="211" customFormat="false" ht="15" hidden="false" customHeight="true" outlineLevel="0" collapsed="false">
      <c r="A211" s="46" t="n">
        <v>210</v>
      </c>
      <c r="B211" s="24" t="s">
        <v>2176</v>
      </c>
      <c r="C211" s="47"/>
      <c r="D211" s="47" t="s">
        <v>2176</v>
      </c>
      <c r="E211" s="46" t="s">
        <v>17</v>
      </c>
      <c r="F211" s="46" t="s">
        <v>2104</v>
      </c>
      <c r="G211" s="24" t="s">
        <v>2405</v>
      </c>
      <c r="H211" s="48" t="n">
        <v>5</v>
      </c>
      <c r="I211" s="46"/>
      <c r="J211" s="47" t="s">
        <v>2870</v>
      </c>
      <c r="K211" s="24" t="s">
        <v>2871</v>
      </c>
      <c r="L211" s="46" t="s">
        <v>2872</v>
      </c>
      <c r="M211" s="24" t="s">
        <v>2842</v>
      </c>
      <c r="N211" s="46" t="s">
        <v>2843</v>
      </c>
      <c r="O211" s="24" t="s">
        <v>2333</v>
      </c>
      <c r="P211" s="46" t="s">
        <v>2334</v>
      </c>
      <c r="Q211" s="46"/>
      <c r="R211" s="47" t="s">
        <v>44</v>
      </c>
      <c r="S211" s="52" t="s">
        <v>67</v>
      </c>
    </row>
    <row r="212" customFormat="false" ht="15" hidden="false" customHeight="true" outlineLevel="0" collapsed="false">
      <c r="A212" s="49" t="n">
        <v>211</v>
      </c>
      <c r="B212" s="25" t="s">
        <v>2182</v>
      </c>
      <c r="C212" s="50"/>
      <c r="D212" s="50" t="s">
        <v>2182</v>
      </c>
      <c r="E212" s="49" t="s">
        <v>17</v>
      </c>
      <c r="F212" s="49" t="s">
        <v>2104</v>
      </c>
      <c r="G212" s="25" t="s">
        <v>2405</v>
      </c>
      <c r="H212" s="51" t="n">
        <v>5</v>
      </c>
      <c r="I212" s="49"/>
      <c r="J212" s="50" t="s">
        <v>2873</v>
      </c>
      <c r="K212" s="25" t="s">
        <v>2874</v>
      </c>
      <c r="L212" s="49" t="s">
        <v>2875</v>
      </c>
      <c r="M212" s="25" t="s">
        <v>2842</v>
      </c>
      <c r="N212" s="49" t="s">
        <v>2843</v>
      </c>
      <c r="O212" s="25" t="s">
        <v>2333</v>
      </c>
      <c r="P212" s="49" t="s">
        <v>2334</v>
      </c>
      <c r="Q212" s="49"/>
      <c r="R212" s="50" t="s">
        <v>44</v>
      </c>
      <c r="S212" s="52" t="s">
        <v>67</v>
      </c>
    </row>
    <row r="213" customFormat="false" ht="15" hidden="false" customHeight="true" outlineLevel="0" collapsed="false">
      <c r="A213" s="46" t="n">
        <v>212</v>
      </c>
      <c r="B213" s="24" t="s">
        <v>2182</v>
      </c>
      <c r="C213" s="47"/>
      <c r="D213" s="47" t="s">
        <v>2182</v>
      </c>
      <c r="E213" s="46" t="s">
        <v>17</v>
      </c>
      <c r="F213" s="46" t="s">
        <v>2104</v>
      </c>
      <c r="G213" s="24" t="s">
        <v>2405</v>
      </c>
      <c r="H213" s="48" t="n">
        <v>5</v>
      </c>
      <c r="I213" s="46"/>
      <c r="J213" s="47" t="s">
        <v>2876</v>
      </c>
      <c r="K213" s="24" t="s">
        <v>2877</v>
      </c>
      <c r="L213" s="46" t="s">
        <v>2878</v>
      </c>
      <c r="M213" s="24" t="s">
        <v>2842</v>
      </c>
      <c r="N213" s="46" t="s">
        <v>2843</v>
      </c>
      <c r="O213" s="24" t="s">
        <v>2333</v>
      </c>
      <c r="P213" s="46" t="s">
        <v>2334</v>
      </c>
      <c r="Q213" s="46"/>
      <c r="R213" s="47" t="s">
        <v>44</v>
      </c>
      <c r="S213" s="52" t="s">
        <v>67</v>
      </c>
    </row>
    <row r="214" customFormat="false" ht="15" hidden="false" customHeight="true" outlineLevel="0" collapsed="false">
      <c r="A214" s="49" t="n">
        <v>213</v>
      </c>
      <c r="B214" s="25" t="s">
        <v>2176</v>
      </c>
      <c r="C214" s="50"/>
      <c r="D214" s="50" t="s">
        <v>2176</v>
      </c>
      <c r="E214" s="49" t="s">
        <v>17</v>
      </c>
      <c r="F214" s="49" t="s">
        <v>2104</v>
      </c>
      <c r="G214" s="25" t="s">
        <v>2405</v>
      </c>
      <c r="H214" s="51" t="n">
        <v>5</v>
      </c>
      <c r="I214" s="49"/>
      <c r="J214" s="50" t="s">
        <v>2879</v>
      </c>
      <c r="K214" s="25" t="s">
        <v>2880</v>
      </c>
      <c r="L214" s="49" t="s">
        <v>2881</v>
      </c>
      <c r="M214" s="25" t="s">
        <v>2842</v>
      </c>
      <c r="N214" s="49" t="s">
        <v>2843</v>
      </c>
      <c r="O214" s="25" t="s">
        <v>2333</v>
      </c>
      <c r="P214" s="49" t="s">
        <v>2334</v>
      </c>
      <c r="Q214" s="49"/>
      <c r="R214" s="50" t="s">
        <v>44</v>
      </c>
      <c r="S214" s="52" t="s">
        <v>67</v>
      </c>
    </row>
    <row r="215" customFormat="false" ht="15" hidden="false" customHeight="true" outlineLevel="0" collapsed="false">
      <c r="A215" s="46" t="n">
        <v>214</v>
      </c>
      <c r="B215" s="24" t="s">
        <v>2176</v>
      </c>
      <c r="C215" s="47"/>
      <c r="D215" s="47" t="s">
        <v>2176</v>
      </c>
      <c r="E215" s="46" t="s">
        <v>17</v>
      </c>
      <c r="F215" s="46" t="s">
        <v>2104</v>
      </c>
      <c r="G215" s="24" t="s">
        <v>2405</v>
      </c>
      <c r="H215" s="48" t="n">
        <v>5</v>
      </c>
      <c r="I215" s="46"/>
      <c r="J215" s="47" t="s">
        <v>2882</v>
      </c>
      <c r="K215" s="24" t="s">
        <v>2883</v>
      </c>
      <c r="L215" s="46" t="e">
        <f aca="false">#N/A</f>
        <v>#N/A</v>
      </c>
      <c r="M215" s="24" t="s">
        <v>2842</v>
      </c>
      <c r="N215" s="46" t="s">
        <v>2843</v>
      </c>
      <c r="O215" s="24" t="s">
        <v>2333</v>
      </c>
      <c r="P215" s="46" t="s">
        <v>2334</v>
      </c>
      <c r="Q215" s="46"/>
      <c r="R215" s="47" t="s">
        <v>44</v>
      </c>
      <c r="S215" s="52" t="s">
        <v>2829</v>
      </c>
    </row>
    <row r="216" customFormat="false" ht="15" hidden="false" customHeight="true" outlineLevel="0" collapsed="false">
      <c r="A216" s="49" t="n">
        <v>215</v>
      </c>
      <c r="B216" s="25" t="s">
        <v>2176</v>
      </c>
      <c r="C216" s="50"/>
      <c r="D216" s="50" t="s">
        <v>2176</v>
      </c>
      <c r="E216" s="49" t="s">
        <v>17</v>
      </c>
      <c r="F216" s="49" t="s">
        <v>2104</v>
      </c>
      <c r="G216" s="25" t="s">
        <v>2405</v>
      </c>
      <c r="H216" s="51" t="n">
        <v>5</v>
      </c>
      <c r="I216" s="49"/>
      <c r="J216" s="50" t="s">
        <v>2884</v>
      </c>
      <c r="K216" s="25" t="s">
        <v>2885</v>
      </c>
      <c r="L216" s="49" t="s">
        <v>2886</v>
      </c>
      <c r="M216" s="25" t="s">
        <v>2842</v>
      </c>
      <c r="N216" s="49" t="s">
        <v>2843</v>
      </c>
      <c r="O216" s="25" t="s">
        <v>2333</v>
      </c>
      <c r="P216" s="49" t="s">
        <v>2334</v>
      </c>
      <c r="Q216" s="49"/>
      <c r="R216" s="50" t="s">
        <v>44</v>
      </c>
      <c r="S216" s="52" t="s">
        <v>67</v>
      </c>
    </row>
    <row r="217" customFormat="false" ht="15" hidden="false" customHeight="true" outlineLevel="0" collapsed="false">
      <c r="A217" s="46" t="n">
        <v>216</v>
      </c>
      <c r="B217" s="24" t="s">
        <v>2176</v>
      </c>
      <c r="C217" s="47"/>
      <c r="D217" s="47" t="s">
        <v>2176</v>
      </c>
      <c r="E217" s="46" t="s">
        <v>17</v>
      </c>
      <c r="F217" s="46" t="s">
        <v>2104</v>
      </c>
      <c r="G217" s="24" t="s">
        <v>2405</v>
      </c>
      <c r="H217" s="48" t="n">
        <v>5</v>
      </c>
      <c r="I217" s="46"/>
      <c r="J217" s="47" t="s">
        <v>2887</v>
      </c>
      <c r="K217" s="24" t="s">
        <v>2888</v>
      </c>
      <c r="L217" s="46" t="s">
        <v>2889</v>
      </c>
      <c r="M217" s="24" t="s">
        <v>2842</v>
      </c>
      <c r="N217" s="46" t="s">
        <v>2843</v>
      </c>
      <c r="O217" s="24" t="s">
        <v>2333</v>
      </c>
      <c r="P217" s="46" t="s">
        <v>2334</v>
      </c>
      <c r="Q217" s="46"/>
      <c r="R217" s="47" t="s">
        <v>44</v>
      </c>
      <c r="S217" s="52" t="s">
        <v>2829</v>
      </c>
    </row>
    <row r="218" customFormat="false" ht="15" hidden="false" customHeight="true" outlineLevel="0" collapsed="false">
      <c r="A218" s="49" t="n">
        <v>217</v>
      </c>
      <c r="B218" s="25" t="s">
        <v>2176</v>
      </c>
      <c r="C218" s="50"/>
      <c r="D218" s="50" t="s">
        <v>2176</v>
      </c>
      <c r="E218" s="49" t="s">
        <v>17</v>
      </c>
      <c r="F218" s="49" t="s">
        <v>2104</v>
      </c>
      <c r="G218" s="25" t="s">
        <v>2405</v>
      </c>
      <c r="H218" s="51" t="n">
        <v>5</v>
      </c>
      <c r="I218" s="49"/>
      <c r="J218" s="50" t="s">
        <v>2890</v>
      </c>
      <c r="K218" s="25" t="s">
        <v>2891</v>
      </c>
      <c r="L218" s="49" t="s">
        <v>2892</v>
      </c>
      <c r="M218" s="25" t="s">
        <v>2842</v>
      </c>
      <c r="N218" s="49" t="s">
        <v>2843</v>
      </c>
      <c r="O218" s="25" t="s">
        <v>2333</v>
      </c>
      <c r="P218" s="49" t="s">
        <v>2334</v>
      </c>
      <c r="Q218" s="49"/>
      <c r="R218" s="50" t="s">
        <v>44</v>
      </c>
      <c r="S218" s="52" t="s">
        <v>67</v>
      </c>
    </row>
    <row r="219" customFormat="false" ht="15" hidden="false" customHeight="true" outlineLevel="0" collapsed="false">
      <c r="A219" s="46" t="n">
        <v>218</v>
      </c>
      <c r="B219" s="24" t="s">
        <v>2176</v>
      </c>
      <c r="C219" s="47"/>
      <c r="D219" s="47" t="s">
        <v>2176</v>
      </c>
      <c r="E219" s="46" t="s">
        <v>17</v>
      </c>
      <c r="F219" s="46" t="s">
        <v>2104</v>
      </c>
      <c r="G219" s="24" t="s">
        <v>2405</v>
      </c>
      <c r="H219" s="48" t="n">
        <v>5</v>
      </c>
      <c r="I219" s="46"/>
      <c r="J219" s="47" t="s">
        <v>2893</v>
      </c>
      <c r="K219" s="24" t="s">
        <v>2894</v>
      </c>
      <c r="L219" s="46" t="s">
        <v>2895</v>
      </c>
      <c r="M219" s="24" t="s">
        <v>2842</v>
      </c>
      <c r="N219" s="46" t="s">
        <v>2843</v>
      </c>
      <c r="O219" s="24" t="s">
        <v>2333</v>
      </c>
      <c r="P219" s="46" t="s">
        <v>2334</v>
      </c>
      <c r="Q219" s="46"/>
      <c r="R219" s="47" t="s">
        <v>44</v>
      </c>
      <c r="S219" s="52" t="s">
        <v>67</v>
      </c>
    </row>
    <row r="220" customFormat="false" ht="15" hidden="false" customHeight="true" outlineLevel="0" collapsed="false">
      <c r="A220" s="49" t="n">
        <v>219</v>
      </c>
      <c r="B220" s="25" t="s">
        <v>2176</v>
      </c>
      <c r="C220" s="50"/>
      <c r="D220" s="50" t="s">
        <v>2176</v>
      </c>
      <c r="E220" s="49" t="s">
        <v>17</v>
      </c>
      <c r="F220" s="49" t="s">
        <v>2104</v>
      </c>
      <c r="G220" s="25" t="s">
        <v>2405</v>
      </c>
      <c r="H220" s="51" t="n">
        <v>5</v>
      </c>
      <c r="I220" s="49"/>
      <c r="J220" s="50" t="s">
        <v>2896</v>
      </c>
      <c r="K220" s="25" t="s">
        <v>2897</v>
      </c>
      <c r="L220" s="49" t="s">
        <v>2898</v>
      </c>
      <c r="M220" s="25" t="s">
        <v>2842</v>
      </c>
      <c r="N220" s="49" t="s">
        <v>2843</v>
      </c>
      <c r="O220" s="25" t="s">
        <v>2333</v>
      </c>
      <c r="P220" s="49" t="s">
        <v>2334</v>
      </c>
      <c r="Q220" s="49"/>
      <c r="R220" s="50" t="s">
        <v>44</v>
      </c>
      <c r="S220" s="52" t="s">
        <v>2829</v>
      </c>
    </row>
    <row r="221" customFormat="false" ht="15" hidden="false" customHeight="true" outlineLevel="0" collapsed="false">
      <c r="A221" s="46" t="n">
        <v>220</v>
      </c>
      <c r="B221" s="24" t="s">
        <v>2168</v>
      </c>
      <c r="C221" s="47"/>
      <c r="D221" s="47" t="s">
        <v>2168</v>
      </c>
      <c r="E221" s="46" t="s">
        <v>17</v>
      </c>
      <c r="F221" s="46" t="s">
        <v>2104</v>
      </c>
      <c r="G221" s="24" t="s">
        <v>2405</v>
      </c>
      <c r="H221" s="48" t="n">
        <v>5</v>
      </c>
      <c r="I221" s="46"/>
      <c r="J221" s="47" t="s">
        <v>2899</v>
      </c>
      <c r="K221" s="24" t="s">
        <v>2900</v>
      </c>
      <c r="L221" s="46" t="s">
        <v>2901</v>
      </c>
      <c r="M221" s="24" t="s">
        <v>2842</v>
      </c>
      <c r="N221" s="46" t="s">
        <v>2843</v>
      </c>
      <c r="O221" s="24" t="s">
        <v>2333</v>
      </c>
      <c r="P221" s="46" t="s">
        <v>2334</v>
      </c>
      <c r="Q221" s="46"/>
      <c r="R221" s="47" t="s">
        <v>44</v>
      </c>
      <c r="S221" s="52" t="s">
        <v>67</v>
      </c>
    </row>
    <row r="222" customFormat="false" ht="15" hidden="false" customHeight="true" outlineLevel="0" collapsed="false">
      <c r="A222" s="49" t="n">
        <v>221</v>
      </c>
      <c r="B222" s="25" t="s">
        <v>2176</v>
      </c>
      <c r="C222" s="50"/>
      <c r="D222" s="50" t="s">
        <v>2176</v>
      </c>
      <c r="E222" s="49" t="s">
        <v>17</v>
      </c>
      <c r="F222" s="49" t="s">
        <v>2104</v>
      </c>
      <c r="G222" s="25" t="s">
        <v>2405</v>
      </c>
      <c r="H222" s="51" t="n">
        <v>5</v>
      </c>
      <c r="I222" s="49"/>
      <c r="J222" s="50" t="s">
        <v>2902</v>
      </c>
      <c r="K222" s="25" t="s">
        <v>2903</v>
      </c>
      <c r="L222" s="49" t="s">
        <v>2904</v>
      </c>
      <c r="M222" s="25" t="s">
        <v>2842</v>
      </c>
      <c r="N222" s="49" t="s">
        <v>2843</v>
      </c>
      <c r="O222" s="25" t="s">
        <v>2333</v>
      </c>
      <c r="P222" s="49" t="s">
        <v>2334</v>
      </c>
      <c r="Q222" s="49"/>
      <c r="R222" s="50" t="s">
        <v>44</v>
      </c>
      <c r="S222" s="52" t="s">
        <v>67</v>
      </c>
    </row>
    <row r="223" customFormat="false" ht="15" hidden="false" customHeight="true" outlineLevel="0" collapsed="false">
      <c r="A223" s="46" t="n">
        <v>222</v>
      </c>
      <c r="B223" s="24" t="s">
        <v>2176</v>
      </c>
      <c r="C223" s="47"/>
      <c r="D223" s="47" t="s">
        <v>2176</v>
      </c>
      <c r="E223" s="46" t="s">
        <v>17</v>
      </c>
      <c r="F223" s="46" t="s">
        <v>2104</v>
      </c>
      <c r="G223" s="24" t="s">
        <v>2405</v>
      </c>
      <c r="H223" s="48" t="n">
        <v>5</v>
      </c>
      <c r="I223" s="46"/>
      <c r="J223" s="47" t="s">
        <v>2905</v>
      </c>
      <c r="K223" s="24" t="s">
        <v>2906</v>
      </c>
      <c r="L223" s="46" t="s">
        <v>2907</v>
      </c>
      <c r="M223" s="24" t="s">
        <v>2842</v>
      </c>
      <c r="N223" s="46" t="s">
        <v>2843</v>
      </c>
      <c r="O223" s="24" t="s">
        <v>2333</v>
      </c>
      <c r="P223" s="46" t="s">
        <v>2334</v>
      </c>
      <c r="Q223" s="46"/>
      <c r="R223" s="47" t="s">
        <v>44</v>
      </c>
      <c r="S223" s="52" t="s">
        <v>67</v>
      </c>
    </row>
    <row r="224" customFormat="false" ht="15" hidden="false" customHeight="true" outlineLevel="0" collapsed="false">
      <c r="A224" s="49" t="n">
        <v>223</v>
      </c>
      <c r="B224" s="25" t="s">
        <v>22</v>
      </c>
      <c r="C224" s="50"/>
      <c r="D224" s="50" t="s">
        <v>22</v>
      </c>
      <c r="E224" s="49" t="s">
        <v>22</v>
      </c>
      <c r="F224" s="49" t="s">
        <v>2104</v>
      </c>
      <c r="G224" s="25" t="s">
        <v>2405</v>
      </c>
      <c r="H224" s="51" t="n">
        <v>5</v>
      </c>
      <c r="I224" s="49"/>
      <c r="J224" s="50" t="s">
        <v>2908</v>
      </c>
      <c r="K224" s="25" t="s">
        <v>2909</v>
      </c>
      <c r="L224" s="49" t="s">
        <v>2910</v>
      </c>
      <c r="M224" s="25" t="s">
        <v>2842</v>
      </c>
      <c r="N224" s="49" t="s">
        <v>2843</v>
      </c>
      <c r="O224" s="25" t="s">
        <v>2333</v>
      </c>
      <c r="P224" s="49" t="s">
        <v>2334</v>
      </c>
      <c r="Q224" s="49"/>
      <c r="R224" s="50" t="s">
        <v>44</v>
      </c>
      <c r="S224" s="52" t="s">
        <v>67</v>
      </c>
    </row>
    <row r="225" customFormat="false" ht="15" hidden="false" customHeight="true" outlineLevel="0" collapsed="false">
      <c r="A225" s="46" t="n">
        <v>224</v>
      </c>
      <c r="B225" s="24" t="s">
        <v>22</v>
      </c>
      <c r="C225" s="47"/>
      <c r="D225" s="47" t="s">
        <v>22</v>
      </c>
      <c r="E225" s="46" t="s">
        <v>22</v>
      </c>
      <c r="F225" s="46" t="s">
        <v>2104</v>
      </c>
      <c r="G225" s="24" t="s">
        <v>2405</v>
      </c>
      <c r="H225" s="48" t="n">
        <v>5</v>
      </c>
      <c r="I225" s="46"/>
      <c r="J225" s="47" t="s">
        <v>2911</v>
      </c>
      <c r="K225" s="24" t="s">
        <v>2912</v>
      </c>
      <c r="L225" s="46" t="s">
        <v>2913</v>
      </c>
      <c r="M225" s="24" t="s">
        <v>2842</v>
      </c>
      <c r="N225" s="46" t="s">
        <v>2843</v>
      </c>
      <c r="O225" s="24" t="s">
        <v>2333</v>
      </c>
      <c r="P225" s="46" t="s">
        <v>2334</v>
      </c>
      <c r="Q225" s="46"/>
      <c r="R225" s="47" t="s">
        <v>44</v>
      </c>
      <c r="S225" s="52" t="s">
        <v>67</v>
      </c>
    </row>
    <row r="226" customFormat="false" ht="15" hidden="false" customHeight="true" outlineLevel="0" collapsed="false">
      <c r="A226" s="49" t="n">
        <v>225</v>
      </c>
      <c r="B226" s="25" t="s">
        <v>22</v>
      </c>
      <c r="C226" s="50"/>
      <c r="D226" s="50" t="s">
        <v>22</v>
      </c>
      <c r="E226" s="49" t="s">
        <v>22</v>
      </c>
      <c r="F226" s="49" t="s">
        <v>2104</v>
      </c>
      <c r="G226" s="25" t="s">
        <v>2405</v>
      </c>
      <c r="H226" s="51" t="n">
        <v>5</v>
      </c>
      <c r="I226" s="49"/>
      <c r="J226" s="50" t="s">
        <v>2914</v>
      </c>
      <c r="K226" s="25" t="s">
        <v>2915</v>
      </c>
      <c r="L226" s="49" t="s">
        <v>2916</v>
      </c>
      <c r="M226" s="25" t="s">
        <v>2842</v>
      </c>
      <c r="N226" s="49" t="s">
        <v>2843</v>
      </c>
      <c r="O226" s="25" t="s">
        <v>2333</v>
      </c>
      <c r="P226" s="49" t="s">
        <v>2334</v>
      </c>
      <c r="Q226" s="49"/>
      <c r="R226" s="50" t="s">
        <v>44</v>
      </c>
      <c r="S226" s="52" t="s">
        <v>67</v>
      </c>
    </row>
    <row r="227" customFormat="false" ht="15" hidden="false" customHeight="true" outlineLevel="0" collapsed="false">
      <c r="A227" s="46" t="n">
        <v>226</v>
      </c>
      <c r="B227" s="24" t="s">
        <v>22</v>
      </c>
      <c r="C227" s="47"/>
      <c r="D227" s="47" t="s">
        <v>22</v>
      </c>
      <c r="E227" s="46" t="s">
        <v>22</v>
      </c>
      <c r="F227" s="46" t="s">
        <v>2104</v>
      </c>
      <c r="G227" s="24" t="s">
        <v>2405</v>
      </c>
      <c r="H227" s="48" t="n">
        <v>5</v>
      </c>
      <c r="I227" s="46"/>
      <c r="J227" s="47" t="s">
        <v>2917</v>
      </c>
      <c r="K227" s="24" t="s">
        <v>2433</v>
      </c>
      <c r="L227" s="46" t="s">
        <v>2918</v>
      </c>
      <c r="M227" s="24" t="s">
        <v>2842</v>
      </c>
      <c r="N227" s="46" t="s">
        <v>2843</v>
      </c>
      <c r="O227" s="24" t="s">
        <v>2333</v>
      </c>
      <c r="P227" s="46" t="s">
        <v>2334</v>
      </c>
      <c r="Q227" s="46"/>
      <c r="R227" s="47" t="s">
        <v>44</v>
      </c>
      <c r="S227" s="52" t="s">
        <v>67</v>
      </c>
    </row>
    <row r="228" customFormat="false" ht="15" hidden="false" customHeight="true" outlineLevel="0" collapsed="false">
      <c r="A228" s="49" t="n">
        <v>228</v>
      </c>
      <c r="B228" s="25" t="s">
        <v>22</v>
      </c>
      <c r="C228" s="50"/>
      <c r="D228" s="50" t="s">
        <v>22</v>
      </c>
      <c r="E228" s="49" t="s">
        <v>22</v>
      </c>
      <c r="F228" s="49" t="s">
        <v>2104</v>
      </c>
      <c r="G228" s="25" t="s">
        <v>2405</v>
      </c>
      <c r="H228" s="51" t="n">
        <v>5</v>
      </c>
      <c r="I228" s="49"/>
      <c r="J228" s="50" t="s">
        <v>2919</v>
      </c>
      <c r="K228" s="25" t="s">
        <v>2605</v>
      </c>
      <c r="L228" s="49" t="s">
        <v>2920</v>
      </c>
      <c r="M228" s="25" t="s">
        <v>2821</v>
      </c>
      <c r="N228" s="49" t="s">
        <v>2921</v>
      </c>
      <c r="O228" s="25" t="s">
        <v>2333</v>
      </c>
      <c r="P228" s="49" t="s">
        <v>2334</v>
      </c>
      <c r="Q228" s="49"/>
      <c r="R228" s="50" t="s">
        <v>44</v>
      </c>
      <c r="S228" s="52" t="s">
        <v>67</v>
      </c>
    </row>
    <row r="229" customFormat="false" ht="15" hidden="false" customHeight="true" outlineLevel="0" collapsed="false">
      <c r="A229" s="46" t="n">
        <v>229</v>
      </c>
      <c r="B229" s="24" t="s">
        <v>22</v>
      </c>
      <c r="C229" s="47"/>
      <c r="D229" s="47" t="s">
        <v>22</v>
      </c>
      <c r="E229" s="46" t="s">
        <v>22</v>
      </c>
      <c r="F229" s="46" t="s">
        <v>2104</v>
      </c>
      <c r="G229" s="24" t="s">
        <v>2405</v>
      </c>
      <c r="H229" s="48" t="n">
        <v>5</v>
      </c>
      <c r="I229" s="46"/>
      <c r="J229" s="47" t="s">
        <v>2922</v>
      </c>
      <c r="K229" s="24" t="s">
        <v>2923</v>
      </c>
      <c r="L229" s="46" t="s">
        <v>2924</v>
      </c>
      <c r="M229" s="24" t="s">
        <v>2821</v>
      </c>
      <c r="N229" s="46" t="s">
        <v>2921</v>
      </c>
      <c r="O229" s="24" t="s">
        <v>2333</v>
      </c>
      <c r="P229" s="46" t="s">
        <v>2334</v>
      </c>
      <c r="Q229" s="46"/>
      <c r="R229" s="47" t="s">
        <v>44</v>
      </c>
      <c r="S229" s="52" t="s">
        <v>67</v>
      </c>
    </row>
    <row r="230" customFormat="false" ht="15" hidden="false" customHeight="true" outlineLevel="0" collapsed="false">
      <c r="A230" s="49" t="n">
        <v>230</v>
      </c>
      <c r="B230" s="25" t="s">
        <v>22</v>
      </c>
      <c r="C230" s="50"/>
      <c r="D230" s="50" t="s">
        <v>22</v>
      </c>
      <c r="E230" s="49" t="s">
        <v>22</v>
      </c>
      <c r="F230" s="49" t="s">
        <v>2104</v>
      </c>
      <c r="G230" s="25" t="s">
        <v>2405</v>
      </c>
      <c r="H230" s="51" t="n">
        <v>5</v>
      </c>
      <c r="I230" s="49"/>
      <c r="J230" s="50" t="s">
        <v>2925</v>
      </c>
      <c r="K230" s="25" t="s">
        <v>2923</v>
      </c>
      <c r="L230" s="49" t="s">
        <v>2926</v>
      </c>
      <c r="M230" s="25" t="s">
        <v>2821</v>
      </c>
      <c r="N230" s="49" t="s">
        <v>2921</v>
      </c>
      <c r="O230" s="25" t="s">
        <v>2333</v>
      </c>
      <c r="P230" s="49" t="s">
        <v>2334</v>
      </c>
      <c r="Q230" s="49"/>
      <c r="R230" s="50" t="s">
        <v>44</v>
      </c>
      <c r="S230" s="52" t="s">
        <v>67</v>
      </c>
    </row>
    <row r="231" customFormat="false" ht="15" hidden="false" customHeight="true" outlineLevel="0" collapsed="false">
      <c r="A231" s="46" t="n">
        <v>231</v>
      </c>
      <c r="B231" s="24" t="s">
        <v>22</v>
      </c>
      <c r="C231" s="47"/>
      <c r="D231" s="47" t="s">
        <v>22</v>
      </c>
      <c r="E231" s="46" t="s">
        <v>22</v>
      </c>
      <c r="F231" s="46" t="s">
        <v>2104</v>
      </c>
      <c r="G231" s="24" t="s">
        <v>2405</v>
      </c>
      <c r="H231" s="48" t="n">
        <v>5</v>
      </c>
      <c r="I231" s="46"/>
      <c r="J231" s="47" t="s">
        <v>2927</v>
      </c>
      <c r="K231" s="24" t="s">
        <v>2928</v>
      </c>
      <c r="L231" s="46" t="s">
        <v>2929</v>
      </c>
      <c r="M231" s="24" t="s">
        <v>2821</v>
      </c>
      <c r="N231" s="46" t="s">
        <v>2921</v>
      </c>
      <c r="O231" s="24" t="s">
        <v>2333</v>
      </c>
      <c r="P231" s="46" t="s">
        <v>2334</v>
      </c>
      <c r="Q231" s="46"/>
      <c r="R231" s="47" t="s">
        <v>44</v>
      </c>
      <c r="S231" s="52" t="s">
        <v>67</v>
      </c>
    </row>
    <row r="232" customFormat="false" ht="15" hidden="false" customHeight="true" outlineLevel="0" collapsed="false">
      <c r="A232" s="49" t="n">
        <v>232</v>
      </c>
      <c r="B232" s="25" t="s">
        <v>22</v>
      </c>
      <c r="C232" s="50"/>
      <c r="D232" s="50" t="s">
        <v>22</v>
      </c>
      <c r="E232" s="49" t="s">
        <v>22</v>
      </c>
      <c r="F232" s="49" t="s">
        <v>2104</v>
      </c>
      <c r="G232" s="25" t="s">
        <v>2405</v>
      </c>
      <c r="H232" s="51" t="n">
        <v>5</v>
      </c>
      <c r="I232" s="49"/>
      <c r="J232" s="50" t="s">
        <v>2930</v>
      </c>
      <c r="K232" s="25" t="s">
        <v>2057</v>
      </c>
      <c r="L232" s="49" t="s">
        <v>2931</v>
      </c>
      <c r="M232" s="25" t="s">
        <v>2821</v>
      </c>
      <c r="N232" s="49" t="s">
        <v>2921</v>
      </c>
      <c r="O232" s="25" t="s">
        <v>2333</v>
      </c>
      <c r="P232" s="49" t="s">
        <v>2334</v>
      </c>
      <c r="Q232" s="49"/>
      <c r="R232" s="50" t="s">
        <v>44</v>
      </c>
      <c r="S232" s="52" t="s">
        <v>67</v>
      </c>
    </row>
    <row r="233" customFormat="false" ht="15" hidden="false" customHeight="true" outlineLevel="0" collapsed="false">
      <c r="A233" s="46" t="n">
        <v>233</v>
      </c>
      <c r="B233" s="24" t="s">
        <v>22</v>
      </c>
      <c r="C233" s="47"/>
      <c r="D233" s="47" t="s">
        <v>22</v>
      </c>
      <c r="E233" s="46" t="s">
        <v>22</v>
      </c>
      <c r="F233" s="46" t="s">
        <v>2104</v>
      </c>
      <c r="G233" s="24" t="s">
        <v>2405</v>
      </c>
      <c r="H233" s="48" t="n">
        <v>5</v>
      </c>
      <c r="I233" s="46"/>
      <c r="J233" s="47" t="s">
        <v>2932</v>
      </c>
      <c r="K233" s="24" t="s">
        <v>2933</v>
      </c>
      <c r="L233" s="46" t="s">
        <v>2934</v>
      </c>
      <c r="M233" s="24" t="s">
        <v>2821</v>
      </c>
      <c r="N233" s="46" t="s">
        <v>2921</v>
      </c>
      <c r="O233" s="24" t="s">
        <v>2333</v>
      </c>
      <c r="P233" s="46" t="s">
        <v>2334</v>
      </c>
      <c r="Q233" s="46"/>
      <c r="R233" s="47" t="s">
        <v>44</v>
      </c>
      <c r="S233" s="52" t="s">
        <v>67</v>
      </c>
    </row>
    <row r="234" customFormat="false" ht="15" hidden="false" customHeight="true" outlineLevel="0" collapsed="false">
      <c r="A234" s="49" t="n">
        <v>234</v>
      </c>
      <c r="B234" s="25" t="s">
        <v>22</v>
      </c>
      <c r="C234" s="50"/>
      <c r="D234" s="50" t="s">
        <v>22</v>
      </c>
      <c r="E234" s="49" t="s">
        <v>22</v>
      </c>
      <c r="F234" s="49" t="s">
        <v>2104</v>
      </c>
      <c r="G234" s="25" t="s">
        <v>2405</v>
      </c>
      <c r="H234" s="51" t="n">
        <v>5</v>
      </c>
      <c r="I234" s="49"/>
      <c r="J234" s="50" t="s">
        <v>2935</v>
      </c>
      <c r="K234" s="25" t="s">
        <v>2763</v>
      </c>
      <c r="L234" s="49" t="s">
        <v>2936</v>
      </c>
      <c r="M234" s="25" t="s">
        <v>2821</v>
      </c>
      <c r="N234" s="49" t="s">
        <v>2921</v>
      </c>
      <c r="O234" s="25" t="s">
        <v>2333</v>
      </c>
      <c r="P234" s="49" t="s">
        <v>2334</v>
      </c>
      <c r="Q234" s="49"/>
      <c r="R234" s="50" t="s">
        <v>44</v>
      </c>
      <c r="S234" s="52" t="s">
        <v>67</v>
      </c>
    </row>
    <row r="235" customFormat="false" ht="15" hidden="false" customHeight="true" outlineLevel="0" collapsed="false">
      <c r="A235" s="46" t="n">
        <v>235</v>
      </c>
      <c r="B235" s="24" t="s">
        <v>22</v>
      </c>
      <c r="C235" s="47"/>
      <c r="D235" s="47" t="s">
        <v>22</v>
      </c>
      <c r="E235" s="46" t="s">
        <v>22</v>
      </c>
      <c r="F235" s="46" t="s">
        <v>2104</v>
      </c>
      <c r="G235" s="24" t="s">
        <v>2405</v>
      </c>
      <c r="H235" s="48" t="n">
        <v>5</v>
      </c>
      <c r="I235" s="46"/>
      <c r="J235" s="47" t="s">
        <v>2937</v>
      </c>
      <c r="K235" s="24" t="s">
        <v>2938</v>
      </c>
      <c r="L235" s="46" t="s">
        <v>2939</v>
      </c>
      <c r="M235" s="24" t="s">
        <v>2821</v>
      </c>
      <c r="N235" s="46" t="s">
        <v>2921</v>
      </c>
      <c r="O235" s="24" t="s">
        <v>2333</v>
      </c>
      <c r="P235" s="46" t="s">
        <v>2334</v>
      </c>
      <c r="Q235" s="46"/>
      <c r="R235" s="47" t="s">
        <v>44</v>
      </c>
      <c r="S235" s="52" t="s">
        <v>67</v>
      </c>
    </row>
    <row r="236" customFormat="false" ht="15" hidden="false" customHeight="true" outlineLevel="0" collapsed="false">
      <c r="A236" s="49" t="n">
        <v>236</v>
      </c>
      <c r="B236" s="25" t="s">
        <v>22</v>
      </c>
      <c r="C236" s="50"/>
      <c r="D236" s="50" t="s">
        <v>22</v>
      </c>
      <c r="E236" s="49" t="s">
        <v>22</v>
      </c>
      <c r="F236" s="49" t="s">
        <v>2104</v>
      </c>
      <c r="G236" s="25" t="s">
        <v>2405</v>
      </c>
      <c r="H236" s="51" t="n">
        <v>5</v>
      </c>
      <c r="I236" s="49"/>
      <c r="J236" s="50" t="s">
        <v>2940</v>
      </c>
      <c r="K236" s="25" t="s">
        <v>2941</v>
      </c>
      <c r="L236" s="49" t="s">
        <v>2934</v>
      </c>
      <c r="M236" s="25" t="s">
        <v>2821</v>
      </c>
      <c r="N236" s="49" t="s">
        <v>2921</v>
      </c>
      <c r="O236" s="25" t="s">
        <v>2333</v>
      </c>
      <c r="P236" s="49" t="s">
        <v>2334</v>
      </c>
      <c r="Q236" s="49"/>
      <c r="R236" s="50" t="s">
        <v>44</v>
      </c>
      <c r="S236" s="52" t="s">
        <v>67</v>
      </c>
    </row>
    <row r="237" customFormat="false" ht="15" hidden="false" customHeight="true" outlineLevel="0" collapsed="false">
      <c r="A237" s="46" t="n">
        <v>237</v>
      </c>
      <c r="B237" s="24" t="s">
        <v>22</v>
      </c>
      <c r="C237" s="47"/>
      <c r="D237" s="47" t="s">
        <v>22</v>
      </c>
      <c r="E237" s="46" t="s">
        <v>22</v>
      </c>
      <c r="F237" s="46" t="s">
        <v>2104</v>
      </c>
      <c r="G237" s="24" t="s">
        <v>2405</v>
      </c>
      <c r="H237" s="48" t="n">
        <v>5</v>
      </c>
      <c r="I237" s="46"/>
      <c r="J237" s="47" t="s">
        <v>2942</v>
      </c>
      <c r="K237" s="24" t="s">
        <v>2943</v>
      </c>
      <c r="L237" s="46" t="s">
        <v>2936</v>
      </c>
      <c r="M237" s="24" t="s">
        <v>2821</v>
      </c>
      <c r="N237" s="46" t="s">
        <v>2921</v>
      </c>
      <c r="O237" s="24" t="s">
        <v>2333</v>
      </c>
      <c r="P237" s="46" t="s">
        <v>2334</v>
      </c>
      <c r="Q237" s="46"/>
      <c r="R237" s="47" t="s">
        <v>44</v>
      </c>
      <c r="S237" s="52" t="s">
        <v>67</v>
      </c>
    </row>
    <row r="238" customFormat="false" ht="15" hidden="false" customHeight="true" outlineLevel="0" collapsed="false">
      <c r="A238" s="49" t="n">
        <v>238</v>
      </c>
      <c r="B238" s="25" t="s">
        <v>22</v>
      </c>
      <c r="C238" s="50"/>
      <c r="D238" s="50" t="s">
        <v>22</v>
      </c>
      <c r="E238" s="49" t="s">
        <v>22</v>
      </c>
      <c r="F238" s="49" t="s">
        <v>2104</v>
      </c>
      <c r="G238" s="25" t="s">
        <v>2405</v>
      </c>
      <c r="H238" s="51" t="n">
        <v>5</v>
      </c>
      <c r="I238" s="49"/>
      <c r="J238" s="50" t="s">
        <v>2944</v>
      </c>
      <c r="K238" s="25" t="s">
        <v>2885</v>
      </c>
      <c r="L238" s="49" t="s">
        <v>2939</v>
      </c>
      <c r="M238" s="25" t="s">
        <v>2821</v>
      </c>
      <c r="N238" s="49" t="s">
        <v>2921</v>
      </c>
      <c r="O238" s="25" t="s">
        <v>2333</v>
      </c>
      <c r="P238" s="49" t="s">
        <v>2334</v>
      </c>
      <c r="Q238" s="49"/>
      <c r="R238" s="50" t="s">
        <v>44</v>
      </c>
      <c r="S238" s="52" t="s">
        <v>67</v>
      </c>
    </row>
    <row r="239" customFormat="false" ht="15" hidden="false" customHeight="true" outlineLevel="0" collapsed="false">
      <c r="A239" s="46" t="n">
        <v>239</v>
      </c>
      <c r="B239" s="24" t="s">
        <v>22</v>
      </c>
      <c r="C239" s="47"/>
      <c r="D239" s="47" t="s">
        <v>22</v>
      </c>
      <c r="E239" s="46" t="s">
        <v>22</v>
      </c>
      <c r="F239" s="46" t="s">
        <v>2104</v>
      </c>
      <c r="G239" s="24" t="s">
        <v>2405</v>
      </c>
      <c r="H239" s="48" t="n">
        <v>5</v>
      </c>
      <c r="I239" s="46"/>
      <c r="J239" s="47" t="s">
        <v>2942</v>
      </c>
      <c r="K239" s="24" t="s">
        <v>2945</v>
      </c>
      <c r="L239" s="46" t="s">
        <v>2946</v>
      </c>
      <c r="M239" s="24" t="s">
        <v>2821</v>
      </c>
      <c r="N239" s="46" t="s">
        <v>2921</v>
      </c>
      <c r="O239" s="24" t="s">
        <v>2333</v>
      </c>
      <c r="P239" s="46" t="s">
        <v>2334</v>
      </c>
      <c r="Q239" s="46"/>
      <c r="R239" s="47" t="s">
        <v>44</v>
      </c>
      <c r="S239" s="52" t="s">
        <v>67</v>
      </c>
    </row>
    <row r="240" customFormat="false" ht="15" hidden="false" customHeight="true" outlineLevel="0" collapsed="false">
      <c r="A240" s="49" t="n">
        <v>240</v>
      </c>
      <c r="B240" s="25" t="s">
        <v>22</v>
      </c>
      <c r="C240" s="50"/>
      <c r="D240" s="50" t="s">
        <v>22</v>
      </c>
      <c r="E240" s="49" t="s">
        <v>22</v>
      </c>
      <c r="F240" s="49" t="s">
        <v>2104</v>
      </c>
      <c r="G240" s="25" t="s">
        <v>2405</v>
      </c>
      <c r="H240" s="51" t="n">
        <v>5</v>
      </c>
      <c r="I240" s="49"/>
      <c r="J240" s="50" t="s">
        <v>2947</v>
      </c>
      <c r="K240" s="25" t="s">
        <v>2948</v>
      </c>
      <c r="L240" s="49" t="s">
        <v>2949</v>
      </c>
      <c r="M240" s="25" t="s">
        <v>2821</v>
      </c>
      <c r="N240" s="49" t="s">
        <v>2921</v>
      </c>
      <c r="O240" s="25" t="s">
        <v>2333</v>
      </c>
      <c r="P240" s="49" t="s">
        <v>2334</v>
      </c>
      <c r="Q240" s="49"/>
      <c r="R240" s="50" t="s">
        <v>44</v>
      </c>
      <c r="S240" s="52" t="s">
        <v>67</v>
      </c>
    </row>
    <row r="241" customFormat="false" ht="15" hidden="false" customHeight="true" outlineLevel="0" collapsed="false">
      <c r="A241" s="46" t="n">
        <v>241</v>
      </c>
      <c r="B241" s="24" t="s">
        <v>22</v>
      </c>
      <c r="C241" s="47"/>
      <c r="D241" s="47" t="s">
        <v>22</v>
      </c>
      <c r="E241" s="46" t="s">
        <v>22</v>
      </c>
      <c r="F241" s="46" t="s">
        <v>2104</v>
      </c>
      <c r="G241" s="24" t="s">
        <v>2405</v>
      </c>
      <c r="H241" s="48" t="n">
        <v>5</v>
      </c>
      <c r="I241" s="46"/>
      <c r="J241" s="47" t="s">
        <v>2947</v>
      </c>
      <c r="K241" s="24" t="s">
        <v>2950</v>
      </c>
      <c r="L241" s="46" t="s">
        <v>2951</v>
      </c>
      <c r="M241" s="24" t="s">
        <v>2821</v>
      </c>
      <c r="N241" s="46" t="s">
        <v>2921</v>
      </c>
      <c r="O241" s="24" t="s">
        <v>2333</v>
      </c>
      <c r="P241" s="46" t="s">
        <v>2334</v>
      </c>
      <c r="Q241" s="46"/>
      <c r="R241" s="47" t="s">
        <v>44</v>
      </c>
      <c r="S241" s="52" t="s">
        <v>67</v>
      </c>
    </row>
    <row r="242" customFormat="false" ht="15" hidden="false" customHeight="true" outlineLevel="0" collapsed="false">
      <c r="A242" s="49" t="n">
        <v>242</v>
      </c>
      <c r="B242" s="25" t="s">
        <v>22</v>
      </c>
      <c r="C242" s="50"/>
      <c r="D242" s="50" t="s">
        <v>22</v>
      </c>
      <c r="E242" s="49" t="s">
        <v>22</v>
      </c>
      <c r="F242" s="49" t="s">
        <v>2104</v>
      </c>
      <c r="G242" s="25" t="s">
        <v>2405</v>
      </c>
      <c r="H242" s="51" t="n">
        <v>5</v>
      </c>
      <c r="I242" s="49"/>
      <c r="J242" s="50" t="s">
        <v>2952</v>
      </c>
      <c r="K242" s="25" t="s">
        <v>2953</v>
      </c>
      <c r="L242" s="49" t="s">
        <v>2954</v>
      </c>
      <c r="M242" s="25" t="s">
        <v>2821</v>
      </c>
      <c r="N242" s="49" t="s">
        <v>2921</v>
      </c>
      <c r="O242" s="25" t="s">
        <v>2333</v>
      </c>
      <c r="P242" s="49" t="s">
        <v>2334</v>
      </c>
      <c r="Q242" s="49"/>
      <c r="R242" s="50" t="s">
        <v>44</v>
      </c>
      <c r="S242" s="52" t="s">
        <v>67</v>
      </c>
    </row>
    <row r="243" customFormat="false" ht="15" hidden="false" customHeight="true" outlineLevel="0" collapsed="false">
      <c r="A243" s="46" t="n">
        <v>243</v>
      </c>
      <c r="B243" s="24" t="s">
        <v>22</v>
      </c>
      <c r="C243" s="47"/>
      <c r="D243" s="47" t="s">
        <v>22</v>
      </c>
      <c r="E243" s="46" t="s">
        <v>22</v>
      </c>
      <c r="F243" s="46" t="s">
        <v>2104</v>
      </c>
      <c r="G243" s="24" t="s">
        <v>2405</v>
      </c>
      <c r="H243" s="48" t="n">
        <v>5</v>
      </c>
      <c r="I243" s="46"/>
      <c r="J243" s="47" t="s">
        <v>2955</v>
      </c>
      <c r="K243" s="24" t="s">
        <v>2956</v>
      </c>
      <c r="L243" s="46" t="s">
        <v>2957</v>
      </c>
      <c r="M243" s="24" t="s">
        <v>2821</v>
      </c>
      <c r="N243" s="46" t="s">
        <v>2921</v>
      </c>
      <c r="O243" s="24" t="s">
        <v>2333</v>
      </c>
      <c r="P243" s="46" t="s">
        <v>2334</v>
      </c>
      <c r="Q243" s="46"/>
      <c r="R243" s="47" t="s">
        <v>44</v>
      </c>
      <c r="S243" s="52" t="s">
        <v>67</v>
      </c>
    </row>
    <row r="244" customFormat="false" ht="15" hidden="false" customHeight="true" outlineLevel="0" collapsed="false">
      <c r="A244" s="49" t="n">
        <v>244</v>
      </c>
      <c r="B244" s="25" t="s">
        <v>22</v>
      </c>
      <c r="C244" s="50"/>
      <c r="D244" s="50" t="s">
        <v>22</v>
      </c>
      <c r="E244" s="49" t="s">
        <v>22</v>
      </c>
      <c r="F244" s="49" t="s">
        <v>2104</v>
      </c>
      <c r="G244" s="25" t="s">
        <v>2405</v>
      </c>
      <c r="H244" s="51" t="n">
        <v>5</v>
      </c>
      <c r="I244" s="49"/>
      <c r="J244" s="50" t="s">
        <v>2958</v>
      </c>
      <c r="K244" s="25" t="s">
        <v>2959</v>
      </c>
      <c r="L244" s="49" t="s">
        <v>2960</v>
      </c>
      <c r="M244" s="25" t="s">
        <v>2821</v>
      </c>
      <c r="N244" s="49" t="s">
        <v>2921</v>
      </c>
      <c r="O244" s="25" t="s">
        <v>2333</v>
      </c>
      <c r="P244" s="49" t="s">
        <v>2334</v>
      </c>
      <c r="Q244" s="49"/>
      <c r="R244" s="50" t="s">
        <v>44</v>
      </c>
      <c r="S244" s="52" t="s">
        <v>67</v>
      </c>
    </row>
    <row r="245" customFormat="false" ht="15" hidden="false" customHeight="true" outlineLevel="0" collapsed="false">
      <c r="A245" s="46" t="n">
        <v>245</v>
      </c>
      <c r="B245" s="24" t="s">
        <v>2552</v>
      </c>
      <c r="C245" s="47"/>
      <c r="D245" s="47" t="s">
        <v>22</v>
      </c>
      <c r="E245" s="46" t="s">
        <v>22</v>
      </c>
      <c r="F245" s="46" t="s">
        <v>2104</v>
      </c>
      <c r="G245" s="24" t="s">
        <v>2405</v>
      </c>
      <c r="H245" s="48" t="n">
        <v>5</v>
      </c>
      <c r="I245" s="46"/>
      <c r="J245" s="47" t="s">
        <v>2961</v>
      </c>
      <c r="K245" s="24" t="s">
        <v>2909</v>
      </c>
      <c r="L245" s="46" t="s">
        <v>2962</v>
      </c>
      <c r="M245" s="24" t="s">
        <v>2821</v>
      </c>
      <c r="N245" s="46" t="s">
        <v>2921</v>
      </c>
      <c r="O245" s="24" t="s">
        <v>2333</v>
      </c>
      <c r="P245" s="46" t="s">
        <v>2334</v>
      </c>
      <c r="Q245" s="46"/>
      <c r="R245" s="47" t="s">
        <v>44</v>
      </c>
      <c r="S245" s="52" t="s">
        <v>67</v>
      </c>
    </row>
    <row r="246" customFormat="false" ht="15" hidden="false" customHeight="true" outlineLevel="0" collapsed="false">
      <c r="A246" s="49" t="n">
        <v>246</v>
      </c>
      <c r="B246" s="25" t="s">
        <v>22</v>
      </c>
      <c r="C246" s="50"/>
      <c r="D246" s="50" t="s">
        <v>22</v>
      </c>
      <c r="E246" s="49" t="s">
        <v>22</v>
      </c>
      <c r="F246" s="49" t="s">
        <v>2104</v>
      </c>
      <c r="G246" s="25" t="s">
        <v>2405</v>
      </c>
      <c r="H246" s="51" t="n">
        <v>5</v>
      </c>
      <c r="I246" s="49"/>
      <c r="J246" s="50" t="s">
        <v>2963</v>
      </c>
      <c r="K246" s="25" t="s">
        <v>2964</v>
      </c>
      <c r="L246" s="49" t="s">
        <v>2965</v>
      </c>
      <c r="M246" s="25" t="s">
        <v>2821</v>
      </c>
      <c r="N246" s="49" t="s">
        <v>2921</v>
      </c>
      <c r="O246" s="25" t="s">
        <v>2333</v>
      </c>
      <c r="P246" s="49" t="s">
        <v>2334</v>
      </c>
      <c r="Q246" s="49"/>
      <c r="R246" s="50" t="s">
        <v>44</v>
      </c>
      <c r="S246" s="52" t="s">
        <v>67</v>
      </c>
    </row>
    <row r="247" customFormat="false" ht="15" hidden="false" customHeight="true" outlineLevel="0" collapsed="false">
      <c r="A247" s="46" t="n">
        <v>247</v>
      </c>
      <c r="B247" s="24" t="s">
        <v>2182</v>
      </c>
      <c r="C247" s="47"/>
      <c r="D247" s="47" t="s">
        <v>2182</v>
      </c>
      <c r="E247" s="46" t="s">
        <v>17</v>
      </c>
      <c r="F247" s="46" t="s">
        <v>2104</v>
      </c>
      <c r="G247" s="24" t="s">
        <v>2405</v>
      </c>
      <c r="H247" s="48" t="n">
        <v>5</v>
      </c>
      <c r="I247" s="46"/>
      <c r="J247" s="47" t="s">
        <v>2944</v>
      </c>
      <c r="K247" s="24" t="s">
        <v>2966</v>
      </c>
      <c r="L247" s="46" t="s">
        <v>2967</v>
      </c>
      <c r="M247" s="24" t="s">
        <v>2821</v>
      </c>
      <c r="N247" s="46" t="s">
        <v>2921</v>
      </c>
      <c r="O247" s="24" t="s">
        <v>2333</v>
      </c>
      <c r="P247" s="46" t="s">
        <v>2334</v>
      </c>
      <c r="Q247" s="46"/>
      <c r="R247" s="47" t="s">
        <v>44</v>
      </c>
      <c r="S247" s="52" t="s">
        <v>67</v>
      </c>
    </row>
    <row r="248" customFormat="false" ht="15" hidden="false" customHeight="true" outlineLevel="0" collapsed="false">
      <c r="A248" s="49" t="n">
        <v>248</v>
      </c>
      <c r="B248" s="25" t="s">
        <v>17</v>
      </c>
      <c r="C248" s="50"/>
      <c r="D248" s="50" t="s">
        <v>2176</v>
      </c>
      <c r="E248" s="49" t="s">
        <v>17</v>
      </c>
      <c r="F248" s="49" t="s">
        <v>2104</v>
      </c>
      <c r="G248" s="25" t="s">
        <v>2405</v>
      </c>
      <c r="H248" s="51" t="n">
        <v>5</v>
      </c>
      <c r="I248" s="49"/>
      <c r="J248" s="50" t="s">
        <v>2515</v>
      </c>
      <c r="K248" s="25" t="s">
        <v>2968</v>
      </c>
      <c r="L248" s="49" t="s">
        <v>2969</v>
      </c>
      <c r="M248" s="25" t="s">
        <v>2821</v>
      </c>
      <c r="N248" s="49" t="s">
        <v>2921</v>
      </c>
      <c r="O248" s="25" t="s">
        <v>2333</v>
      </c>
      <c r="P248" s="49" t="s">
        <v>2334</v>
      </c>
      <c r="Q248" s="49"/>
      <c r="R248" s="50" t="s">
        <v>44</v>
      </c>
      <c r="S248" s="52" t="s">
        <v>67</v>
      </c>
    </row>
    <row r="249" customFormat="false" ht="15" hidden="false" customHeight="true" outlineLevel="0" collapsed="false">
      <c r="A249" s="46" t="n">
        <v>249</v>
      </c>
      <c r="B249" s="24" t="s">
        <v>17</v>
      </c>
      <c r="C249" s="47"/>
      <c r="D249" s="47" t="s">
        <v>2176</v>
      </c>
      <c r="E249" s="46" t="s">
        <v>17</v>
      </c>
      <c r="F249" s="46" t="s">
        <v>2104</v>
      </c>
      <c r="G249" s="24" t="s">
        <v>2405</v>
      </c>
      <c r="H249" s="48" t="n">
        <v>5</v>
      </c>
      <c r="I249" s="46"/>
      <c r="J249" s="47" t="s">
        <v>2970</v>
      </c>
      <c r="K249" s="24" t="s">
        <v>2971</v>
      </c>
      <c r="L249" s="46" t="s">
        <v>2972</v>
      </c>
      <c r="M249" s="24" t="s">
        <v>2821</v>
      </c>
      <c r="N249" s="46" t="s">
        <v>2921</v>
      </c>
      <c r="O249" s="24" t="s">
        <v>2333</v>
      </c>
      <c r="P249" s="46" t="s">
        <v>2334</v>
      </c>
      <c r="Q249" s="46"/>
      <c r="R249" s="47" t="s">
        <v>44</v>
      </c>
      <c r="S249" s="52" t="s">
        <v>67</v>
      </c>
    </row>
    <row r="250" customFormat="false" ht="15" hidden="false" customHeight="true" outlineLevel="0" collapsed="false">
      <c r="A250" s="49" t="n">
        <v>250</v>
      </c>
      <c r="B250" s="25" t="s">
        <v>17</v>
      </c>
      <c r="C250" s="50"/>
      <c r="D250" s="50" t="s">
        <v>2176</v>
      </c>
      <c r="E250" s="49" t="s">
        <v>17</v>
      </c>
      <c r="F250" s="49" t="s">
        <v>2104</v>
      </c>
      <c r="G250" s="25" t="s">
        <v>2405</v>
      </c>
      <c r="H250" s="51" t="n">
        <v>5</v>
      </c>
      <c r="I250" s="49"/>
      <c r="J250" s="50" t="s">
        <v>2973</v>
      </c>
      <c r="K250" s="25" t="s">
        <v>2974</v>
      </c>
      <c r="L250" s="49" t="s">
        <v>2975</v>
      </c>
      <c r="M250" s="25" t="s">
        <v>2821</v>
      </c>
      <c r="N250" s="49" t="s">
        <v>2921</v>
      </c>
      <c r="O250" s="25" t="s">
        <v>2333</v>
      </c>
      <c r="P250" s="49" t="s">
        <v>2334</v>
      </c>
      <c r="Q250" s="49"/>
      <c r="R250" s="50" t="s">
        <v>44</v>
      </c>
      <c r="S250" s="52" t="s">
        <v>67</v>
      </c>
    </row>
    <row r="251" customFormat="false" ht="15" hidden="false" customHeight="true" outlineLevel="0" collapsed="false">
      <c r="A251" s="46" t="n">
        <v>251</v>
      </c>
      <c r="B251" s="24" t="s">
        <v>17</v>
      </c>
      <c r="C251" s="47"/>
      <c r="D251" s="47" t="s">
        <v>2176</v>
      </c>
      <c r="E251" s="46" t="s">
        <v>17</v>
      </c>
      <c r="F251" s="46" t="s">
        <v>2104</v>
      </c>
      <c r="G251" s="24" t="s">
        <v>2405</v>
      </c>
      <c r="H251" s="48" t="n">
        <v>5</v>
      </c>
      <c r="I251" s="46"/>
      <c r="J251" s="47" t="s">
        <v>2976</v>
      </c>
      <c r="K251" s="24" t="s">
        <v>2977</v>
      </c>
      <c r="L251" s="46" t="s">
        <v>2978</v>
      </c>
      <c r="M251" s="24" t="s">
        <v>2821</v>
      </c>
      <c r="N251" s="46" t="s">
        <v>2921</v>
      </c>
      <c r="O251" s="24" t="s">
        <v>2333</v>
      </c>
      <c r="P251" s="46" t="s">
        <v>2334</v>
      </c>
      <c r="Q251" s="46"/>
      <c r="R251" s="47" t="s">
        <v>44</v>
      </c>
      <c r="S251" s="52" t="s">
        <v>67</v>
      </c>
    </row>
    <row r="252" customFormat="false" ht="15" hidden="false" customHeight="true" outlineLevel="0" collapsed="false">
      <c r="A252" s="49" t="n">
        <v>252</v>
      </c>
      <c r="B252" s="25" t="s">
        <v>17</v>
      </c>
      <c r="C252" s="50"/>
      <c r="D252" s="50" t="s">
        <v>2176</v>
      </c>
      <c r="E252" s="49" t="s">
        <v>17</v>
      </c>
      <c r="F252" s="49" t="s">
        <v>2104</v>
      </c>
      <c r="G252" s="25" t="s">
        <v>2405</v>
      </c>
      <c r="H252" s="51" t="n">
        <v>5</v>
      </c>
      <c r="I252" s="49"/>
      <c r="J252" s="50" t="s">
        <v>2979</v>
      </c>
      <c r="K252" s="25" t="s">
        <v>2980</v>
      </c>
      <c r="L252" s="49" t="s">
        <v>2981</v>
      </c>
      <c r="M252" s="25" t="s">
        <v>2821</v>
      </c>
      <c r="N252" s="49" t="s">
        <v>2921</v>
      </c>
      <c r="O252" s="25" t="s">
        <v>2333</v>
      </c>
      <c r="P252" s="49" t="s">
        <v>2334</v>
      </c>
      <c r="Q252" s="49"/>
      <c r="R252" s="50" t="s">
        <v>44</v>
      </c>
      <c r="S252" s="52" t="s">
        <v>67</v>
      </c>
    </row>
    <row r="253" customFormat="false" ht="15" hidden="false" customHeight="true" outlineLevel="0" collapsed="false">
      <c r="A253" s="46" t="n">
        <v>253</v>
      </c>
      <c r="B253" s="24" t="s">
        <v>17</v>
      </c>
      <c r="C253" s="47"/>
      <c r="D253" s="47" t="s">
        <v>2176</v>
      </c>
      <c r="E253" s="46" t="s">
        <v>17</v>
      </c>
      <c r="F253" s="46" t="s">
        <v>2104</v>
      </c>
      <c r="G253" s="24" t="s">
        <v>2405</v>
      </c>
      <c r="H253" s="48" t="n">
        <v>5</v>
      </c>
      <c r="I253" s="46"/>
      <c r="J253" s="47" t="s">
        <v>2533</v>
      </c>
      <c r="K253" s="24" t="s">
        <v>2982</v>
      </c>
      <c r="L253" s="46" t="s">
        <v>2983</v>
      </c>
      <c r="M253" s="24" t="s">
        <v>2821</v>
      </c>
      <c r="N253" s="46" t="s">
        <v>2921</v>
      </c>
      <c r="O253" s="24" t="s">
        <v>2333</v>
      </c>
      <c r="P253" s="46" t="s">
        <v>2334</v>
      </c>
      <c r="Q253" s="46"/>
      <c r="R253" s="47" t="s">
        <v>44</v>
      </c>
      <c r="S253" s="52" t="s">
        <v>67</v>
      </c>
    </row>
    <row r="254" customFormat="false" ht="15" hidden="false" customHeight="true" outlineLevel="0" collapsed="false">
      <c r="A254" s="49" t="n">
        <v>254</v>
      </c>
      <c r="B254" s="25" t="s">
        <v>17</v>
      </c>
      <c r="C254" s="50"/>
      <c r="D254" s="50" t="s">
        <v>2176</v>
      </c>
      <c r="E254" s="49" t="s">
        <v>17</v>
      </c>
      <c r="F254" s="49" t="s">
        <v>2104</v>
      </c>
      <c r="G254" s="25" t="s">
        <v>2405</v>
      </c>
      <c r="H254" s="51" t="n">
        <v>5</v>
      </c>
      <c r="I254" s="49"/>
      <c r="J254" s="50" t="s">
        <v>2536</v>
      </c>
      <c r="K254" s="25" t="s">
        <v>2984</v>
      </c>
      <c r="L254" s="49" t="s">
        <v>2985</v>
      </c>
      <c r="M254" s="25" t="s">
        <v>2821</v>
      </c>
      <c r="N254" s="49" t="s">
        <v>2921</v>
      </c>
      <c r="O254" s="25" t="s">
        <v>2333</v>
      </c>
      <c r="P254" s="49" t="s">
        <v>2334</v>
      </c>
      <c r="Q254" s="49"/>
      <c r="R254" s="50" t="s">
        <v>44</v>
      </c>
      <c r="S254" s="52" t="s">
        <v>67</v>
      </c>
    </row>
    <row r="255" customFormat="false" ht="15" hidden="false" customHeight="true" outlineLevel="0" collapsed="false">
      <c r="A255" s="46" t="n">
        <v>255</v>
      </c>
      <c r="B255" s="24" t="s">
        <v>2168</v>
      </c>
      <c r="C255" s="47"/>
      <c r="D255" s="47" t="s">
        <v>2168</v>
      </c>
      <c r="E255" s="46" t="s">
        <v>17</v>
      </c>
      <c r="F255" s="46" t="s">
        <v>2104</v>
      </c>
      <c r="G255" s="24" t="s">
        <v>2405</v>
      </c>
      <c r="H255" s="48" t="n">
        <v>5</v>
      </c>
      <c r="I255" s="46"/>
      <c r="J255" s="47" t="s">
        <v>2986</v>
      </c>
      <c r="K255" s="24" t="s">
        <v>2971</v>
      </c>
      <c r="L255" s="46" t="s">
        <v>2987</v>
      </c>
      <c r="M255" s="24" t="s">
        <v>2821</v>
      </c>
      <c r="N255" s="46" t="s">
        <v>2921</v>
      </c>
      <c r="O255" s="24" t="s">
        <v>2333</v>
      </c>
      <c r="P255" s="46" t="s">
        <v>2334</v>
      </c>
      <c r="Q255" s="46"/>
      <c r="R255" s="47" t="s">
        <v>44</v>
      </c>
      <c r="S255" s="52" t="s">
        <v>67</v>
      </c>
    </row>
    <row r="256" customFormat="false" ht="15" hidden="false" customHeight="true" outlineLevel="0" collapsed="false">
      <c r="A256" s="49" t="n">
        <v>256</v>
      </c>
      <c r="B256" s="25" t="s">
        <v>17</v>
      </c>
      <c r="C256" s="50"/>
      <c r="D256" s="50" t="s">
        <v>2176</v>
      </c>
      <c r="E256" s="49" t="s">
        <v>17</v>
      </c>
      <c r="F256" s="49" t="s">
        <v>2104</v>
      </c>
      <c r="G256" s="25" t="s">
        <v>2405</v>
      </c>
      <c r="H256" s="51" t="n">
        <v>5</v>
      </c>
      <c r="I256" s="49"/>
      <c r="J256" s="50" t="s">
        <v>2509</v>
      </c>
      <c r="K256" s="25" t="s">
        <v>2988</v>
      </c>
      <c r="L256" s="49" t="s">
        <v>2989</v>
      </c>
      <c r="M256" s="25" t="s">
        <v>2821</v>
      </c>
      <c r="N256" s="49" t="s">
        <v>2921</v>
      </c>
      <c r="O256" s="25" t="s">
        <v>2333</v>
      </c>
      <c r="P256" s="49" t="s">
        <v>2334</v>
      </c>
      <c r="Q256" s="49"/>
      <c r="R256" s="50" t="s">
        <v>44</v>
      </c>
      <c r="S256" s="52" t="s">
        <v>67</v>
      </c>
    </row>
    <row r="257" customFormat="false" ht="15" hidden="false" customHeight="true" outlineLevel="0" collapsed="false">
      <c r="A257" s="46" t="n">
        <v>257</v>
      </c>
      <c r="B257" s="24" t="s">
        <v>17</v>
      </c>
      <c r="C257" s="47"/>
      <c r="D257" s="47" t="s">
        <v>2176</v>
      </c>
      <c r="E257" s="46" t="s">
        <v>17</v>
      </c>
      <c r="F257" s="46" t="s">
        <v>2104</v>
      </c>
      <c r="G257" s="24" t="s">
        <v>2405</v>
      </c>
      <c r="H257" s="48" t="n">
        <v>5</v>
      </c>
      <c r="I257" s="46"/>
      <c r="J257" s="47" t="s">
        <v>2512</v>
      </c>
      <c r="K257" s="24" t="s">
        <v>2990</v>
      </c>
      <c r="L257" s="46" t="s">
        <v>2991</v>
      </c>
      <c r="M257" s="24" t="s">
        <v>2821</v>
      </c>
      <c r="N257" s="46" t="s">
        <v>2921</v>
      </c>
      <c r="O257" s="24" t="s">
        <v>2333</v>
      </c>
      <c r="P257" s="46" t="s">
        <v>2334</v>
      </c>
      <c r="Q257" s="46"/>
      <c r="R257" s="47" t="s">
        <v>44</v>
      </c>
      <c r="S257" s="52" t="s">
        <v>67</v>
      </c>
    </row>
    <row r="258" customFormat="false" ht="15" hidden="false" customHeight="true" outlineLevel="0" collapsed="false">
      <c r="A258" s="49" t="n">
        <v>258</v>
      </c>
      <c r="B258" s="25" t="s">
        <v>22</v>
      </c>
      <c r="C258" s="50"/>
      <c r="D258" s="50" t="s">
        <v>22</v>
      </c>
      <c r="E258" s="49" t="s">
        <v>22</v>
      </c>
      <c r="F258" s="49" t="s">
        <v>2104</v>
      </c>
      <c r="G258" s="25" t="s">
        <v>2405</v>
      </c>
      <c r="H258" s="51" t="n">
        <v>5</v>
      </c>
      <c r="I258" s="49"/>
      <c r="J258" s="50" t="s">
        <v>2992</v>
      </c>
      <c r="K258" s="25" t="s">
        <v>2037</v>
      </c>
      <c r="L258" s="49" t="s">
        <v>2993</v>
      </c>
      <c r="M258" s="25" t="s">
        <v>2994</v>
      </c>
      <c r="N258" s="49" t="s">
        <v>2995</v>
      </c>
      <c r="O258" s="25" t="s">
        <v>2996</v>
      </c>
      <c r="P258" s="49" t="s">
        <v>2997</v>
      </c>
      <c r="Q258" s="49"/>
      <c r="R258" s="50" t="s">
        <v>44</v>
      </c>
      <c r="S258" s="52" t="s">
        <v>67</v>
      </c>
    </row>
    <row r="259" customFormat="false" ht="15" hidden="false" customHeight="true" outlineLevel="0" collapsed="false">
      <c r="A259" s="46" t="n">
        <v>260</v>
      </c>
      <c r="B259" s="24" t="s">
        <v>22</v>
      </c>
      <c r="C259" s="47"/>
      <c r="D259" s="47" t="s">
        <v>22</v>
      </c>
      <c r="E259" s="46" t="s">
        <v>22</v>
      </c>
      <c r="F259" s="46" t="s">
        <v>2104</v>
      </c>
      <c r="G259" s="24" t="s">
        <v>2405</v>
      </c>
      <c r="H259" s="48" t="n">
        <v>5</v>
      </c>
      <c r="I259" s="46"/>
      <c r="J259" s="47" t="s">
        <v>2998</v>
      </c>
      <c r="K259" s="24" t="s">
        <v>2999</v>
      </c>
      <c r="L259" s="46" t="s">
        <v>3000</v>
      </c>
      <c r="M259" s="24" t="s">
        <v>2994</v>
      </c>
      <c r="N259" s="46" t="s">
        <v>2995</v>
      </c>
      <c r="O259" s="24" t="s">
        <v>2996</v>
      </c>
      <c r="P259" s="46" t="s">
        <v>2997</v>
      </c>
      <c r="Q259" s="46"/>
      <c r="R259" s="47" t="s">
        <v>44</v>
      </c>
      <c r="S259" s="52" t="s">
        <v>67</v>
      </c>
    </row>
    <row r="260" customFormat="false" ht="15" hidden="false" customHeight="true" outlineLevel="0" collapsed="false">
      <c r="A260" s="49" t="n">
        <v>261</v>
      </c>
      <c r="B260" s="25" t="s">
        <v>22</v>
      </c>
      <c r="C260" s="50"/>
      <c r="D260" s="50" t="s">
        <v>22</v>
      </c>
      <c r="E260" s="49" t="s">
        <v>22</v>
      </c>
      <c r="F260" s="49" t="s">
        <v>2104</v>
      </c>
      <c r="G260" s="25" t="s">
        <v>2405</v>
      </c>
      <c r="H260" s="51" t="n">
        <v>5</v>
      </c>
      <c r="I260" s="49"/>
      <c r="J260" s="50" t="s">
        <v>3001</v>
      </c>
      <c r="K260" s="25" t="s">
        <v>2045</v>
      </c>
      <c r="L260" s="49" t="s">
        <v>3002</v>
      </c>
      <c r="M260" s="25" t="s">
        <v>2994</v>
      </c>
      <c r="N260" s="49" t="s">
        <v>2995</v>
      </c>
      <c r="O260" s="25" t="s">
        <v>2996</v>
      </c>
      <c r="P260" s="49" t="s">
        <v>2997</v>
      </c>
      <c r="Q260" s="49"/>
      <c r="R260" s="50" t="s">
        <v>44</v>
      </c>
      <c r="S260" s="52" t="s">
        <v>67</v>
      </c>
    </row>
    <row r="261" customFormat="false" ht="15" hidden="false" customHeight="true" outlineLevel="0" collapsed="false">
      <c r="A261" s="46" t="n">
        <v>263</v>
      </c>
      <c r="B261" s="24" t="s">
        <v>22</v>
      </c>
      <c r="C261" s="47"/>
      <c r="D261" s="47" t="s">
        <v>22</v>
      </c>
      <c r="E261" s="46" t="s">
        <v>22</v>
      </c>
      <c r="F261" s="46" t="s">
        <v>2104</v>
      </c>
      <c r="G261" s="24" t="s">
        <v>2405</v>
      </c>
      <c r="H261" s="48" t="n">
        <v>5</v>
      </c>
      <c r="I261" s="46"/>
      <c r="J261" s="47" t="s">
        <v>3003</v>
      </c>
      <c r="K261" s="24" t="s">
        <v>2047</v>
      </c>
      <c r="L261" s="46" t="s">
        <v>3004</v>
      </c>
      <c r="M261" s="24" t="s">
        <v>2994</v>
      </c>
      <c r="N261" s="46" t="s">
        <v>2995</v>
      </c>
      <c r="O261" s="24" t="s">
        <v>2996</v>
      </c>
      <c r="P261" s="46" t="s">
        <v>2997</v>
      </c>
      <c r="Q261" s="46"/>
      <c r="R261" s="47" t="s">
        <v>44</v>
      </c>
      <c r="S261" s="52" t="s">
        <v>67</v>
      </c>
    </row>
    <row r="262" customFormat="false" ht="15" hidden="false" customHeight="true" outlineLevel="0" collapsed="false">
      <c r="A262" s="49" t="n">
        <v>264</v>
      </c>
      <c r="B262" s="25" t="s">
        <v>22</v>
      </c>
      <c r="C262" s="50"/>
      <c r="D262" s="50" t="s">
        <v>22</v>
      </c>
      <c r="E262" s="49" t="s">
        <v>22</v>
      </c>
      <c r="F262" s="49" t="s">
        <v>2104</v>
      </c>
      <c r="G262" s="25" t="s">
        <v>2405</v>
      </c>
      <c r="H262" s="51" t="n">
        <v>5</v>
      </c>
      <c r="I262" s="49"/>
      <c r="J262" s="50" t="s">
        <v>3005</v>
      </c>
      <c r="K262" s="25" t="s">
        <v>2049</v>
      </c>
      <c r="L262" s="49" t="s">
        <v>3006</v>
      </c>
      <c r="M262" s="25" t="s">
        <v>2994</v>
      </c>
      <c r="N262" s="49" t="s">
        <v>2995</v>
      </c>
      <c r="O262" s="25" t="s">
        <v>2996</v>
      </c>
      <c r="P262" s="49" t="s">
        <v>2997</v>
      </c>
      <c r="Q262" s="49"/>
      <c r="R262" s="50" t="s">
        <v>44</v>
      </c>
      <c r="S262" s="52" t="s">
        <v>67</v>
      </c>
    </row>
    <row r="263" customFormat="false" ht="15" hidden="false" customHeight="true" outlineLevel="0" collapsed="false">
      <c r="A263" s="46" t="n">
        <v>265</v>
      </c>
      <c r="B263" s="24" t="s">
        <v>22</v>
      </c>
      <c r="C263" s="47"/>
      <c r="D263" s="47" t="s">
        <v>22</v>
      </c>
      <c r="E263" s="46" t="s">
        <v>22</v>
      </c>
      <c r="F263" s="46" t="s">
        <v>2104</v>
      </c>
      <c r="G263" s="24" t="s">
        <v>2405</v>
      </c>
      <c r="H263" s="48" t="n">
        <v>5</v>
      </c>
      <c r="I263" s="46"/>
      <c r="J263" s="47" t="s">
        <v>3007</v>
      </c>
      <c r="K263" s="24" t="s">
        <v>2051</v>
      </c>
      <c r="L263" s="46" t="s">
        <v>3008</v>
      </c>
      <c r="M263" s="24" t="s">
        <v>2994</v>
      </c>
      <c r="N263" s="46" t="s">
        <v>2995</v>
      </c>
      <c r="O263" s="24" t="s">
        <v>2996</v>
      </c>
      <c r="P263" s="46" t="s">
        <v>2997</v>
      </c>
      <c r="Q263" s="46"/>
      <c r="R263" s="47" t="s">
        <v>44</v>
      </c>
      <c r="S263" s="52" t="s">
        <v>67</v>
      </c>
    </row>
    <row r="264" customFormat="false" ht="15" hidden="false" customHeight="true" outlineLevel="0" collapsed="false">
      <c r="A264" s="49" t="n">
        <v>266</v>
      </c>
      <c r="B264" s="25" t="s">
        <v>22</v>
      </c>
      <c r="C264" s="50"/>
      <c r="D264" s="50" t="s">
        <v>22</v>
      </c>
      <c r="E264" s="49" t="s">
        <v>22</v>
      </c>
      <c r="F264" s="49" t="s">
        <v>2104</v>
      </c>
      <c r="G264" s="25" t="s">
        <v>2405</v>
      </c>
      <c r="H264" s="51" t="n">
        <v>5</v>
      </c>
      <c r="I264" s="49"/>
      <c r="J264" s="50" t="s">
        <v>3009</v>
      </c>
      <c r="K264" s="25" t="s">
        <v>2053</v>
      </c>
      <c r="L264" s="49" t="s">
        <v>3010</v>
      </c>
      <c r="M264" s="25" t="s">
        <v>2994</v>
      </c>
      <c r="N264" s="49" t="s">
        <v>2995</v>
      </c>
      <c r="O264" s="25" t="s">
        <v>2996</v>
      </c>
      <c r="P264" s="49" t="s">
        <v>2997</v>
      </c>
      <c r="Q264" s="49"/>
      <c r="R264" s="50" t="s">
        <v>44</v>
      </c>
      <c r="S264" s="52" t="s">
        <v>67</v>
      </c>
    </row>
    <row r="265" customFormat="false" ht="15" hidden="false" customHeight="true" outlineLevel="0" collapsed="false">
      <c r="A265" s="46" t="n">
        <v>267</v>
      </c>
      <c r="B265" s="24" t="s">
        <v>22</v>
      </c>
      <c r="C265" s="47"/>
      <c r="D265" s="47" t="s">
        <v>22</v>
      </c>
      <c r="E265" s="46" t="s">
        <v>22</v>
      </c>
      <c r="F265" s="46" t="s">
        <v>2104</v>
      </c>
      <c r="G265" s="24" t="s">
        <v>2405</v>
      </c>
      <c r="H265" s="48" t="n">
        <v>5</v>
      </c>
      <c r="I265" s="46"/>
      <c r="J265" s="47" t="s">
        <v>3011</v>
      </c>
      <c r="K265" s="24" t="s">
        <v>2055</v>
      </c>
      <c r="L265" s="46" t="s">
        <v>3012</v>
      </c>
      <c r="M265" s="24" t="s">
        <v>2994</v>
      </c>
      <c r="N265" s="46" t="s">
        <v>2995</v>
      </c>
      <c r="O265" s="24" t="s">
        <v>2996</v>
      </c>
      <c r="P265" s="46" t="s">
        <v>2997</v>
      </c>
      <c r="Q265" s="46"/>
      <c r="R265" s="47" t="s">
        <v>44</v>
      </c>
      <c r="S265" s="52" t="s">
        <v>67</v>
      </c>
    </row>
    <row r="266" customFormat="false" ht="15" hidden="false" customHeight="true" outlineLevel="0" collapsed="false">
      <c r="A266" s="49" t="n">
        <v>268</v>
      </c>
      <c r="B266" s="25" t="s">
        <v>22</v>
      </c>
      <c r="C266" s="50"/>
      <c r="D266" s="50" t="s">
        <v>22</v>
      </c>
      <c r="E266" s="49" t="s">
        <v>22</v>
      </c>
      <c r="F266" s="49" t="s">
        <v>2104</v>
      </c>
      <c r="G266" s="25" t="s">
        <v>2405</v>
      </c>
      <c r="H266" s="51" t="n">
        <v>5</v>
      </c>
      <c r="I266" s="49"/>
      <c r="J266" s="50" t="s">
        <v>3013</v>
      </c>
      <c r="K266" s="25" t="s">
        <v>2057</v>
      </c>
      <c r="L266" s="49" t="s">
        <v>3014</v>
      </c>
      <c r="M266" s="25" t="s">
        <v>2994</v>
      </c>
      <c r="N266" s="49" t="s">
        <v>2995</v>
      </c>
      <c r="O266" s="25" t="s">
        <v>2996</v>
      </c>
      <c r="P266" s="49" t="s">
        <v>2997</v>
      </c>
      <c r="Q266" s="49"/>
      <c r="R266" s="50" t="s">
        <v>44</v>
      </c>
      <c r="S266" s="52" t="s">
        <v>67</v>
      </c>
    </row>
    <row r="267" customFormat="false" ht="15" hidden="false" customHeight="true" outlineLevel="0" collapsed="false">
      <c r="A267" s="46" t="n">
        <v>269</v>
      </c>
      <c r="B267" s="24" t="s">
        <v>22</v>
      </c>
      <c r="C267" s="47"/>
      <c r="D267" s="47" t="s">
        <v>22</v>
      </c>
      <c r="E267" s="46" t="s">
        <v>22</v>
      </c>
      <c r="F267" s="46" t="s">
        <v>2104</v>
      </c>
      <c r="G267" s="24" t="s">
        <v>2405</v>
      </c>
      <c r="H267" s="48" t="n">
        <v>5</v>
      </c>
      <c r="I267" s="46"/>
      <c r="J267" s="47" t="s">
        <v>3015</v>
      </c>
      <c r="K267" s="24" t="s">
        <v>2059</v>
      </c>
      <c r="L267" s="46" t="s">
        <v>3016</v>
      </c>
      <c r="M267" s="24" t="s">
        <v>2994</v>
      </c>
      <c r="N267" s="46" t="s">
        <v>2995</v>
      </c>
      <c r="O267" s="24" t="s">
        <v>2996</v>
      </c>
      <c r="P267" s="46" t="s">
        <v>2997</v>
      </c>
      <c r="Q267" s="46"/>
      <c r="R267" s="47" t="s">
        <v>44</v>
      </c>
      <c r="S267" s="52" t="s">
        <v>67</v>
      </c>
    </row>
    <row r="268" customFormat="false" ht="15" hidden="false" customHeight="true" outlineLevel="0" collapsed="false">
      <c r="A268" s="49" t="n">
        <v>270</v>
      </c>
      <c r="B268" s="25" t="s">
        <v>22</v>
      </c>
      <c r="C268" s="50"/>
      <c r="D268" s="50" t="s">
        <v>22</v>
      </c>
      <c r="E268" s="49" t="s">
        <v>22</v>
      </c>
      <c r="F268" s="49" t="s">
        <v>2104</v>
      </c>
      <c r="G268" s="25" t="s">
        <v>2405</v>
      </c>
      <c r="H268" s="51" t="n">
        <v>5</v>
      </c>
      <c r="I268" s="49"/>
      <c r="J268" s="50" t="s">
        <v>3017</v>
      </c>
      <c r="K268" s="25" t="s">
        <v>2061</v>
      </c>
      <c r="L268" s="49" t="s">
        <v>3018</v>
      </c>
      <c r="M268" s="25" t="s">
        <v>2994</v>
      </c>
      <c r="N268" s="49" t="s">
        <v>2995</v>
      </c>
      <c r="O268" s="25" t="s">
        <v>2996</v>
      </c>
      <c r="P268" s="49" t="s">
        <v>2997</v>
      </c>
      <c r="Q268" s="49"/>
      <c r="R268" s="50" t="s">
        <v>44</v>
      </c>
      <c r="S268" s="52" t="s">
        <v>67</v>
      </c>
    </row>
    <row r="269" customFormat="false" ht="15" hidden="false" customHeight="true" outlineLevel="0" collapsed="false">
      <c r="A269" s="46" t="n">
        <v>271</v>
      </c>
      <c r="B269" s="24" t="s">
        <v>22</v>
      </c>
      <c r="C269" s="47"/>
      <c r="D269" s="47" t="s">
        <v>22</v>
      </c>
      <c r="E269" s="46" t="s">
        <v>22</v>
      </c>
      <c r="F269" s="46" t="s">
        <v>2104</v>
      </c>
      <c r="G269" s="24" t="s">
        <v>2405</v>
      </c>
      <c r="H269" s="48" t="n">
        <v>5</v>
      </c>
      <c r="I269" s="46"/>
      <c r="J269" s="47" t="s">
        <v>3019</v>
      </c>
      <c r="K269" s="24" t="s">
        <v>3020</v>
      </c>
      <c r="L269" s="46" t="s">
        <v>3021</v>
      </c>
      <c r="M269" s="24" t="s">
        <v>2994</v>
      </c>
      <c r="N269" s="46" t="s">
        <v>2995</v>
      </c>
      <c r="O269" s="24" t="s">
        <v>2996</v>
      </c>
      <c r="P269" s="46" t="s">
        <v>2997</v>
      </c>
      <c r="Q269" s="46"/>
      <c r="R269" s="47" t="s">
        <v>44</v>
      </c>
      <c r="S269" s="52" t="s">
        <v>67</v>
      </c>
    </row>
    <row r="270" customFormat="false" ht="15" hidden="false" customHeight="true" outlineLevel="0" collapsed="false">
      <c r="A270" s="49" t="n">
        <v>272</v>
      </c>
      <c r="B270" s="25" t="s">
        <v>22</v>
      </c>
      <c r="C270" s="50"/>
      <c r="D270" s="50" t="s">
        <v>22</v>
      </c>
      <c r="E270" s="49" t="s">
        <v>22</v>
      </c>
      <c r="F270" s="49" t="s">
        <v>2104</v>
      </c>
      <c r="G270" s="25" t="s">
        <v>2405</v>
      </c>
      <c r="H270" s="51" t="n">
        <v>5</v>
      </c>
      <c r="I270" s="49"/>
      <c r="J270" s="50" t="s">
        <v>3022</v>
      </c>
      <c r="K270" s="25" t="s">
        <v>2065</v>
      </c>
      <c r="L270" s="49" t="s">
        <v>3023</v>
      </c>
      <c r="M270" s="25" t="s">
        <v>2994</v>
      </c>
      <c r="N270" s="49" t="s">
        <v>2995</v>
      </c>
      <c r="O270" s="25" t="s">
        <v>2996</v>
      </c>
      <c r="P270" s="49" t="s">
        <v>2997</v>
      </c>
      <c r="Q270" s="49"/>
      <c r="R270" s="50" t="s">
        <v>44</v>
      </c>
      <c r="S270" s="52" t="s">
        <v>67</v>
      </c>
    </row>
    <row r="271" customFormat="false" ht="15" hidden="false" customHeight="true" outlineLevel="0" collapsed="false">
      <c r="A271" s="46" t="n">
        <v>273</v>
      </c>
      <c r="B271" s="24" t="s">
        <v>22</v>
      </c>
      <c r="C271" s="47"/>
      <c r="D271" s="47" t="s">
        <v>22</v>
      </c>
      <c r="E271" s="46" t="s">
        <v>22</v>
      </c>
      <c r="F271" s="46" t="s">
        <v>2104</v>
      </c>
      <c r="G271" s="24" t="s">
        <v>2405</v>
      </c>
      <c r="H271" s="48" t="n">
        <v>5</v>
      </c>
      <c r="I271" s="46"/>
      <c r="J271" s="47" t="s">
        <v>3024</v>
      </c>
      <c r="K271" s="24" t="s">
        <v>2067</v>
      </c>
      <c r="L271" s="46" t="s">
        <v>3025</v>
      </c>
      <c r="M271" s="24" t="s">
        <v>2994</v>
      </c>
      <c r="N271" s="46" t="s">
        <v>2995</v>
      </c>
      <c r="O271" s="24" t="s">
        <v>2996</v>
      </c>
      <c r="P271" s="46" t="s">
        <v>2997</v>
      </c>
      <c r="Q271" s="46"/>
      <c r="R271" s="47" t="s">
        <v>44</v>
      </c>
      <c r="S271" s="52" t="s">
        <v>67</v>
      </c>
    </row>
    <row r="272" customFormat="false" ht="15" hidden="false" customHeight="true" outlineLevel="0" collapsed="false">
      <c r="A272" s="49" t="n">
        <v>274</v>
      </c>
      <c r="B272" s="25" t="s">
        <v>22</v>
      </c>
      <c r="C272" s="50"/>
      <c r="D272" s="50" t="s">
        <v>22</v>
      </c>
      <c r="E272" s="49" t="s">
        <v>22</v>
      </c>
      <c r="F272" s="49" t="s">
        <v>2104</v>
      </c>
      <c r="G272" s="25" t="s">
        <v>2405</v>
      </c>
      <c r="H272" s="51" t="n">
        <v>5</v>
      </c>
      <c r="I272" s="49"/>
      <c r="J272" s="50" t="s">
        <v>3026</v>
      </c>
      <c r="K272" s="25" t="s">
        <v>2069</v>
      </c>
      <c r="L272" s="49" t="s">
        <v>3027</v>
      </c>
      <c r="M272" s="25" t="s">
        <v>2994</v>
      </c>
      <c r="N272" s="49" t="s">
        <v>2995</v>
      </c>
      <c r="O272" s="25" t="s">
        <v>2996</v>
      </c>
      <c r="P272" s="49" t="s">
        <v>2997</v>
      </c>
      <c r="Q272" s="49"/>
      <c r="R272" s="50" t="s">
        <v>44</v>
      </c>
      <c r="S272" s="52" t="s">
        <v>67</v>
      </c>
    </row>
    <row r="273" customFormat="false" ht="15" hidden="false" customHeight="true" outlineLevel="0" collapsed="false">
      <c r="A273" s="46" t="n">
        <v>275</v>
      </c>
      <c r="B273" s="24" t="s">
        <v>22</v>
      </c>
      <c r="C273" s="47"/>
      <c r="D273" s="47" t="s">
        <v>22</v>
      </c>
      <c r="E273" s="46" t="s">
        <v>22</v>
      </c>
      <c r="F273" s="46" t="s">
        <v>2104</v>
      </c>
      <c r="G273" s="24" t="s">
        <v>2405</v>
      </c>
      <c r="H273" s="48" t="n">
        <v>5</v>
      </c>
      <c r="I273" s="46"/>
      <c r="J273" s="47" t="s">
        <v>3028</v>
      </c>
      <c r="K273" s="24" t="s">
        <v>2071</v>
      </c>
      <c r="L273" s="46" t="s">
        <v>3029</v>
      </c>
      <c r="M273" s="24" t="s">
        <v>2994</v>
      </c>
      <c r="N273" s="46" t="s">
        <v>2995</v>
      </c>
      <c r="O273" s="24" t="s">
        <v>2996</v>
      </c>
      <c r="P273" s="46" t="s">
        <v>2997</v>
      </c>
      <c r="Q273" s="46"/>
      <c r="R273" s="47" t="s">
        <v>44</v>
      </c>
      <c r="S273" s="52" t="s">
        <v>67</v>
      </c>
    </row>
    <row r="274" customFormat="false" ht="15" hidden="false" customHeight="true" outlineLevel="0" collapsed="false">
      <c r="A274" s="49" t="n">
        <v>276</v>
      </c>
      <c r="B274" s="25" t="s">
        <v>22</v>
      </c>
      <c r="C274" s="50"/>
      <c r="D274" s="50" t="s">
        <v>22</v>
      </c>
      <c r="E274" s="49" t="s">
        <v>22</v>
      </c>
      <c r="F274" s="49" t="s">
        <v>2104</v>
      </c>
      <c r="G274" s="25" t="s">
        <v>2405</v>
      </c>
      <c r="H274" s="51" t="n">
        <v>5</v>
      </c>
      <c r="I274" s="49"/>
      <c r="J274" s="50" t="s">
        <v>3030</v>
      </c>
      <c r="K274" s="25" t="s">
        <v>2073</v>
      </c>
      <c r="L274" s="49" t="s">
        <v>3031</v>
      </c>
      <c r="M274" s="25" t="s">
        <v>2994</v>
      </c>
      <c r="N274" s="49" t="s">
        <v>2995</v>
      </c>
      <c r="O274" s="25" t="s">
        <v>2996</v>
      </c>
      <c r="P274" s="49" t="s">
        <v>2997</v>
      </c>
      <c r="Q274" s="49"/>
      <c r="R274" s="50" t="s">
        <v>44</v>
      </c>
      <c r="S274" s="52" t="s">
        <v>67</v>
      </c>
    </row>
    <row r="275" customFormat="false" ht="15" hidden="false" customHeight="true" outlineLevel="0" collapsed="false">
      <c r="A275" s="46" t="n">
        <v>277</v>
      </c>
      <c r="B275" s="24" t="s">
        <v>22</v>
      </c>
      <c r="C275" s="47"/>
      <c r="D275" s="47" t="s">
        <v>22</v>
      </c>
      <c r="E275" s="46" t="s">
        <v>22</v>
      </c>
      <c r="F275" s="46" t="s">
        <v>2104</v>
      </c>
      <c r="G275" s="24" t="s">
        <v>2405</v>
      </c>
      <c r="H275" s="48" t="n">
        <v>5</v>
      </c>
      <c r="I275" s="46"/>
      <c r="J275" s="47" t="s">
        <v>3032</v>
      </c>
      <c r="K275" s="24" t="s">
        <v>2075</v>
      </c>
      <c r="L275" s="46" t="s">
        <v>3033</v>
      </c>
      <c r="M275" s="24" t="s">
        <v>2994</v>
      </c>
      <c r="N275" s="46" t="s">
        <v>2995</v>
      </c>
      <c r="O275" s="24" t="s">
        <v>2996</v>
      </c>
      <c r="P275" s="46" t="s">
        <v>2997</v>
      </c>
      <c r="Q275" s="46"/>
      <c r="R275" s="47" t="s">
        <v>44</v>
      </c>
      <c r="S275" s="52" t="s">
        <v>67</v>
      </c>
    </row>
    <row r="276" customFormat="false" ht="15" hidden="false" customHeight="true" outlineLevel="0" collapsed="false">
      <c r="A276" s="49" t="n">
        <v>278</v>
      </c>
      <c r="B276" s="25" t="s">
        <v>22</v>
      </c>
      <c r="C276" s="50"/>
      <c r="D276" s="50" t="s">
        <v>22</v>
      </c>
      <c r="E276" s="49" t="s">
        <v>22</v>
      </c>
      <c r="F276" s="49" t="s">
        <v>2104</v>
      </c>
      <c r="G276" s="25" t="s">
        <v>2405</v>
      </c>
      <c r="H276" s="51" t="n">
        <v>5</v>
      </c>
      <c r="I276" s="49"/>
      <c r="J276" s="50" t="s">
        <v>3034</v>
      </c>
      <c r="K276" s="25" t="s">
        <v>2077</v>
      </c>
      <c r="L276" s="49" t="s">
        <v>3035</v>
      </c>
      <c r="M276" s="25" t="s">
        <v>2994</v>
      </c>
      <c r="N276" s="49" t="s">
        <v>2995</v>
      </c>
      <c r="O276" s="25" t="s">
        <v>2996</v>
      </c>
      <c r="P276" s="49" t="s">
        <v>2997</v>
      </c>
      <c r="Q276" s="49"/>
      <c r="R276" s="50" t="s">
        <v>44</v>
      </c>
      <c r="S276" s="52" t="s">
        <v>67</v>
      </c>
    </row>
    <row r="277" customFormat="false" ht="15" hidden="false" customHeight="true" outlineLevel="0" collapsed="false">
      <c r="A277" s="46" t="n">
        <v>279</v>
      </c>
      <c r="B277" s="24" t="s">
        <v>22</v>
      </c>
      <c r="C277" s="47"/>
      <c r="D277" s="47" t="s">
        <v>22</v>
      </c>
      <c r="E277" s="46" t="s">
        <v>22</v>
      </c>
      <c r="F277" s="46" t="s">
        <v>2104</v>
      </c>
      <c r="G277" s="24" t="s">
        <v>2405</v>
      </c>
      <c r="H277" s="48" t="n">
        <v>5</v>
      </c>
      <c r="I277" s="46"/>
      <c r="J277" s="47" t="s">
        <v>3036</v>
      </c>
      <c r="K277" s="24" t="s">
        <v>2079</v>
      </c>
      <c r="L277" s="46" t="s">
        <v>3037</v>
      </c>
      <c r="M277" s="24" t="s">
        <v>2994</v>
      </c>
      <c r="N277" s="46" t="s">
        <v>2995</v>
      </c>
      <c r="O277" s="24" t="s">
        <v>2996</v>
      </c>
      <c r="P277" s="46" t="s">
        <v>2997</v>
      </c>
      <c r="Q277" s="46"/>
      <c r="R277" s="47" t="s">
        <v>44</v>
      </c>
      <c r="S277" s="52" t="s">
        <v>67</v>
      </c>
    </row>
    <row r="278" customFormat="false" ht="15" hidden="false" customHeight="true" outlineLevel="0" collapsed="false">
      <c r="A278" s="49" t="n">
        <v>280</v>
      </c>
      <c r="B278" s="25" t="s">
        <v>2552</v>
      </c>
      <c r="C278" s="50"/>
      <c r="D278" s="50" t="s">
        <v>22</v>
      </c>
      <c r="E278" s="49" t="s">
        <v>22</v>
      </c>
      <c r="F278" s="49" t="s">
        <v>2104</v>
      </c>
      <c r="G278" s="25" t="s">
        <v>2405</v>
      </c>
      <c r="H278" s="51" t="n">
        <v>5</v>
      </c>
      <c r="I278" s="49"/>
      <c r="J278" s="50" t="s">
        <v>3038</v>
      </c>
      <c r="K278" s="25" t="s">
        <v>2081</v>
      </c>
      <c r="L278" s="49" t="s">
        <v>3039</v>
      </c>
      <c r="M278" s="25" t="s">
        <v>2994</v>
      </c>
      <c r="N278" s="49" t="s">
        <v>2995</v>
      </c>
      <c r="O278" s="25" t="s">
        <v>2996</v>
      </c>
      <c r="P278" s="49" t="s">
        <v>2997</v>
      </c>
      <c r="Q278" s="49"/>
      <c r="R278" s="50" t="s">
        <v>44</v>
      </c>
      <c r="S278" s="52" t="s">
        <v>67</v>
      </c>
    </row>
    <row r="279" customFormat="false" ht="15" hidden="false" customHeight="true" outlineLevel="0" collapsed="false">
      <c r="A279" s="46" t="n">
        <v>281</v>
      </c>
      <c r="B279" s="24" t="s">
        <v>22</v>
      </c>
      <c r="C279" s="47"/>
      <c r="D279" s="47" t="s">
        <v>22</v>
      </c>
      <c r="E279" s="46" t="s">
        <v>22</v>
      </c>
      <c r="F279" s="46" t="s">
        <v>2104</v>
      </c>
      <c r="G279" s="24" t="s">
        <v>2405</v>
      </c>
      <c r="H279" s="48" t="n">
        <v>5</v>
      </c>
      <c r="I279" s="46"/>
      <c r="J279" s="47" t="s">
        <v>3040</v>
      </c>
      <c r="K279" s="24" t="s">
        <v>2083</v>
      </c>
      <c r="L279" s="46" t="s">
        <v>3041</v>
      </c>
      <c r="M279" s="24" t="s">
        <v>2994</v>
      </c>
      <c r="N279" s="46" t="s">
        <v>2995</v>
      </c>
      <c r="O279" s="24" t="s">
        <v>2996</v>
      </c>
      <c r="P279" s="46" t="s">
        <v>2997</v>
      </c>
      <c r="Q279" s="46"/>
      <c r="R279" s="47" t="s">
        <v>44</v>
      </c>
      <c r="S279" s="52" t="s">
        <v>67</v>
      </c>
    </row>
    <row r="280" customFormat="false" ht="15" hidden="false" customHeight="true" outlineLevel="0" collapsed="false">
      <c r="A280" s="49" t="n">
        <v>282</v>
      </c>
      <c r="B280" s="25" t="s">
        <v>17</v>
      </c>
      <c r="C280" s="50"/>
      <c r="D280" s="50" t="s">
        <v>2176</v>
      </c>
      <c r="E280" s="49" t="s">
        <v>17</v>
      </c>
      <c r="F280" s="49" t="s">
        <v>2104</v>
      </c>
      <c r="G280" s="25" t="s">
        <v>2405</v>
      </c>
      <c r="H280" s="51" t="n">
        <v>5</v>
      </c>
      <c r="I280" s="49"/>
      <c r="J280" s="50" t="s">
        <v>3042</v>
      </c>
      <c r="K280" s="25" t="s">
        <v>2663</v>
      </c>
      <c r="L280" s="49" t="s">
        <v>3043</v>
      </c>
      <c r="M280" s="25" t="s">
        <v>2174</v>
      </c>
      <c r="N280" s="49" t="s">
        <v>2600</v>
      </c>
      <c r="O280" s="25" t="s">
        <v>2333</v>
      </c>
      <c r="P280" s="49" t="s">
        <v>2334</v>
      </c>
      <c r="Q280" s="49"/>
      <c r="R280" s="50" t="s">
        <v>44</v>
      </c>
      <c r="S280" s="52" t="s">
        <v>67</v>
      </c>
    </row>
    <row r="281" customFormat="false" ht="15" hidden="false" customHeight="true" outlineLevel="0" collapsed="false">
      <c r="A281" s="46" t="n">
        <v>283</v>
      </c>
      <c r="B281" s="24" t="s">
        <v>17</v>
      </c>
      <c r="C281" s="47"/>
      <c r="D281" s="47" t="s">
        <v>2176</v>
      </c>
      <c r="E281" s="46" t="s">
        <v>17</v>
      </c>
      <c r="F281" s="46" t="s">
        <v>2104</v>
      </c>
      <c r="G281" s="24" t="s">
        <v>2405</v>
      </c>
      <c r="H281" s="48" t="n">
        <v>5</v>
      </c>
      <c r="I281" s="46"/>
      <c r="J281" s="47" t="s">
        <v>3044</v>
      </c>
      <c r="K281" s="24" t="s">
        <v>3045</v>
      </c>
      <c r="L281" s="46" t="s">
        <v>3046</v>
      </c>
      <c r="M281" s="24" t="s">
        <v>2174</v>
      </c>
      <c r="N281" s="46" t="s">
        <v>2600</v>
      </c>
      <c r="O281" s="24" t="s">
        <v>2333</v>
      </c>
      <c r="P281" s="46" t="s">
        <v>2334</v>
      </c>
      <c r="Q281" s="46"/>
      <c r="R281" s="47" t="s">
        <v>44</v>
      </c>
      <c r="S281" s="52" t="s">
        <v>67</v>
      </c>
    </row>
    <row r="282" customFormat="false" ht="15" hidden="false" customHeight="true" outlineLevel="0" collapsed="false">
      <c r="A282" s="49" t="n">
        <v>284</v>
      </c>
      <c r="B282" s="25" t="s">
        <v>17</v>
      </c>
      <c r="C282" s="50"/>
      <c r="D282" s="50" t="s">
        <v>2176</v>
      </c>
      <c r="E282" s="49" t="s">
        <v>17</v>
      </c>
      <c r="F282" s="49" t="s">
        <v>2104</v>
      </c>
      <c r="G282" s="25" t="s">
        <v>2405</v>
      </c>
      <c r="H282" s="51" t="n">
        <v>5</v>
      </c>
      <c r="I282" s="49"/>
      <c r="J282" s="50" t="s">
        <v>3047</v>
      </c>
      <c r="K282" s="25" t="s">
        <v>3048</v>
      </c>
      <c r="L282" s="49" t="s">
        <v>3049</v>
      </c>
      <c r="M282" s="25" t="s">
        <v>2174</v>
      </c>
      <c r="N282" s="49" t="s">
        <v>2600</v>
      </c>
      <c r="O282" s="25" t="s">
        <v>2333</v>
      </c>
      <c r="P282" s="49" t="s">
        <v>2334</v>
      </c>
      <c r="Q282" s="49"/>
      <c r="R282" s="50" t="s">
        <v>44</v>
      </c>
      <c r="S282" s="52" t="s">
        <v>67</v>
      </c>
    </row>
    <row r="283" customFormat="false" ht="15" hidden="false" customHeight="true" outlineLevel="0" collapsed="false">
      <c r="A283" s="46" t="n">
        <v>285</v>
      </c>
      <c r="B283" s="24" t="s">
        <v>17</v>
      </c>
      <c r="C283" s="47"/>
      <c r="D283" s="47" t="s">
        <v>2176</v>
      </c>
      <c r="E283" s="46" t="s">
        <v>17</v>
      </c>
      <c r="F283" s="46" t="s">
        <v>2104</v>
      </c>
      <c r="G283" s="24" t="s">
        <v>2405</v>
      </c>
      <c r="H283" s="48" t="n">
        <v>5</v>
      </c>
      <c r="I283" s="46"/>
      <c r="J283" s="47" t="s">
        <v>3050</v>
      </c>
      <c r="K283" s="24" t="s">
        <v>2894</v>
      </c>
      <c r="L283" s="46" t="s">
        <v>3051</v>
      </c>
      <c r="M283" s="24" t="s">
        <v>2174</v>
      </c>
      <c r="N283" s="46" t="s">
        <v>2600</v>
      </c>
      <c r="O283" s="24" t="s">
        <v>2333</v>
      </c>
      <c r="P283" s="46" t="s">
        <v>2334</v>
      </c>
      <c r="Q283" s="46"/>
      <c r="R283" s="47" t="s">
        <v>44</v>
      </c>
      <c r="S283" s="52" t="s">
        <v>67</v>
      </c>
    </row>
    <row r="284" customFormat="false" ht="15" hidden="false" customHeight="true" outlineLevel="0" collapsed="false">
      <c r="A284" s="49" t="n">
        <v>286</v>
      </c>
      <c r="B284" s="25" t="s">
        <v>17</v>
      </c>
      <c r="C284" s="50"/>
      <c r="D284" s="50" t="s">
        <v>2176</v>
      </c>
      <c r="E284" s="49" t="s">
        <v>17</v>
      </c>
      <c r="F284" s="49" t="s">
        <v>2104</v>
      </c>
      <c r="G284" s="25" t="s">
        <v>2405</v>
      </c>
      <c r="H284" s="51" t="n">
        <v>5</v>
      </c>
      <c r="I284" s="49"/>
      <c r="J284" s="50" t="s">
        <v>3052</v>
      </c>
      <c r="K284" s="25" t="s">
        <v>3053</v>
      </c>
      <c r="L284" s="49" t="s">
        <v>3054</v>
      </c>
      <c r="M284" s="25" t="s">
        <v>2174</v>
      </c>
      <c r="N284" s="49" t="s">
        <v>2600</v>
      </c>
      <c r="O284" s="25" t="s">
        <v>2333</v>
      </c>
      <c r="P284" s="49" t="s">
        <v>2334</v>
      </c>
      <c r="Q284" s="49"/>
      <c r="R284" s="50" t="s">
        <v>44</v>
      </c>
      <c r="S284" s="52" t="s">
        <v>67</v>
      </c>
    </row>
    <row r="285" customFormat="false" ht="15" hidden="false" customHeight="true" outlineLevel="0" collapsed="false">
      <c r="A285" s="46" t="n">
        <v>287</v>
      </c>
      <c r="B285" s="24" t="s">
        <v>17</v>
      </c>
      <c r="C285" s="47"/>
      <c r="D285" s="47" t="s">
        <v>2176</v>
      </c>
      <c r="E285" s="46" t="s">
        <v>17</v>
      </c>
      <c r="F285" s="46" t="s">
        <v>2104</v>
      </c>
      <c r="G285" s="24" t="s">
        <v>2405</v>
      </c>
      <c r="H285" s="48" t="n">
        <v>5</v>
      </c>
      <c r="I285" s="46"/>
      <c r="J285" s="47" t="s">
        <v>3055</v>
      </c>
      <c r="K285" s="24" t="s">
        <v>2821</v>
      </c>
      <c r="L285" s="46" t="s">
        <v>3056</v>
      </c>
      <c r="M285" s="24" t="s">
        <v>2174</v>
      </c>
      <c r="N285" s="46" t="s">
        <v>2600</v>
      </c>
      <c r="O285" s="24" t="s">
        <v>2333</v>
      </c>
      <c r="P285" s="46" t="s">
        <v>2334</v>
      </c>
      <c r="Q285" s="46"/>
      <c r="R285" s="47" t="s">
        <v>44</v>
      </c>
      <c r="S285" s="52" t="s">
        <v>67</v>
      </c>
    </row>
    <row r="286" customFormat="false" ht="15" hidden="false" customHeight="true" outlineLevel="0" collapsed="false">
      <c r="A286" s="49" t="n">
        <v>288</v>
      </c>
      <c r="B286" s="25" t="s">
        <v>17</v>
      </c>
      <c r="C286" s="50"/>
      <c r="D286" s="50" t="s">
        <v>2176</v>
      </c>
      <c r="E286" s="49" t="s">
        <v>17</v>
      </c>
      <c r="F286" s="49" t="s">
        <v>2104</v>
      </c>
      <c r="G286" s="25" t="s">
        <v>2405</v>
      </c>
      <c r="H286" s="51" t="n">
        <v>5</v>
      </c>
      <c r="I286" s="49"/>
      <c r="J286" s="50" t="s">
        <v>3057</v>
      </c>
      <c r="K286" s="25" t="s">
        <v>3058</v>
      </c>
      <c r="L286" s="49" t="s">
        <v>3059</v>
      </c>
      <c r="M286" s="25" t="s">
        <v>2174</v>
      </c>
      <c r="N286" s="49" t="s">
        <v>2600</v>
      </c>
      <c r="O286" s="25" t="s">
        <v>2333</v>
      </c>
      <c r="P286" s="49" t="s">
        <v>2334</v>
      </c>
      <c r="Q286" s="49"/>
      <c r="R286" s="50" t="s">
        <v>44</v>
      </c>
      <c r="S286" s="52" t="s">
        <v>67</v>
      </c>
    </row>
    <row r="287" customFormat="false" ht="15" hidden="false" customHeight="true" outlineLevel="0" collapsed="false">
      <c r="A287" s="46" t="n">
        <v>289</v>
      </c>
      <c r="B287" s="24" t="s">
        <v>17</v>
      </c>
      <c r="C287" s="47"/>
      <c r="D287" s="47" t="s">
        <v>2176</v>
      </c>
      <c r="E287" s="46" t="s">
        <v>17</v>
      </c>
      <c r="F287" s="46" t="s">
        <v>2104</v>
      </c>
      <c r="G287" s="24" t="s">
        <v>2405</v>
      </c>
      <c r="H287" s="48" t="n">
        <v>5</v>
      </c>
      <c r="I287" s="46"/>
      <c r="J287" s="47" t="s">
        <v>3060</v>
      </c>
      <c r="K287" s="24" t="s">
        <v>3061</v>
      </c>
      <c r="L287" s="46" t="s">
        <v>3062</v>
      </c>
      <c r="M287" s="24" t="s">
        <v>2174</v>
      </c>
      <c r="N287" s="46" t="s">
        <v>2600</v>
      </c>
      <c r="O287" s="24" t="s">
        <v>2333</v>
      </c>
      <c r="P287" s="46" t="s">
        <v>2334</v>
      </c>
      <c r="Q287" s="46"/>
      <c r="R287" s="47" t="s">
        <v>44</v>
      </c>
      <c r="S287" s="52" t="s">
        <v>67</v>
      </c>
    </row>
    <row r="288" customFormat="false" ht="15" hidden="false" customHeight="true" outlineLevel="0" collapsed="false">
      <c r="A288" s="49" t="n">
        <v>290</v>
      </c>
      <c r="B288" s="25" t="s">
        <v>17</v>
      </c>
      <c r="C288" s="50"/>
      <c r="D288" s="50" t="s">
        <v>2176</v>
      </c>
      <c r="E288" s="49" t="s">
        <v>17</v>
      </c>
      <c r="F288" s="49" t="s">
        <v>2104</v>
      </c>
      <c r="G288" s="25" t="s">
        <v>2405</v>
      </c>
      <c r="H288" s="51" t="n">
        <v>5</v>
      </c>
      <c r="I288" s="49"/>
      <c r="J288" s="50" t="s">
        <v>3063</v>
      </c>
      <c r="K288" s="25" t="s">
        <v>3064</v>
      </c>
      <c r="L288" s="49" t="s">
        <v>3065</v>
      </c>
      <c r="M288" s="25" t="s">
        <v>2174</v>
      </c>
      <c r="N288" s="49" t="s">
        <v>2600</v>
      </c>
      <c r="O288" s="25" t="s">
        <v>2333</v>
      </c>
      <c r="P288" s="49" t="s">
        <v>2334</v>
      </c>
      <c r="Q288" s="49"/>
      <c r="R288" s="50" t="s">
        <v>44</v>
      </c>
      <c r="S288" s="52" t="s">
        <v>67</v>
      </c>
    </row>
    <row r="289" customFormat="false" ht="15" hidden="false" customHeight="true" outlineLevel="0" collapsed="false">
      <c r="A289" s="46" t="n">
        <v>291</v>
      </c>
      <c r="B289" s="24" t="s">
        <v>17</v>
      </c>
      <c r="C289" s="47"/>
      <c r="D289" s="47" t="s">
        <v>2176</v>
      </c>
      <c r="E289" s="46" t="s">
        <v>17</v>
      </c>
      <c r="F289" s="46" t="s">
        <v>2104</v>
      </c>
      <c r="G289" s="24" t="s">
        <v>2405</v>
      </c>
      <c r="H289" s="48" t="n">
        <v>5</v>
      </c>
      <c r="I289" s="46"/>
      <c r="J289" s="47" t="s">
        <v>3066</v>
      </c>
      <c r="K289" s="24" t="s">
        <v>3067</v>
      </c>
      <c r="L289" s="46" t="s">
        <v>3068</v>
      </c>
      <c r="M289" s="24" t="s">
        <v>2174</v>
      </c>
      <c r="N289" s="46" t="s">
        <v>2600</v>
      </c>
      <c r="O289" s="24" t="s">
        <v>2333</v>
      </c>
      <c r="P289" s="46" t="s">
        <v>2334</v>
      </c>
      <c r="Q289" s="46"/>
      <c r="R289" s="47" t="s">
        <v>44</v>
      </c>
      <c r="S289" s="52" t="s">
        <v>67</v>
      </c>
    </row>
    <row r="290" customFormat="false" ht="15" hidden="false" customHeight="true" outlineLevel="0" collapsed="false">
      <c r="A290" s="49" t="n">
        <v>292</v>
      </c>
      <c r="B290" s="25" t="s">
        <v>17</v>
      </c>
      <c r="C290" s="50"/>
      <c r="D290" s="50" t="s">
        <v>2176</v>
      </c>
      <c r="E290" s="49" t="s">
        <v>17</v>
      </c>
      <c r="F290" s="49" t="s">
        <v>2104</v>
      </c>
      <c r="G290" s="25" t="s">
        <v>2405</v>
      </c>
      <c r="H290" s="51" t="n">
        <v>5</v>
      </c>
      <c r="I290" s="49"/>
      <c r="J290" s="50" t="s">
        <v>3069</v>
      </c>
      <c r="K290" s="25" t="s">
        <v>2821</v>
      </c>
      <c r="L290" s="49" t="s">
        <v>3070</v>
      </c>
      <c r="M290" s="25" t="s">
        <v>2174</v>
      </c>
      <c r="N290" s="49" t="s">
        <v>2600</v>
      </c>
      <c r="O290" s="25" t="s">
        <v>2333</v>
      </c>
      <c r="P290" s="49" t="s">
        <v>2334</v>
      </c>
      <c r="Q290" s="49"/>
      <c r="R290" s="50" t="s">
        <v>44</v>
      </c>
      <c r="S290" s="52" t="s">
        <v>67</v>
      </c>
    </row>
    <row r="291" customFormat="false" ht="15" hidden="false" customHeight="true" outlineLevel="0" collapsed="false">
      <c r="A291" s="46" t="n">
        <v>293</v>
      </c>
      <c r="B291" s="24" t="s">
        <v>17</v>
      </c>
      <c r="C291" s="47"/>
      <c r="D291" s="47" t="s">
        <v>2176</v>
      </c>
      <c r="E291" s="46" t="s">
        <v>17</v>
      </c>
      <c r="F291" s="46" t="s">
        <v>2104</v>
      </c>
      <c r="G291" s="24" t="s">
        <v>2405</v>
      </c>
      <c r="H291" s="48" t="n">
        <v>5</v>
      </c>
      <c r="I291" s="46"/>
      <c r="J291" s="47" t="s">
        <v>3071</v>
      </c>
      <c r="K291" s="24" t="s">
        <v>2608</v>
      </c>
      <c r="L291" s="46" t="s">
        <v>3072</v>
      </c>
      <c r="M291" s="24" t="s">
        <v>2174</v>
      </c>
      <c r="N291" s="46" t="s">
        <v>2600</v>
      </c>
      <c r="O291" s="24" t="s">
        <v>2333</v>
      </c>
      <c r="P291" s="46" t="s">
        <v>2334</v>
      </c>
      <c r="Q291" s="46"/>
      <c r="R291" s="47" t="s">
        <v>44</v>
      </c>
      <c r="S291" s="52" t="s">
        <v>67</v>
      </c>
    </row>
    <row r="292" customFormat="false" ht="15" hidden="false" customHeight="true" outlineLevel="0" collapsed="false">
      <c r="A292" s="49" t="n">
        <v>294</v>
      </c>
      <c r="B292" s="25" t="s">
        <v>17</v>
      </c>
      <c r="C292" s="50"/>
      <c r="D292" s="50" t="s">
        <v>2176</v>
      </c>
      <c r="E292" s="49" t="s">
        <v>17</v>
      </c>
      <c r="F292" s="49" t="s">
        <v>2104</v>
      </c>
      <c r="G292" s="25" t="s">
        <v>2405</v>
      </c>
      <c r="H292" s="51" t="n">
        <v>5</v>
      </c>
      <c r="I292" s="49"/>
      <c r="J292" s="50" t="s">
        <v>3073</v>
      </c>
      <c r="K292" s="25" t="s">
        <v>3074</v>
      </c>
      <c r="L292" s="49" t="s">
        <v>3075</v>
      </c>
      <c r="M292" s="25" t="s">
        <v>2174</v>
      </c>
      <c r="N292" s="49" t="s">
        <v>2600</v>
      </c>
      <c r="O292" s="25" t="s">
        <v>2333</v>
      </c>
      <c r="P292" s="49" t="s">
        <v>2334</v>
      </c>
      <c r="Q292" s="49"/>
      <c r="R292" s="50" t="s">
        <v>44</v>
      </c>
      <c r="S292" s="52" t="s">
        <v>67</v>
      </c>
    </row>
    <row r="293" customFormat="false" ht="15" hidden="false" customHeight="true" outlineLevel="0" collapsed="false">
      <c r="A293" s="46" t="n">
        <v>295</v>
      </c>
      <c r="B293" s="24" t="s">
        <v>17</v>
      </c>
      <c r="C293" s="47"/>
      <c r="D293" s="47" t="s">
        <v>2176</v>
      </c>
      <c r="E293" s="46" t="s">
        <v>17</v>
      </c>
      <c r="F293" s="46" t="s">
        <v>2104</v>
      </c>
      <c r="G293" s="24" t="s">
        <v>2405</v>
      </c>
      <c r="H293" s="48" t="n">
        <v>5</v>
      </c>
      <c r="I293" s="46"/>
      <c r="J293" s="47" t="s">
        <v>3076</v>
      </c>
      <c r="K293" s="24" t="s">
        <v>3077</v>
      </c>
      <c r="L293" s="46" t="s">
        <v>3078</v>
      </c>
      <c r="M293" s="24" t="s">
        <v>2174</v>
      </c>
      <c r="N293" s="46" t="s">
        <v>2600</v>
      </c>
      <c r="O293" s="24" t="s">
        <v>2333</v>
      </c>
      <c r="P293" s="46" t="s">
        <v>2334</v>
      </c>
      <c r="Q293" s="46"/>
      <c r="R293" s="47" t="s">
        <v>44</v>
      </c>
      <c r="S293" s="52" t="s">
        <v>67</v>
      </c>
    </row>
    <row r="294" customFormat="false" ht="15" hidden="false" customHeight="true" outlineLevel="0" collapsed="false">
      <c r="A294" s="49" t="n">
        <v>296</v>
      </c>
      <c r="B294" s="25" t="s">
        <v>17</v>
      </c>
      <c r="C294" s="50"/>
      <c r="D294" s="50" t="s">
        <v>2176</v>
      </c>
      <c r="E294" s="49" t="s">
        <v>17</v>
      </c>
      <c r="F294" s="49" t="s">
        <v>2104</v>
      </c>
      <c r="G294" s="25" t="s">
        <v>2405</v>
      </c>
      <c r="H294" s="51" t="n">
        <v>5</v>
      </c>
      <c r="I294" s="49"/>
      <c r="J294" s="50" t="s">
        <v>3079</v>
      </c>
      <c r="K294" s="25" t="s">
        <v>3080</v>
      </c>
      <c r="L294" s="49" t="s">
        <v>3075</v>
      </c>
      <c r="M294" s="25" t="s">
        <v>2174</v>
      </c>
      <c r="N294" s="49" t="s">
        <v>2600</v>
      </c>
      <c r="O294" s="25" t="s">
        <v>2333</v>
      </c>
      <c r="P294" s="49" t="s">
        <v>2334</v>
      </c>
      <c r="Q294" s="49"/>
      <c r="R294" s="50" t="s">
        <v>44</v>
      </c>
      <c r="S294" s="52" t="s">
        <v>67</v>
      </c>
    </row>
    <row r="295" customFormat="false" ht="15" hidden="false" customHeight="true" outlineLevel="0" collapsed="false">
      <c r="A295" s="46" t="n">
        <v>299</v>
      </c>
      <c r="B295" s="24" t="s">
        <v>3081</v>
      </c>
      <c r="C295" s="47"/>
      <c r="D295" s="47" t="s">
        <v>3082</v>
      </c>
      <c r="E295" s="46" t="s">
        <v>19</v>
      </c>
      <c r="F295" s="46" t="s">
        <v>2104</v>
      </c>
      <c r="G295" s="24" t="s">
        <v>3083</v>
      </c>
      <c r="H295" s="48" t="n">
        <v>5</v>
      </c>
      <c r="I295" s="46" t="s">
        <v>3084</v>
      </c>
      <c r="J295" s="47" t="s">
        <v>3085</v>
      </c>
      <c r="K295" s="24" t="s">
        <v>3086</v>
      </c>
      <c r="L295" s="46" t="s">
        <v>3087</v>
      </c>
      <c r="M295" s="24" t="s">
        <v>2388</v>
      </c>
      <c r="N295" s="46" t="s">
        <v>2216</v>
      </c>
      <c r="O295" s="24" t="s">
        <v>3088</v>
      </c>
      <c r="P295" s="46" t="s">
        <v>3089</v>
      </c>
      <c r="Q295" s="46"/>
      <c r="R295" s="47" t="s">
        <v>44</v>
      </c>
      <c r="S295" s="47"/>
    </row>
    <row r="296" customFormat="false" ht="15" hidden="false" customHeight="true" outlineLevel="0" collapsed="false">
      <c r="A296" s="49" t="n">
        <v>300</v>
      </c>
      <c r="B296" s="25" t="s">
        <v>3090</v>
      </c>
      <c r="C296" s="50"/>
      <c r="D296" s="50" t="s">
        <v>2217</v>
      </c>
      <c r="E296" s="49" t="s">
        <v>19</v>
      </c>
      <c r="F296" s="49" t="s">
        <v>2104</v>
      </c>
      <c r="G296" s="25" t="s">
        <v>3091</v>
      </c>
      <c r="H296" s="51" t="n">
        <v>5</v>
      </c>
      <c r="I296" s="49" t="s">
        <v>3092</v>
      </c>
      <c r="J296" s="50" t="s">
        <v>3093</v>
      </c>
      <c r="K296" s="25" t="s">
        <v>3094</v>
      </c>
      <c r="L296" s="49" t="s">
        <v>3095</v>
      </c>
      <c r="M296" s="25" t="s">
        <v>3096</v>
      </c>
      <c r="N296" s="49" t="s">
        <v>3097</v>
      </c>
      <c r="O296" s="25" t="s">
        <v>3098</v>
      </c>
      <c r="P296" s="49" t="s">
        <v>3089</v>
      </c>
      <c r="Q296" s="49"/>
      <c r="R296" s="50" t="s">
        <v>44</v>
      </c>
      <c r="S296" s="50"/>
    </row>
    <row r="297" customFormat="false" ht="15" hidden="false" customHeight="true" outlineLevel="0" collapsed="false">
      <c r="A297" s="46" t="n">
        <v>301</v>
      </c>
      <c r="B297" s="24" t="s">
        <v>3099</v>
      </c>
      <c r="C297" s="47"/>
      <c r="D297" s="47" t="s">
        <v>3100</v>
      </c>
      <c r="E297" s="46" t="s">
        <v>19</v>
      </c>
      <c r="F297" s="46" t="s">
        <v>2104</v>
      </c>
      <c r="G297" s="24" t="s">
        <v>3101</v>
      </c>
      <c r="H297" s="48" t="n">
        <v>5</v>
      </c>
      <c r="I297" s="46" t="s">
        <v>3102</v>
      </c>
      <c r="J297" s="47" t="s">
        <v>3103</v>
      </c>
      <c r="K297" s="24" t="s">
        <v>3104</v>
      </c>
      <c r="L297" s="46" t="s">
        <v>3105</v>
      </c>
      <c r="M297" s="24" t="s">
        <v>3106</v>
      </c>
      <c r="N297" s="46" t="s">
        <v>3107</v>
      </c>
      <c r="O297" s="24"/>
      <c r="P297" s="46"/>
      <c r="Q297" s="46"/>
      <c r="R297" s="47" t="s">
        <v>44</v>
      </c>
      <c r="S297" s="52" t="s">
        <v>3108</v>
      </c>
    </row>
    <row r="298" customFormat="false" ht="15" hidden="false" customHeight="true" outlineLevel="0" collapsed="false">
      <c r="A298" s="49" t="n">
        <v>302</v>
      </c>
      <c r="B298" s="25" t="s">
        <v>3109</v>
      </c>
      <c r="C298" s="50"/>
      <c r="D298" s="50" t="s">
        <v>3110</v>
      </c>
      <c r="E298" s="49" t="s">
        <v>19</v>
      </c>
      <c r="F298" s="49" t="s">
        <v>2104</v>
      </c>
      <c r="G298" s="25" t="s">
        <v>3111</v>
      </c>
      <c r="H298" s="51" t="n">
        <v>22</v>
      </c>
      <c r="I298" s="49"/>
      <c r="J298" s="50" t="s">
        <v>3112</v>
      </c>
      <c r="K298" s="25" t="s">
        <v>3113</v>
      </c>
      <c r="L298" s="49" t="s">
        <v>3114</v>
      </c>
      <c r="M298" s="25" t="s">
        <v>2693</v>
      </c>
      <c r="N298" s="49" t="s">
        <v>3115</v>
      </c>
      <c r="O298" s="25"/>
      <c r="P298" s="49"/>
      <c r="Q298" s="49"/>
      <c r="R298" s="50" t="s">
        <v>48</v>
      </c>
      <c r="S298" s="52" t="s">
        <v>3116</v>
      </c>
    </row>
    <row r="299" customFormat="false" ht="15" hidden="false" customHeight="true" outlineLevel="0" collapsed="false">
      <c r="A299" s="46" t="n">
        <v>304</v>
      </c>
      <c r="B299" s="24" t="s">
        <v>3117</v>
      </c>
      <c r="C299" s="47"/>
      <c r="D299" s="47" t="s">
        <v>3118</v>
      </c>
      <c r="E299" s="46" t="s">
        <v>19</v>
      </c>
      <c r="F299" s="46" t="s">
        <v>2104</v>
      </c>
      <c r="G299" s="24" t="s">
        <v>3119</v>
      </c>
      <c r="H299" s="48" t="n">
        <v>5</v>
      </c>
      <c r="I299" s="46" t="s">
        <v>3102</v>
      </c>
      <c r="J299" s="47" t="s">
        <v>3120</v>
      </c>
      <c r="K299" s="24" t="s">
        <v>3121</v>
      </c>
      <c r="L299" s="46" t="s">
        <v>3122</v>
      </c>
      <c r="M299" s="24" t="s">
        <v>3123</v>
      </c>
      <c r="N299" s="46" t="s">
        <v>3124</v>
      </c>
      <c r="O299" s="24"/>
      <c r="P299" s="46"/>
      <c r="Q299" s="46"/>
      <c r="R299" s="47" t="s">
        <v>44</v>
      </c>
      <c r="S299" s="52" t="s">
        <v>69</v>
      </c>
    </row>
    <row r="300" customFormat="false" ht="15" hidden="false" customHeight="true" outlineLevel="0" collapsed="false">
      <c r="A300" s="49" t="n">
        <v>305</v>
      </c>
      <c r="B300" s="25" t="s">
        <v>3125</v>
      </c>
      <c r="C300" s="50"/>
      <c r="D300" s="50" t="s">
        <v>3126</v>
      </c>
      <c r="E300" s="49" t="s">
        <v>19</v>
      </c>
      <c r="F300" s="49" t="s">
        <v>2104</v>
      </c>
      <c r="G300" s="25" t="s">
        <v>2335</v>
      </c>
      <c r="H300" s="51" t="n">
        <v>5</v>
      </c>
      <c r="I300" s="49" t="s">
        <v>3127</v>
      </c>
      <c r="J300" s="50" t="s">
        <v>3128</v>
      </c>
      <c r="K300" s="25" t="s">
        <v>3129</v>
      </c>
      <c r="L300" s="49" t="s">
        <v>3130</v>
      </c>
      <c r="M300" s="25" t="s">
        <v>3131</v>
      </c>
      <c r="N300" s="49" t="s">
        <v>3132</v>
      </c>
      <c r="O300" s="25"/>
      <c r="P300" s="49"/>
      <c r="Q300" s="49"/>
      <c r="R300" s="50" t="s">
        <v>48</v>
      </c>
      <c r="S300" s="52" t="s">
        <v>69</v>
      </c>
    </row>
    <row r="301" customFormat="false" ht="15" hidden="false" customHeight="true" outlineLevel="0" collapsed="false">
      <c r="A301" s="46" t="n">
        <v>306</v>
      </c>
      <c r="B301" s="24" t="s">
        <v>3109</v>
      </c>
      <c r="C301" s="47"/>
      <c r="D301" s="47" t="s">
        <v>3110</v>
      </c>
      <c r="E301" s="46" t="s">
        <v>19</v>
      </c>
      <c r="F301" s="46" t="s">
        <v>2104</v>
      </c>
      <c r="G301" s="24" t="s">
        <v>3133</v>
      </c>
      <c r="H301" s="48" t="n">
        <v>13</v>
      </c>
      <c r="I301" s="46" t="s">
        <v>3134</v>
      </c>
      <c r="J301" s="47" t="s">
        <v>3135</v>
      </c>
      <c r="K301" s="24" t="s">
        <v>3113</v>
      </c>
      <c r="L301" s="46" t="s">
        <v>3136</v>
      </c>
      <c r="M301" s="24" t="s">
        <v>2693</v>
      </c>
      <c r="N301" s="46" t="s">
        <v>3115</v>
      </c>
      <c r="O301" s="24"/>
      <c r="P301" s="46"/>
      <c r="Q301" s="46"/>
      <c r="R301" s="47" t="s">
        <v>44</v>
      </c>
      <c r="S301" s="52" t="s">
        <v>69</v>
      </c>
    </row>
    <row r="302" customFormat="false" ht="15" hidden="false" customHeight="true" outlineLevel="0" collapsed="false">
      <c r="A302" s="49" t="n">
        <v>307</v>
      </c>
      <c r="B302" s="25" t="s">
        <v>3137</v>
      </c>
      <c r="C302" s="50"/>
      <c r="D302" s="50" t="s">
        <v>2218</v>
      </c>
      <c r="E302" s="49" t="s">
        <v>19</v>
      </c>
      <c r="F302" s="49" t="s">
        <v>2104</v>
      </c>
      <c r="G302" s="25" t="s">
        <v>3138</v>
      </c>
      <c r="H302" s="51" t="n">
        <v>5</v>
      </c>
      <c r="I302" s="49" t="s">
        <v>3139</v>
      </c>
      <c r="J302" s="50" t="s">
        <v>3140</v>
      </c>
      <c r="K302" s="25" t="s">
        <v>3141</v>
      </c>
      <c r="L302" s="49" t="s">
        <v>3142</v>
      </c>
      <c r="M302" s="25" t="s">
        <v>3143</v>
      </c>
      <c r="N302" s="49" t="s">
        <v>3144</v>
      </c>
      <c r="O302" s="25"/>
      <c r="P302" s="49"/>
      <c r="Q302" s="49"/>
      <c r="R302" s="50" t="s">
        <v>44</v>
      </c>
      <c r="S302" s="52" t="s">
        <v>69</v>
      </c>
    </row>
    <row r="303" customFormat="false" ht="15" hidden="false" customHeight="true" outlineLevel="0" collapsed="false">
      <c r="A303" s="46" t="n">
        <v>310</v>
      </c>
      <c r="B303" s="24" t="s">
        <v>3145</v>
      </c>
      <c r="C303" s="47"/>
      <c r="D303" s="47" t="s">
        <v>3146</v>
      </c>
      <c r="E303" s="46" t="s">
        <v>19</v>
      </c>
      <c r="F303" s="46" t="s">
        <v>2104</v>
      </c>
      <c r="G303" s="24" t="s">
        <v>3147</v>
      </c>
      <c r="H303" s="48" t="n">
        <v>5</v>
      </c>
      <c r="I303" s="46" t="s">
        <v>3084</v>
      </c>
      <c r="J303" s="47" t="s">
        <v>3148</v>
      </c>
      <c r="K303" s="24" t="s">
        <v>3149</v>
      </c>
      <c r="L303" s="46" t="s">
        <v>3150</v>
      </c>
      <c r="M303" s="24" t="s">
        <v>3151</v>
      </c>
      <c r="N303" s="46" t="s">
        <v>3152</v>
      </c>
      <c r="O303" s="24"/>
      <c r="P303" s="46"/>
      <c r="Q303" s="46"/>
      <c r="R303" s="47" t="s">
        <v>44</v>
      </c>
      <c r="S303" s="52" t="s">
        <v>69</v>
      </c>
    </row>
    <row r="304" customFormat="false" ht="15" hidden="false" customHeight="true" outlineLevel="0" collapsed="false">
      <c r="A304" s="49" t="n">
        <v>311</v>
      </c>
      <c r="B304" s="25" t="s">
        <v>3153</v>
      </c>
      <c r="C304" s="50"/>
      <c r="D304" s="50" t="s">
        <v>3110</v>
      </c>
      <c r="E304" s="49" t="s">
        <v>19</v>
      </c>
      <c r="F304" s="49" t="s">
        <v>2104</v>
      </c>
      <c r="G304" s="25" t="s">
        <v>3154</v>
      </c>
      <c r="H304" s="51" t="n">
        <v>5</v>
      </c>
      <c r="I304" s="49" t="s">
        <v>3155</v>
      </c>
      <c r="J304" s="50" t="s">
        <v>3156</v>
      </c>
      <c r="K304" s="25" t="s">
        <v>3157</v>
      </c>
      <c r="L304" s="49" t="s">
        <v>3158</v>
      </c>
      <c r="M304" s="25" t="s">
        <v>3159</v>
      </c>
      <c r="N304" s="49" t="s">
        <v>3160</v>
      </c>
      <c r="O304" s="25"/>
      <c r="P304" s="49"/>
      <c r="Q304" s="49"/>
      <c r="R304" s="50" t="s">
        <v>48</v>
      </c>
      <c r="S304" s="52" t="s">
        <v>69</v>
      </c>
    </row>
    <row r="305" customFormat="false" ht="15" hidden="false" customHeight="true" outlineLevel="0" collapsed="false">
      <c r="A305" s="46" t="n">
        <v>312</v>
      </c>
      <c r="B305" s="24" t="s">
        <v>3161</v>
      </c>
      <c r="C305" s="47"/>
      <c r="D305" s="47" t="s">
        <v>2217</v>
      </c>
      <c r="E305" s="46" t="s">
        <v>19</v>
      </c>
      <c r="F305" s="46" t="s">
        <v>2104</v>
      </c>
      <c r="G305" s="24" t="s">
        <v>3162</v>
      </c>
      <c r="H305" s="48" t="n">
        <v>5</v>
      </c>
      <c r="I305" s="46" t="s">
        <v>3102</v>
      </c>
      <c r="J305" s="47" t="s">
        <v>3163</v>
      </c>
      <c r="K305" s="24" t="s">
        <v>3164</v>
      </c>
      <c r="L305" s="46" t="s">
        <v>3165</v>
      </c>
      <c r="M305" s="24" t="s">
        <v>3096</v>
      </c>
      <c r="N305" s="46" t="s">
        <v>3097</v>
      </c>
      <c r="O305" s="24"/>
      <c r="P305" s="46"/>
      <c r="Q305" s="46"/>
      <c r="R305" s="47" t="s">
        <v>44</v>
      </c>
      <c r="S305" s="52" t="s">
        <v>69</v>
      </c>
    </row>
    <row r="306" customFormat="false" ht="15" hidden="false" customHeight="true" outlineLevel="0" collapsed="false">
      <c r="A306" s="49" t="n">
        <v>313</v>
      </c>
      <c r="B306" s="25" t="s">
        <v>3117</v>
      </c>
      <c r="C306" s="50"/>
      <c r="D306" s="50" t="s">
        <v>3118</v>
      </c>
      <c r="E306" s="49" t="s">
        <v>19</v>
      </c>
      <c r="F306" s="49" t="s">
        <v>2104</v>
      </c>
      <c r="G306" s="25" t="s">
        <v>3166</v>
      </c>
      <c r="H306" s="51" t="n">
        <v>5</v>
      </c>
      <c r="I306" s="49" t="s">
        <v>3102</v>
      </c>
      <c r="J306" s="50" t="s">
        <v>3167</v>
      </c>
      <c r="K306" s="25" t="s">
        <v>3121</v>
      </c>
      <c r="L306" s="49" t="s">
        <v>3122</v>
      </c>
      <c r="M306" s="25" t="s">
        <v>3123</v>
      </c>
      <c r="N306" s="49" t="s">
        <v>3124</v>
      </c>
      <c r="O306" s="25"/>
      <c r="P306" s="49"/>
      <c r="Q306" s="49"/>
      <c r="R306" s="50" t="s">
        <v>44</v>
      </c>
      <c r="S306" s="52" t="s">
        <v>69</v>
      </c>
    </row>
    <row r="307" customFormat="false" ht="15" hidden="false" customHeight="true" outlineLevel="0" collapsed="false">
      <c r="A307" s="46" t="n">
        <v>314</v>
      </c>
      <c r="B307" s="24" t="s">
        <v>3168</v>
      </c>
      <c r="C307" s="47"/>
      <c r="D307" s="47" t="s">
        <v>3169</v>
      </c>
      <c r="E307" s="46" t="s">
        <v>19</v>
      </c>
      <c r="F307" s="46" t="s">
        <v>2104</v>
      </c>
      <c r="G307" s="24" t="s">
        <v>3170</v>
      </c>
      <c r="H307" s="48" t="n">
        <v>5</v>
      </c>
      <c r="I307" s="46" t="s">
        <v>3171</v>
      </c>
      <c r="J307" s="47" t="s">
        <v>3103</v>
      </c>
      <c r="K307" s="24" t="s">
        <v>3172</v>
      </c>
      <c r="L307" s="46" t="s">
        <v>3173</v>
      </c>
      <c r="M307" s="24" t="s">
        <v>3174</v>
      </c>
      <c r="N307" s="46" t="s">
        <v>3175</v>
      </c>
      <c r="O307" s="24"/>
      <c r="P307" s="46"/>
      <c r="Q307" s="46"/>
      <c r="R307" s="47" t="s">
        <v>48</v>
      </c>
      <c r="S307" s="52" t="s">
        <v>3108</v>
      </c>
    </row>
    <row r="308" customFormat="false" ht="15" hidden="false" customHeight="true" outlineLevel="0" collapsed="false">
      <c r="A308" s="49" t="n">
        <v>315</v>
      </c>
      <c r="B308" s="25" t="s">
        <v>3176</v>
      </c>
      <c r="C308" s="50"/>
      <c r="D308" s="50" t="s">
        <v>3177</v>
      </c>
      <c r="E308" s="49" t="s">
        <v>19</v>
      </c>
      <c r="F308" s="49" t="s">
        <v>2104</v>
      </c>
      <c r="G308" s="25" t="s">
        <v>3178</v>
      </c>
      <c r="H308" s="51" t="n">
        <v>5</v>
      </c>
      <c r="I308" s="49" t="s">
        <v>3102</v>
      </c>
      <c r="J308" s="50" t="s">
        <v>3179</v>
      </c>
      <c r="K308" s="25" t="s">
        <v>3180</v>
      </c>
      <c r="L308" s="49" t="s">
        <v>3181</v>
      </c>
      <c r="M308" s="25" t="s">
        <v>2763</v>
      </c>
      <c r="N308" s="49" t="s">
        <v>3182</v>
      </c>
      <c r="O308" s="25"/>
      <c r="P308" s="49"/>
      <c r="Q308" s="49"/>
      <c r="R308" s="50" t="s">
        <v>44</v>
      </c>
      <c r="S308" s="52" t="s">
        <v>69</v>
      </c>
    </row>
    <row r="309" customFormat="false" ht="15" hidden="false" customHeight="true" outlineLevel="0" collapsed="false">
      <c r="A309" s="46" t="n">
        <v>316</v>
      </c>
      <c r="B309" s="24" t="s">
        <v>3183</v>
      </c>
      <c r="C309" s="47"/>
      <c r="D309" s="47" t="s">
        <v>3184</v>
      </c>
      <c r="E309" s="46" t="s">
        <v>19</v>
      </c>
      <c r="F309" s="46" t="s">
        <v>2104</v>
      </c>
      <c r="G309" s="24" t="s">
        <v>3185</v>
      </c>
      <c r="H309" s="48" t="n">
        <v>5</v>
      </c>
      <c r="I309" s="46" t="s">
        <v>3139</v>
      </c>
      <c r="J309" s="47" t="s">
        <v>3186</v>
      </c>
      <c r="K309" s="24" t="s">
        <v>3113</v>
      </c>
      <c r="L309" s="46" t="s">
        <v>3187</v>
      </c>
      <c r="M309" s="24" t="s">
        <v>3188</v>
      </c>
      <c r="N309" s="46" t="s">
        <v>3189</v>
      </c>
      <c r="O309" s="24"/>
      <c r="P309" s="46"/>
      <c r="Q309" s="46"/>
      <c r="R309" s="47" t="s">
        <v>44</v>
      </c>
      <c r="S309" s="52" t="s">
        <v>69</v>
      </c>
    </row>
    <row r="310" customFormat="false" ht="15" hidden="false" customHeight="true" outlineLevel="0" collapsed="false">
      <c r="A310" s="49" t="n">
        <v>317</v>
      </c>
      <c r="B310" s="25" t="s">
        <v>3090</v>
      </c>
      <c r="C310" s="50"/>
      <c r="D310" s="50" t="s">
        <v>2217</v>
      </c>
      <c r="E310" s="49" t="s">
        <v>19</v>
      </c>
      <c r="F310" s="49" t="s">
        <v>2104</v>
      </c>
      <c r="G310" s="25" t="s">
        <v>3190</v>
      </c>
      <c r="H310" s="51" t="n">
        <v>5</v>
      </c>
      <c r="I310" s="49"/>
      <c r="J310" s="50" t="s">
        <v>3191</v>
      </c>
      <c r="K310" s="25" t="s">
        <v>3094</v>
      </c>
      <c r="L310" s="49" t="s">
        <v>3095</v>
      </c>
      <c r="M310" s="25" t="s">
        <v>3096</v>
      </c>
      <c r="N310" s="49" t="s">
        <v>3097</v>
      </c>
      <c r="O310" s="25"/>
      <c r="P310" s="49"/>
      <c r="Q310" s="49"/>
      <c r="R310" s="50" t="s">
        <v>44</v>
      </c>
      <c r="S310" s="52" t="s">
        <v>3116</v>
      </c>
    </row>
    <row r="311" customFormat="false" ht="15" hidden="false" customHeight="true" outlineLevel="0" collapsed="false">
      <c r="A311" s="46" t="n">
        <v>318</v>
      </c>
      <c r="B311" s="24" t="s">
        <v>3183</v>
      </c>
      <c r="C311" s="47"/>
      <c r="D311" s="47" t="s">
        <v>3184</v>
      </c>
      <c r="E311" s="46" t="s">
        <v>19</v>
      </c>
      <c r="F311" s="46" t="s">
        <v>2104</v>
      </c>
      <c r="G311" s="24" t="s">
        <v>3192</v>
      </c>
      <c r="H311" s="48" t="n">
        <v>5</v>
      </c>
      <c r="I311" s="46"/>
      <c r="J311" s="47" t="s">
        <v>3186</v>
      </c>
      <c r="K311" s="24" t="s">
        <v>3193</v>
      </c>
      <c r="L311" s="46" t="s">
        <v>3187</v>
      </c>
      <c r="M311" s="24" t="s">
        <v>3188</v>
      </c>
      <c r="N311" s="46" t="s">
        <v>3189</v>
      </c>
      <c r="O311" s="24"/>
      <c r="P311" s="46"/>
      <c r="Q311" s="46"/>
      <c r="R311" s="47" t="s">
        <v>44</v>
      </c>
      <c r="S311" s="52" t="s">
        <v>3116</v>
      </c>
    </row>
    <row r="312" customFormat="false" ht="15" hidden="false" customHeight="true" outlineLevel="0" collapsed="false">
      <c r="A312" s="49" t="n">
        <v>319</v>
      </c>
      <c r="B312" s="25" t="s">
        <v>3117</v>
      </c>
      <c r="C312" s="50"/>
      <c r="D312" s="50" t="s">
        <v>3118</v>
      </c>
      <c r="E312" s="49" t="s">
        <v>19</v>
      </c>
      <c r="F312" s="49" t="s">
        <v>2104</v>
      </c>
      <c r="G312" s="25" t="s">
        <v>3194</v>
      </c>
      <c r="H312" s="51" t="n">
        <v>5</v>
      </c>
      <c r="I312" s="49" t="s">
        <v>3092</v>
      </c>
      <c r="J312" s="50" t="s">
        <v>3195</v>
      </c>
      <c r="K312" s="25" t="s">
        <v>3196</v>
      </c>
      <c r="L312" s="49" t="s">
        <v>3197</v>
      </c>
      <c r="M312" s="25" t="s">
        <v>3123</v>
      </c>
      <c r="N312" s="49" t="s">
        <v>3124</v>
      </c>
      <c r="O312" s="25"/>
      <c r="P312" s="49"/>
      <c r="Q312" s="49"/>
      <c r="R312" s="50" t="s">
        <v>50</v>
      </c>
      <c r="S312" s="52" t="s">
        <v>69</v>
      </c>
    </row>
    <row r="313" customFormat="false" ht="15" hidden="false" customHeight="true" outlineLevel="0" collapsed="false">
      <c r="A313" s="46" t="n">
        <v>320</v>
      </c>
      <c r="B313" s="24" t="s">
        <v>3090</v>
      </c>
      <c r="C313" s="47"/>
      <c r="D313" s="47" t="s">
        <v>2217</v>
      </c>
      <c r="E313" s="46" t="s">
        <v>19</v>
      </c>
      <c r="F313" s="46" t="s">
        <v>2104</v>
      </c>
      <c r="G313" s="24" t="s">
        <v>3198</v>
      </c>
      <c r="H313" s="48" t="n">
        <v>5</v>
      </c>
      <c r="I313" s="46" t="s">
        <v>3092</v>
      </c>
      <c r="J313" s="47" t="s">
        <v>3199</v>
      </c>
      <c r="K313" s="24" t="s">
        <v>3094</v>
      </c>
      <c r="L313" s="46" t="s">
        <v>3095</v>
      </c>
      <c r="M313" s="24" t="s">
        <v>3096</v>
      </c>
      <c r="N313" s="46" t="s">
        <v>3097</v>
      </c>
      <c r="O313" s="24"/>
      <c r="P313" s="46"/>
      <c r="Q313" s="46"/>
      <c r="R313" s="47" t="s">
        <v>44</v>
      </c>
      <c r="S313" s="52" t="s">
        <v>69</v>
      </c>
    </row>
    <row r="314" customFormat="false" ht="15" hidden="false" customHeight="true" outlineLevel="0" collapsed="false">
      <c r="A314" s="49" t="n">
        <v>321</v>
      </c>
      <c r="B314" s="25" t="s">
        <v>3161</v>
      </c>
      <c r="C314" s="50"/>
      <c r="D314" s="50" t="s">
        <v>2217</v>
      </c>
      <c r="E314" s="49" t="s">
        <v>19</v>
      </c>
      <c r="F314" s="49" t="s">
        <v>2104</v>
      </c>
      <c r="G314" s="25" t="s">
        <v>3200</v>
      </c>
      <c r="H314" s="51" t="n">
        <v>5</v>
      </c>
      <c r="I314" s="49" t="s">
        <v>3092</v>
      </c>
      <c r="J314" s="50" t="s">
        <v>3163</v>
      </c>
      <c r="K314" s="25" t="s">
        <v>3164</v>
      </c>
      <c r="L314" s="49" t="s">
        <v>3165</v>
      </c>
      <c r="M314" s="25" t="s">
        <v>3096</v>
      </c>
      <c r="N314" s="49" t="s">
        <v>3097</v>
      </c>
      <c r="O314" s="25"/>
      <c r="P314" s="49"/>
      <c r="Q314" s="49"/>
      <c r="R314" s="50" t="s">
        <v>44</v>
      </c>
      <c r="S314" s="52" t="s">
        <v>69</v>
      </c>
    </row>
    <row r="315" customFormat="false" ht="15" hidden="false" customHeight="true" outlineLevel="0" collapsed="false">
      <c r="A315" s="46" t="n">
        <v>322</v>
      </c>
      <c r="B315" s="24" t="s">
        <v>3117</v>
      </c>
      <c r="C315" s="47"/>
      <c r="D315" s="47" t="s">
        <v>3118</v>
      </c>
      <c r="E315" s="46" t="s">
        <v>19</v>
      </c>
      <c r="F315" s="46" t="s">
        <v>2104</v>
      </c>
      <c r="G315" s="24" t="s">
        <v>3201</v>
      </c>
      <c r="H315" s="48" t="n">
        <v>5</v>
      </c>
      <c r="I315" s="46" t="s">
        <v>3139</v>
      </c>
      <c r="J315" s="47" t="s">
        <v>3202</v>
      </c>
      <c r="K315" s="24" t="s">
        <v>3196</v>
      </c>
      <c r="L315" s="46" t="s">
        <v>3197</v>
      </c>
      <c r="M315" s="24" t="s">
        <v>3123</v>
      </c>
      <c r="N315" s="46" t="s">
        <v>3124</v>
      </c>
      <c r="O315" s="24"/>
      <c r="P315" s="46"/>
      <c r="Q315" s="46"/>
      <c r="R315" s="47" t="s">
        <v>44</v>
      </c>
      <c r="S315" s="52" t="s">
        <v>69</v>
      </c>
    </row>
    <row r="316" customFormat="false" ht="15" hidden="false" customHeight="true" outlineLevel="0" collapsed="false">
      <c r="A316" s="49" t="n">
        <v>324</v>
      </c>
      <c r="B316" s="25" t="s">
        <v>3203</v>
      </c>
      <c r="C316" s="50"/>
      <c r="D316" s="50" t="s">
        <v>3204</v>
      </c>
      <c r="E316" s="49" t="s">
        <v>3205</v>
      </c>
      <c r="F316" s="49" t="s">
        <v>3206</v>
      </c>
      <c r="G316" s="25" t="s">
        <v>3207</v>
      </c>
      <c r="H316" s="51" t="n">
        <v>5</v>
      </c>
      <c r="I316" s="49" t="s">
        <v>3084</v>
      </c>
      <c r="J316" s="50" t="s">
        <v>3208</v>
      </c>
      <c r="K316" s="25" t="s">
        <v>3209</v>
      </c>
      <c r="L316" s="49" t="s">
        <v>3210</v>
      </c>
      <c r="M316" s="25" t="s">
        <v>3211</v>
      </c>
      <c r="N316" s="49" t="s">
        <v>3212</v>
      </c>
      <c r="O316" s="25"/>
      <c r="P316" s="49"/>
      <c r="Q316" s="49"/>
      <c r="R316" s="50" t="s">
        <v>44</v>
      </c>
      <c r="S316" s="52" t="s">
        <v>3213</v>
      </c>
    </row>
    <row r="317" customFormat="false" ht="15" hidden="false" customHeight="true" outlineLevel="0" collapsed="false">
      <c r="A317" s="46" t="n">
        <v>325</v>
      </c>
      <c r="B317" s="24" t="s">
        <v>3137</v>
      </c>
      <c r="C317" s="47"/>
      <c r="D317" s="47" t="s">
        <v>2218</v>
      </c>
      <c r="E317" s="46" t="s">
        <v>19</v>
      </c>
      <c r="F317" s="46" t="s">
        <v>2104</v>
      </c>
      <c r="G317" s="24" t="s">
        <v>3214</v>
      </c>
      <c r="H317" s="48" t="n">
        <v>5</v>
      </c>
      <c r="I317" s="46" t="s">
        <v>3102</v>
      </c>
      <c r="J317" s="47" t="s">
        <v>3215</v>
      </c>
      <c r="K317" s="24" t="s">
        <v>3216</v>
      </c>
      <c r="L317" s="46" t="s">
        <v>3217</v>
      </c>
      <c r="M317" s="24" t="s">
        <v>3143</v>
      </c>
      <c r="N317" s="46" t="s">
        <v>3144</v>
      </c>
      <c r="O317" s="24"/>
      <c r="P317" s="46"/>
      <c r="Q317" s="46"/>
      <c r="R317" s="47" t="s">
        <v>44</v>
      </c>
      <c r="S317" s="52" t="s">
        <v>69</v>
      </c>
    </row>
    <row r="318" customFormat="false" ht="15" hidden="false" customHeight="true" outlineLevel="0" collapsed="false">
      <c r="A318" s="49" t="n">
        <v>326</v>
      </c>
      <c r="B318" s="25" t="s">
        <v>3218</v>
      </c>
      <c r="C318" s="50"/>
      <c r="D318" s="50" t="s">
        <v>2218</v>
      </c>
      <c r="E318" s="49" t="s">
        <v>19</v>
      </c>
      <c r="F318" s="49" t="s">
        <v>2104</v>
      </c>
      <c r="G318" s="25" t="s">
        <v>3219</v>
      </c>
      <c r="H318" s="51" t="n">
        <v>5</v>
      </c>
      <c r="I318" s="49" t="s">
        <v>3102</v>
      </c>
      <c r="J318" s="50" t="s">
        <v>3215</v>
      </c>
      <c r="K318" s="25" t="s">
        <v>3220</v>
      </c>
      <c r="L318" s="49" t="s">
        <v>3221</v>
      </c>
      <c r="M318" s="25" t="s">
        <v>3143</v>
      </c>
      <c r="N318" s="49" t="s">
        <v>3144</v>
      </c>
      <c r="O318" s="25"/>
      <c r="P318" s="49"/>
      <c r="Q318" s="49"/>
      <c r="R318" s="50" t="s">
        <v>44</v>
      </c>
      <c r="S318" s="52" t="s">
        <v>69</v>
      </c>
    </row>
    <row r="319" customFormat="false" ht="15" hidden="false" customHeight="true" outlineLevel="0" collapsed="false">
      <c r="A319" s="46" t="n">
        <v>327</v>
      </c>
      <c r="B319" s="24" t="s">
        <v>3222</v>
      </c>
      <c r="C319" s="47"/>
      <c r="D319" s="47" t="s">
        <v>2218</v>
      </c>
      <c r="E319" s="46" t="s">
        <v>19</v>
      </c>
      <c r="F319" s="46" t="s">
        <v>2104</v>
      </c>
      <c r="G319" s="24" t="s">
        <v>3219</v>
      </c>
      <c r="H319" s="48" t="n">
        <v>5</v>
      </c>
      <c r="I319" s="46" t="s">
        <v>3102</v>
      </c>
      <c r="J319" s="47" t="s">
        <v>3223</v>
      </c>
      <c r="K319" s="24" t="s">
        <v>3224</v>
      </c>
      <c r="L319" s="46" t="s">
        <v>3225</v>
      </c>
      <c r="M319" s="24" t="s">
        <v>3143</v>
      </c>
      <c r="N319" s="46" t="s">
        <v>3144</v>
      </c>
      <c r="O319" s="24"/>
      <c r="P319" s="46"/>
      <c r="Q319" s="46"/>
      <c r="R319" s="47" t="s">
        <v>44</v>
      </c>
      <c r="S319" s="52" t="s">
        <v>69</v>
      </c>
    </row>
    <row r="320" customFormat="false" ht="15" hidden="false" customHeight="true" outlineLevel="0" collapsed="false">
      <c r="A320" s="49" t="n">
        <v>328</v>
      </c>
      <c r="B320" s="25" t="s">
        <v>3203</v>
      </c>
      <c r="C320" s="50"/>
      <c r="D320" s="50" t="s">
        <v>3226</v>
      </c>
      <c r="E320" s="49" t="s">
        <v>19</v>
      </c>
      <c r="F320" s="49" t="s">
        <v>2104</v>
      </c>
      <c r="G320" s="25" t="s">
        <v>3207</v>
      </c>
      <c r="H320" s="51" t="n">
        <v>5</v>
      </c>
      <c r="I320" s="49" t="s">
        <v>3084</v>
      </c>
      <c r="J320" s="50" t="s">
        <v>3227</v>
      </c>
      <c r="K320" s="25" t="s">
        <v>3228</v>
      </c>
      <c r="L320" s="49" t="s">
        <v>3229</v>
      </c>
      <c r="M320" s="25" t="s">
        <v>3211</v>
      </c>
      <c r="N320" s="49" t="s">
        <v>3212</v>
      </c>
      <c r="O320" s="25"/>
      <c r="P320" s="49"/>
      <c r="Q320" s="49"/>
      <c r="R320" s="50" t="s">
        <v>44</v>
      </c>
      <c r="S320" s="52" t="s">
        <v>69</v>
      </c>
    </row>
    <row r="321" customFormat="false" ht="15" hidden="false" customHeight="true" outlineLevel="0" collapsed="false">
      <c r="A321" s="46" t="n">
        <v>329</v>
      </c>
      <c r="B321" s="24" t="s">
        <v>3203</v>
      </c>
      <c r="C321" s="47"/>
      <c r="D321" s="47" t="s">
        <v>3226</v>
      </c>
      <c r="E321" s="46" t="s">
        <v>19</v>
      </c>
      <c r="F321" s="46" t="s">
        <v>2104</v>
      </c>
      <c r="G321" s="24" t="s">
        <v>3178</v>
      </c>
      <c r="H321" s="48" t="n">
        <v>5</v>
      </c>
      <c r="I321" s="46" t="s">
        <v>3084</v>
      </c>
      <c r="J321" s="47" t="s">
        <v>3230</v>
      </c>
      <c r="K321" s="24" t="s">
        <v>3113</v>
      </c>
      <c r="L321" s="46" t="s">
        <v>3231</v>
      </c>
      <c r="M321" s="24" t="s">
        <v>3211</v>
      </c>
      <c r="N321" s="46" t="s">
        <v>3212</v>
      </c>
      <c r="O321" s="24"/>
      <c r="P321" s="46"/>
      <c r="Q321" s="46"/>
      <c r="R321" s="47" t="s">
        <v>44</v>
      </c>
      <c r="S321" s="52" t="s">
        <v>69</v>
      </c>
    </row>
    <row r="322" customFormat="false" ht="15" hidden="false" customHeight="true" outlineLevel="0" collapsed="false">
      <c r="A322" s="49" t="n">
        <v>330</v>
      </c>
      <c r="B322" s="25" t="s">
        <v>3203</v>
      </c>
      <c r="C322" s="50"/>
      <c r="D322" s="50" t="s">
        <v>3226</v>
      </c>
      <c r="E322" s="49" t="s">
        <v>19</v>
      </c>
      <c r="F322" s="49" t="s">
        <v>2104</v>
      </c>
      <c r="G322" s="25" t="s">
        <v>3178</v>
      </c>
      <c r="H322" s="51" t="n">
        <v>5</v>
      </c>
      <c r="I322" s="49" t="s">
        <v>3084</v>
      </c>
      <c r="J322" s="50" t="s">
        <v>3232</v>
      </c>
      <c r="K322" s="25" t="s">
        <v>3209</v>
      </c>
      <c r="L322" s="49" t="s">
        <v>3210</v>
      </c>
      <c r="M322" s="25" t="s">
        <v>3211</v>
      </c>
      <c r="N322" s="49" t="s">
        <v>3212</v>
      </c>
      <c r="O322" s="25"/>
      <c r="P322" s="49"/>
      <c r="Q322" s="49"/>
      <c r="R322" s="50" t="s">
        <v>44</v>
      </c>
      <c r="S322" s="52" t="s">
        <v>69</v>
      </c>
    </row>
    <row r="323" customFormat="false" ht="15" hidden="false" customHeight="true" outlineLevel="0" collapsed="false">
      <c r="A323" s="46" t="n">
        <v>331</v>
      </c>
      <c r="B323" s="24" t="s">
        <v>3203</v>
      </c>
      <c r="C323" s="47"/>
      <c r="D323" s="47" t="s">
        <v>3226</v>
      </c>
      <c r="E323" s="46" t="s">
        <v>19</v>
      </c>
      <c r="F323" s="46" t="s">
        <v>2104</v>
      </c>
      <c r="G323" s="24" t="s">
        <v>3233</v>
      </c>
      <c r="H323" s="48" t="n">
        <v>5</v>
      </c>
      <c r="I323" s="46" t="s">
        <v>3084</v>
      </c>
      <c r="J323" s="47" t="s">
        <v>3234</v>
      </c>
      <c r="K323" s="24" t="s">
        <v>3235</v>
      </c>
      <c r="L323" s="46" t="s">
        <v>3236</v>
      </c>
      <c r="M323" s="24" t="s">
        <v>3211</v>
      </c>
      <c r="N323" s="46" t="s">
        <v>3212</v>
      </c>
      <c r="O323" s="24"/>
      <c r="P323" s="46"/>
      <c r="Q323" s="46"/>
      <c r="R323" s="47" t="s">
        <v>44</v>
      </c>
      <c r="S323" s="52" t="s">
        <v>69</v>
      </c>
    </row>
    <row r="324" customFormat="false" ht="15" hidden="false" customHeight="true" outlineLevel="0" collapsed="false">
      <c r="A324" s="49" t="n">
        <v>332</v>
      </c>
      <c r="B324" s="25" t="s">
        <v>3203</v>
      </c>
      <c r="C324" s="50"/>
      <c r="D324" s="50" t="s">
        <v>3226</v>
      </c>
      <c r="E324" s="49" t="s">
        <v>19</v>
      </c>
      <c r="F324" s="49" t="s">
        <v>2104</v>
      </c>
      <c r="G324" s="25" t="s">
        <v>3178</v>
      </c>
      <c r="H324" s="51" t="n">
        <v>5</v>
      </c>
      <c r="I324" s="49" t="s">
        <v>3084</v>
      </c>
      <c r="J324" s="50" t="s">
        <v>3237</v>
      </c>
      <c r="K324" s="25" t="s">
        <v>3238</v>
      </c>
      <c r="L324" s="49" t="s">
        <v>3239</v>
      </c>
      <c r="M324" s="25" t="s">
        <v>3211</v>
      </c>
      <c r="N324" s="49" t="s">
        <v>3212</v>
      </c>
      <c r="O324" s="25"/>
      <c r="P324" s="49"/>
      <c r="Q324" s="49"/>
      <c r="R324" s="50" t="s">
        <v>44</v>
      </c>
      <c r="S324" s="52" t="s">
        <v>69</v>
      </c>
    </row>
    <row r="325" customFormat="false" ht="15" hidden="false" customHeight="true" outlineLevel="0" collapsed="false">
      <c r="A325" s="46" t="n">
        <v>333</v>
      </c>
      <c r="B325" s="24" t="s">
        <v>3203</v>
      </c>
      <c r="C325" s="47"/>
      <c r="D325" s="47" t="s">
        <v>3226</v>
      </c>
      <c r="E325" s="46" t="s">
        <v>19</v>
      </c>
      <c r="F325" s="46" t="s">
        <v>2104</v>
      </c>
      <c r="G325" s="24" t="s">
        <v>3233</v>
      </c>
      <c r="H325" s="48" t="n">
        <v>5</v>
      </c>
      <c r="I325" s="46" t="s">
        <v>3084</v>
      </c>
      <c r="J325" s="47" t="s">
        <v>3240</v>
      </c>
      <c r="K325" s="24" t="s">
        <v>3241</v>
      </c>
      <c r="L325" s="46" t="s">
        <v>3242</v>
      </c>
      <c r="M325" s="24" t="s">
        <v>3211</v>
      </c>
      <c r="N325" s="46" t="s">
        <v>3212</v>
      </c>
      <c r="O325" s="24"/>
      <c r="P325" s="46"/>
      <c r="Q325" s="46"/>
      <c r="R325" s="47" t="s">
        <v>44</v>
      </c>
      <c r="S325" s="52" t="s">
        <v>69</v>
      </c>
    </row>
    <row r="326" customFormat="false" ht="15" hidden="false" customHeight="true" outlineLevel="0" collapsed="false">
      <c r="A326" s="49" t="n">
        <v>334</v>
      </c>
      <c r="B326" s="25" t="s">
        <v>3243</v>
      </c>
      <c r="C326" s="50"/>
      <c r="D326" s="50" t="s">
        <v>2218</v>
      </c>
      <c r="E326" s="49" t="s">
        <v>19</v>
      </c>
      <c r="F326" s="49" t="s">
        <v>2104</v>
      </c>
      <c r="G326" s="25" t="s">
        <v>3244</v>
      </c>
      <c r="H326" s="51" t="n">
        <v>5</v>
      </c>
      <c r="I326" s="49" t="s">
        <v>2396</v>
      </c>
      <c r="J326" s="50" t="s">
        <v>3245</v>
      </c>
      <c r="K326" s="25" t="s">
        <v>3246</v>
      </c>
      <c r="L326" s="49" t="s">
        <v>3247</v>
      </c>
      <c r="M326" s="25" t="s">
        <v>3248</v>
      </c>
      <c r="N326" s="49" t="s">
        <v>3249</v>
      </c>
      <c r="O326" s="25"/>
      <c r="P326" s="49"/>
      <c r="Q326" s="49"/>
      <c r="R326" s="50" t="s">
        <v>48</v>
      </c>
      <c r="S326" s="52" t="s">
        <v>69</v>
      </c>
    </row>
    <row r="327" customFormat="false" ht="15" hidden="false" customHeight="true" outlineLevel="0" collapsed="false">
      <c r="A327" s="46" t="n">
        <v>335</v>
      </c>
      <c r="B327" s="24" t="s">
        <v>3243</v>
      </c>
      <c r="C327" s="47"/>
      <c r="D327" s="47" t="s">
        <v>2218</v>
      </c>
      <c r="E327" s="46" t="s">
        <v>19</v>
      </c>
      <c r="F327" s="46" t="s">
        <v>2104</v>
      </c>
      <c r="G327" s="24" t="s">
        <v>3250</v>
      </c>
      <c r="H327" s="48" t="n">
        <v>5</v>
      </c>
      <c r="I327" s="46" t="s">
        <v>3251</v>
      </c>
      <c r="J327" s="47" t="s">
        <v>3245</v>
      </c>
      <c r="K327" s="24" t="s">
        <v>3252</v>
      </c>
      <c r="L327" s="46" t="s">
        <v>3253</v>
      </c>
      <c r="M327" s="24" t="s">
        <v>3248</v>
      </c>
      <c r="N327" s="46" t="s">
        <v>3249</v>
      </c>
      <c r="O327" s="24"/>
      <c r="P327" s="46"/>
      <c r="Q327" s="46"/>
      <c r="R327" s="47" t="s">
        <v>48</v>
      </c>
      <c r="S327" s="52" t="s">
        <v>69</v>
      </c>
    </row>
    <row r="328" customFormat="false" ht="15" hidden="false" customHeight="true" outlineLevel="0" collapsed="false">
      <c r="A328" s="49" t="n">
        <v>336</v>
      </c>
      <c r="B328" s="25" t="s">
        <v>3243</v>
      </c>
      <c r="C328" s="50"/>
      <c r="D328" s="50" t="s">
        <v>2218</v>
      </c>
      <c r="E328" s="49" t="s">
        <v>19</v>
      </c>
      <c r="F328" s="49" t="s">
        <v>2104</v>
      </c>
      <c r="G328" s="25" t="s">
        <v>3254</v>
      </c>
      <c r="H328" s="51" t="n">
        <v>5</v>
      </c>
      <c r="I328" s="49" t="s">
        <v>3255</v>
      </c>
      <c r="J328" s="50" t="s">
        <v>3256</v>
      </c>
      <c r="K328" s="25" t="s">
        <v>3257</v>
      </c>
      <c r="L328" s="49" t="s">
        <v>3258</v>
      </c>
      <c r="M328" s="25" t="s">
        <v>3248</v>
      </c>
      <c r="N328" s="49" t="s">
        <v>3249</v>
      </c>
      <c r="O328" s="25"/>
      <c r="P328" s="49"/>
      <c r="Q328" s="49"/>
      <c r="R328" s="50" t="s">
        <v>48</v>
      </c>
      <c r="S328" s="52" t="s">
        <v>69</v>
      </c>
    </row>
    <row r="329" customFormat="false" ht="15" hidden="false" customHeight="true" outlineLevel="0" collapsed="false">
      <c r="A329" s="46" t="n">
        <v>337</v>
      </c>
      <c r="B329" s="24" t="s">
        <v>3259</v>
      </c>
      <c r="C329" s="47"/>
      <c r="D329" s="47" t="s">
        <v>2218</v>
      </c>
      <c r="E329" s="46" t="s">
        <v>19</v>
      </c>
      <c r="F329" s="46" t="s">
        <v>2104</v>
      </c>
      <c r="G329" s="24" t="s">
        <v>3260</v>
      </c>
      <c r="H329" s="48" t="n">
        <v>5</v>
      </c>
      <c r="I329" s="46"/>
      <c r="J329" s="47" t="s">
        <v>3261</v>
      </c>
      <c r="K329" s="24" t="s">
        <v>3235</v>
      </c>
      <c r="L329" s="46" t="s">
        <v>3262</v>
      </c>
      <c r="M329" s="24" t="s">
        <v>3248</v>
      </c>
      <c r="N329" s="46" t="s">
        <v>3249</v>
      </c>
      <c r="O329" s="24"/>
      <c r="P329" s="46"/>
      <c r="Q329" s="46"/>
      <c r="R329" s="47" t="s">
        <v>48</v>
      </c>
      <c r="S329" s="52" t="s">
        <v>3116</v>
      </c>
    </row>
    <row r="330" customFormat="false" ht="15" hidden="false" customHeight="true" outlineLevel="0" collapsed="false">
      <c r="A330" s="49" t="n">
        <v>338</v>
      </c>
      <c r="B330" s="25" t="s">
        <v>3263</v>
      </c>
      <c r="C330" s="50"/>
      <c r="D330" s="50" t="s">
        <v>3118</v>
      </c>
      <c r="E330" s="49" t="s">
        <v>19</v>
      </c>
      <c r="F330" s="49" t="s">
        <v>2104</v>
      </c>
      <c r="G330" s="25" t="s">
        <v>3264</v>
      </c>
      <c r="H330" s="51" t="n">
        <v>5</v>
      </c>
      <c r="I330" s="49" t="s">
        <v>3171</v>
      </c>
      <c r="J330" s="50" t="s">
        <v>3265</v>
      </c>
      <c r="K330" s="25" t="s">
        <v>3266</v>
      </c>
      <c r="L330" s="49" t="s">
        <v>3267</v>
      </c>
      <c r="M330" s="25" t="s">
        <v>3123</v>
      </c>
      <c r="N330" s="49" t="s">
        <v>3124</v>
      </c>
      <c r="O330" s="25"/>
      <c r="P330" s="49"/>
      <c r="Q330" s="49"/>
      <c r="R330" s="50" t="s">
        <v>44</v>
      </c>
      <c r="S330" s="52" t="s">
        <v>69</v>
      </c>
    </row>
    <row r="331" customFormat="false" ht="15" hidden="false" customHeight="true" outlineLevel="0" collapsed="false">
      <c r="A331" s="46" t="n">
        <v>339</v>
      </c>
      <c r="B331" s="24" t="s">
        <v>3259</v>
      </c>
      <c r="C331" s="47"/>
      <c r="D331" s="47" t="s">
        <v>2218</v>
      </c>
      <c r="E331" s="46" t="s">
        <v>19</v>
      </c>
      <c r="F331" s="46" t="s">
        <v>2104</v>
      </c>
      <c r="G331" s="24" t="s">
        <v>3268</v>
      </c>
      <c r="H331" s="48" t="n">
        <v>5</v>
      </c>
      <c r="I331" s="46" t="s">
        <v>3269</v>
      </c>
      <c r="J331" s="47" t="s">
        <v>3245</v>
      </c>
      <c r="K331" s="24" t="s">
        <v>3270</v>
      </c>
      <c r="L331" s="46" t="s">
        <v>3271</v>
      </c>
      <c r="M331" s="24" t="s">
        <v>3248</v>
      </c>
      <c r="N331" s="46" t="s">
        <v>3249</v>
      </c>
      <c r="O331" s="24"/>
      <c r="P331" s="46"/>
      <c r="Q331" s="46"/>
      <c r="R331" s="47" t="s">
        <v>48</v>
      </c>
      <c r="S331" s="52" t="s">
        <v>69</v>
      </c>
    </row>
    <row r="332" customFormat="false" ht="15" hidden="false" customHeight="true" outlineLevel="0" collapsed="false">
      <c r="A332" s="49" t="n">
        <v>340</v>
      </c>
      <c r="B332" s="25" t="s">
        <v>3259</v>
      </c>
      <c r="C332" s="50"/>
      <c r="D332" s="50" t="s">
        <v>2218</v>
      </c>
      <c r="E332" s="49" t="s">
        <v>19</v>
      </c>
      <c r="F332" s="49" t="s">
        <v>2104</v>
      </c>
      <c r="G332" s="25" t="s">
        <v>3272</v>
      </c>
      <c r="H332" s="51" t="n">
        <v>4</v>
      </c>
      <c r="I332" s="49" t="s">
        <v>2396</v>
      </c>
      <c r="J332" s="50" t="s">
        <v>3273</v>
      </c>
      <c r="K332" s="25" t="s">
        <v>3252</v>
      </c>
      <c r="L332" s="49" t="s">
        <v>3274</v>
      </c>
      <c r="M332" s="25" t="s">
        <v>3248</v>
      </c>
      <c r="N332" s="49" t="s">
        <v>3249</v>
      </c>
      <c r="O332" s="25"/>
      <c r="P332" s="49"/>
      <c r="Q332" s="49"/>
      <c r="R332" s="50" t="s">
        <v>48</v>
      </c>
      <c r="S332" s="52" t="s">
        <v>69</v>
      </c>
    </row>
    <row r="333" customFormat="false" ht="15" hidden="false" customHeight="true" outlineLevel="0" collapsed="false">
      <c r="A333" s="46" t="n">
        <v>341</v>
      </c>
      <c r="B333" s="24" t="s">
        <v>3263</v>
      </c>
      <c r="C333" s="47"/>
      <c r="D333" s="47" t="s">
        <v>3118</v>
      </c>
      <c r="E333" s="46" t="s">
        <v>19</v>
      </c>
      <c r="F333" s="46" t="s">
        <v>2104</v>
      </c>
      <c r="G333" s="24" t="s">
        <v>3275</v>
      </c>
      <c r="H333" s="48" t="n">
        <v>5</v>
      </c>
      <c r="I333" s="46" t="s">
        <v>3171</v>
      </c>
      <c r="J333" s="47" t="s">
        <v>3276</v>
      </c>
      <c r="K333" s="24" t="s">
        <v>3277</v>
      </c>
      <c r="L333" s="46" t="s">
        <v>3278</v>
      </c>
      <c r="M333" s="24" t="s">
        <v>3123</v>
      </c>
      <c r="N333" s="46" t="s">
        <v>3124</v>
      </c>
      <c r="O333" s="24"/>
      <c r="P333" s="46"/>
      <c r="Q333" s="46"/>
      <c r="R333" s="47" t="s">
        <v>44</v>
      </c>
      <c r="S333" s="52" t="s">
        <v>69</v>
      </c>
    </row>
    <row r="334" customFormat="false" ht="15" hidden="false" customHeight="true" outlineLevel="0" collapsed="false">
      <c r="A334" s="49" t="n">
        <v>342</v>
      </c>
      <c r="B334" s="25" t="s">
        <v>3259</v>
      </c>
      <c r="C334" s="50"/>
      <c r="D334" s="50" t="s">
        <v>2218</v>
      </c>
      <c r="E334" s="49" t="s">
        <v>19</v>
      </c>
      <c r="F334" s="49" t="s">
        <v>2104</v>
      </c>
      <c r="G334" s="25" t="s">
        <v>3279</v>
      </c>
      <c r="H334" s="51" t="n">
        <v>17</v>
      </c>
      <c r="I334" s="49" t="s">
        <v>3251</v>
      </c>
      <c r="J334" s="50" t="s">
        <v>3280</v>
      </c>
      <c r="K334" s="25" t="s">
        <v>3281</v>
      </c>
      <c r="L334" s="49" t="s">
        <v>3282</v>
      </c>
      <c r="M334" s="25" t="s">
        <v>3248</v>
      </c>
      <c r="N334" s="49" t="s">
        <v>3249</v>
      </c>
      <c r="O334" s="25"/>
      <c r="P334" s="49"/>
      <c r="Q334" s="49"/>
      <c r="R334" s="50" t="s">
        <v>48</v>
      </c>
      <c r="S334" s="52" t="s">
        <v>69</v>
      </c>
    </row>
    <row r="335" customFormat="false" ht="15" hidden="false" customHeight="true" outlineLevel="0" collapsed="false">
      <c r="A335" s="46" t="n">
        <v>343</v>
      </c>
      <c r="B335" s="24" t="s">
        <v>3259</v>
      </c>
      <c r="C335" s="47"/>
      <c r="D335" s="47" t="s">
        <v>2218</v>
      </c>
      <c r="E335" s="46" t="s">
        <v>19</v>
      </c>
      <c r="F335" s="46" t="s">
        <v>2104</v>
      </c>
      <c r="G335" s="24" t="s">
        <v>3283</v>
      </c>
      <c r="H335" s="48" t="n">
        <v>234</v>
      </c>
      <c r="I335" s="46" t="s">
        <v>3127</v>
      </c>
      <c r="J335" s="47" t="s">
        <v>3245</v>
      </c>
      <c r="K335" s="24" t="s">
        <v>3284</v>
      </c>
      <c r="L335" s="46" t="s">
        <v>3285</v>
      </c>
      <c r="M335" s="24" t="s">
        <v>3248</v>
      </c>
      <c r="N335" s="46" t="s">
        <v>3249</v>
      </c>
      <c r="O335" s="24"/>
      <c r="P335" s="46"/>
      <c r="Q335" s="46"/>
      <c r="R335" s="47" t="s">
        <v>48</v>
      </c>
      <c r="S335" s="52" t="s">
        <v>69</v>
      </c>
    </row>
    <row r="336" customFormat="false" ht="15" hidden="false" customHeight="true" outlineLevel="0" collapsed="false">
      <c r="A336" s="49" t="n">
        <v>344</v>
      </c>
      <c r="B336" s="25" t="s">
        <v>3286</v>
      </c>
      <c r="C336" s="50"/>
      <c r="D336" s="50" t="s">
        <v>3184</v>
      </c>
      <c r="E336" s="49" t="s">
        <v>19</v>
      </c>
      <c r="F336" s="49" t="s">
        <v>2104</v>
      </c>
      <c r="G336" s="25" t="s">
        <v>3287</v>
      </c>
      <c r="H336" s="51" t="n">
        <v>5</v>
      </c>
      <c r="I336" s="49" t="s">
        <v>3102</v>
      </c>
      <c r="J336" s="50" t="s">
        <v>3288</v>
      </c>
      <c r="K336" s="25" t="s">
        <v>3289</v>
      </c>
      <c r="L336" s="49" t="s">
        <v>3290</v>
      </c>
      <c r="M336" s="25" t="s">
        <v>3291</v>
      </c>
      <c r="N336" s="49" t="s">
        <v>3292</v>
      </c>
      <c r="O336" s="25"/>
      <c r="P336" s="49"/>
      <c r="Q336" s="49"/>
      <c r="R336" s="50" t="s">
        <v>44</v>
      </c>
      <c r="S336" s="52" t="s">
        <v>69</v>
      </c>
    </row>
    <row r="337" customFormat="false" ht="15" hidden="false" customHeight="true" outlineLevel="0" collapsed="false">
      <c r="A337" s="46" t="n">
        <v>345</v>
      </c>
      <c r="B337" s="24" t="s">
        <v>3259</v>
      </c>
      <c r="C337" s="47"/>
      <c r="D337" s="47" t="s">
        <v>2218</v>
      </c>
      <c r="E337" s="46" t="s">
        <v>19</v>
      </c>
      <c r="F337" s="46" t="s">
        <v>2104</v>
      </c>
      <c r="G337" s="24" t="s">
        <v>3293</v>
      </c>
      <c r="H337" s="48" t="n">
        <v>13</v>
      </c>
      <c r="I337" s="46" t="s">
        <v>3294</v>
      </c>
      <c r="J337" s="47" t="s">
        <v>3295</v>
      </c>
      <c r="K337" s="24" t="s">
        <v>3296</v>
      </c>
      <c r="L337" s="46" t="s">
        <v>3297</v>
      </c>
      <c r="M337" s="24" t="s">
        <v>3248</v>
      </c>
      <c r="N337" s="46" t="s">
        <v>3249</v>
      </c>
      <c r="O337" s="24"/>
      <c r="P337" s="46"/>
      <c r="Q337" s="46"/>
      <c r="R337" s="47" t="s">
        <v>48</v>
      </c>
      <c r="S337" s="52" t="s">
        <v>69</v>
      </c>
    </row>
    <row r="338" customFormat="false" ht="15" hidden="false" customHeight="true" outlineLevel="0" collapsed="false">
      <c r="A338" s="49" t="n">
        <v>346</v>
      </c>
      <c r="B338" s="25" t="s">
        <v>3263</v>
      </c>
      <c r="C338" s="50"/>
      <c r="D338" s="50" t="s">
        <v>3118</v>
      </c>
      <c r="E338" s="49" t="s">
        <v>19</v>
      </c>
      <c r="F338" s="49" t="s">
        <v>2104</v>
      </c>
      <c r="G338" s="25" t="s">
        <v>3298</v>
      </c>
      <c r="H338" s="51" t="n">
        <v>5</v>
      </c>
      <c r="I338" s="49" t="s">
        <v>3102</v>
      </c>
      <c r="J338" s="50" t="s">
        <v>3299</v>
      </c>
      <c r="K338" s="25" t="s">
        <v>3300</v>
      </c>
      <c r="L338" s="49" t="s">
        <v>3301</v>
      </c>
      <c r="M338" s="25" t="s">
        <v>3123</v>
      </c>
      <c r="N338" s="49" t="s">
        <v>3124</v>
      </c>
      <c r="O338" s="25"/>
      <c r="P338" s="49"/>
      <c r="Q338" s="49"/>
      <c r="R338" s="50" t="s">
        <v>44</v>
      </c>
      <c r="S338" s="52" t="s">
        <v>69</v>
      </c>
    </row>
    <row r="339" customFormat="false" ht="15" hidden="false" customHeight="true" outlineLevel="0" collapsed="false">
      <c r="A339" s="46" t="n">
        <v>347</v>
      </c>
      <c r="B339" s="24" t="s">
        <v>3302</v>
      </c>
      <c r="C339" s="47"/>
      <c r="D339" s="47" t="s">
        <v>2218</v>
      </c>
      <c r="E339" s="46" t="s">
        <v>19</v>
      </c>
      <c r="F339" s="46" t="s">
        <v>2104</v>
      </c>
      <c r="G339" s="24" t="s">
        <v>3303</v>
      </c>
      <c r="H339" s="48" t="n">
        <v>247</v>
      </c>
      <c r="I339" s="46" t="s">
        <v>2124</v>
      </c>
      <c r="J339" s="47" t="s">
        <v>3304</v>
      </c>
      <c r="K339" s="24" t="s">
        <v>3305</v>
      </c>
      <c r="L339" s="46" t="s">
        <v>3306</v>
      </c>
      <c r="M339" s="24" t="s">
        <v>3248</v>
      </c>
      <c r="N339" s="46" t="s">
        <v>3249</v>
      </c>
      <c r="O339" s="24"/>
      <c r="P339" s="46"/>
      <c r="Q339" s="46"/>
      <c r="R339" s="47" t="s">
        <v>48</v>
      </c>
      <c r="S339" s="52" t="s">
        <v>69</v>
      </c>
    </row>
    <row r="340" customFormat="false" ht="15" hidden="false" customHeight="true" outlineLevel="0" collapsed="false">
      <c r="A340" s="49" t="n">
        <v>348</v>
      </c>
      <c r="B340" s="25" t="s">
        <v>3307</v>
      </c>
      <c r="C340" s="50"/>
      <c r="D340" s="50" t="s">
        <v>2194</v>
      </c>
      <c r="E340" s="49" t="s">
        <v>19</v>
      </c>
      <c r="F340" s="49" t="s">
        <v>2104</v>
      </c>
      <c r="G340" s="25" t="s">
        <v>3308</v>
      </c>
      <c r="H340" s="51" t="n">
        <v>5</v>
      </c>
      <c r="I340" s="49" t="s">
        <v>3309</v>
      </c>
      <c r="J340" s="50" t="s">
        <v>3310</v>
      </c>
      <c r="K340" s="25" t="s">
        <v>3311</v>
      </c>
      <c r="L340" s="49" t="s">
        <v>3312</v>
      </c>
      <c r="M340" s="25" t="s">
        <v>3313</v>
      </c>
      <c r="N340" s="49" t="s">
        <v>3314</v>
      </c>
      <c r="O340" s="25"/>
      <c r="P340" s="49"/>
      <c r="Q340" s="49"/>
      <c r="R340" s="50" t="s">
        <v>44</v>
      </c>
      <c r="S340" s="52" t="s">
        <v>69</v>
      </c>
    </row>
    <row r="341" customFormat="false" ht="15" hidden="false" customHeight="true" outlineLevel="0" collapsed="false">
      <c r="A341" s="46" t="n">
        <v>349</v>
      </c>
      <c r="B341" s="24" t="s">
        <v>3302</v>
      </c>
      <c r="C341" s="47"/>
      <c r="D341" s="47" t="s">
        <v>2218</v>
      </c>
      <c r="E341" s="46" t="s">
        <v>19</v>
      </c>
      <c r="F341" s="46" t="s">
        <v>2104</v>
      </c>
      <c r="G341" s="24" t="s">
        <v>3315</v>
      </c>
      <c r="H341" s="48" t="n">
        <v>135</v>
      </c>
      <c r="I341" s="46" t="s">
        <v>2273</v>
      </c>
      <c r="J341" s="47" t="s">
        <v>3316</v>
      </c>
      <c r="K341" s="24" t="s">
        <v>2380</v>
      </c>
      <c r="L341" s="46" t="s">
        <v>3317</v>
      </c>
      <c r="M341" s="24" t="s">
        <v>3248</v>
      </c>
      <c r="N341" s="46" t="s">
        <v>3249</v>
      </c>
      <c r="O341" s="24"/>
      <c r="P341" s="46"/>
      <c r="Q341" s="46"/>
      <c r="R341" s="47" t="s">
        <v>48</v>
      </c>
      <c r="S341" s="52" t="s">
        <v>69</v>
      </c>
    </row>
    <row r="342" customFormat="false" ht="15" hidden="false" customHeight="true" outlineLevel="0" collapsed="false">
      <c r="A342" s="49" t="n">
        <v>350</v>
      </c>
      <c r="B342" s="25" t="s">
        <v>3318</v>
      </c>
      <c r="C342" s="50"/>
      <c r="D342" s="50" t="s">
        <v>2217</v>
      </c>
      <c r="E342" s="49" t="s">
        <v>19</v>
      </c>
      <c r="F342" s="49" t="s">
        <v>2104</v>
      </c>
      <c r="G342" s="25" t="s">
        <v>3319</v>
      </c>
      <c r="H342" s="51" t="n">
        <v>5</v>
      </c>
      <c r="I342" s="49"/>
      <c r="J342" s="50" t="s">
        <v>3320</v>
      </c>
      <c r="K342" s="25" t="s">
        <v>3121</v>
      </c>
      <c r="L342" s="49" t="s">
        <v>3321</v>
      </c>
      <c r="M342" s="25" t="s">
        <v>3096</v>
      </c>
      <c r="N342" s="49" t="s">
        <v>3322</v>
      </c>
      <c r="O342" s="25"/>
      <c r="P342" s="49"/>
      <c r="Q342" s="49"/>
      <c r="R342" s="50" t="s">
        <v>44</v>
      </c>
      <c r="S342" s="52" t="s">
        <v>3116</v>
      </c>
    </row>
    <row r="343" customFormat="false" ht="15" hidden="false" customHeight="true" outlineLevel="0" collapsed="false">
      <c r="A343" s="46" t="n">
        <v>351</v>
      </c>
      <c r="B343" s="24" t="s">
        <v>3307</v>
      </c>
      <c r="C343" s="47"/>
      <c r="D343" s="47" t="s">
        <v>2194</v>
      </c>
      <c r="E343" s="46" t="s">
        <v>19</v>
      </c>
      <c r="F343" s="46" t="s">
        <v>2104</v>
      </c>
      <c r="G343" s="24" t="s">
        <v>3323</v>
      </c>
      <c r="H343" s="48" t="n">
        <v>5</v>
      </c>
      <c r="I343" s="46" t="s">
        <v>3309</v>
      </c>
      <c r="J343" s="47" t="s">
        <v>3324</v>
      </c>
      <c r="K343" s="24" t="s">
        <v>3325</v>
      </c>
      <c r="L343" s="46" t="s">
        <v>3326</v>
      </c>
      <c r="M343" s="24" t="s">
        <v>3313</v>
      </c>
      <c r="N343" s="46" t="s">
        <v>3314</v>
      </c>
      <c r="O343" s="24"/>
      <c r="P343" s="46"/>
      <c r="Q343" s="46"/>
      <c r="R343" s="47" t="s">
        <v>44</v>
      </c>
      <c r="S343" s="52" t="s">
        <v>69</v>
      </c>
    </row>
    <row r="344" customFormat="false" ht="15" hidden="false" customHeight="true" outlineLevel="0" collapsed="false">
      <c r="A344" s="49" t="n">
        <v>352</v>
      </c>
      <c r="B344" s="25" t="s">
        <v>3307</v>
      </c>
      <c r="C344" s="50"/>
      <c r="D344" s="50" t="s">
        <v>2194</v>
      </c>
      <c r="E344" s="49" t="s">
        <v>19</v>
      </c>
      <c r="F344" s="49" t="s">
        <v>2104</v>
      </c>
      <c r="G344" s="25" t="s">
        <v>3323</v>
      </c>
      <c r="H344" s="51" t="n">
        <v>5</v>
      </c>
      <c r="I344" s="49" t="s">
        <v>3327</v>
      </c>
      <c r="J344" s="50" t="s">
        <v>3328</v>
      </c>
      <c r="K344" s="25" t="s">
        <v>3329</v>
      </c>
      <c r="L344" s="49" t="s">
        <v>3330</v>
      </c>
      <c r="M344" s="25" t="s">
        <v>3313</v>
      </c>
      <c r="N344" s="49" t="s">
        <v>3314</v>
      </c>
      <c r="O344" s="25"/>
      <c r="P344" s="49"/>
      <c r="Q344" s="49"/>
      <c r="R344" s="50" t="s">
        <v>44</v>
      </c>
      <c r="S344" s="52" t="s">
        <v>69</v>
      </c>
    </row>
    <row r="345" customFormat="false" ht="15" hidden="false" customHeight="true" outlineLevel="0" collapsed="false">
      <c r="A345" s="46" t="n">
        <v>353</v>
      </c>
      <c r="B345" s="24" t="s">
        <v>3263</v>
      </c>
      <c r="C345" s="47"/>
      <c r="D345" s="47" t="s">
        <v>3118</v>
      </c>
      <c r="E345" s="46" t="s">
        <v>19</v>
      </c>
      <c r="F345" s="46" t="s">
        <v>2104</v>
      </c>
      <c r="G345" s="24" t="s">
        <v>3331</v>
      </c>
      <c r="H345" s="48" t="n">
        <v>5</v>
      </c>
      <c r="I345" s="46" t="s">
        <v>3171</v>
      </c>
      <c r="J345" s="47" t="s">
        <v>3332</v>
      </c>
      <c r="K345" s="24" t="s">
        <v>3333</v>
      </c>
      <c r="L345" s="46" t="s">
        <v>3334</v>
      </c>
      <c r="M345" s="24" t="s">
        <v>3123</v>
      </c>
      <c r="N345" s="46" t="s">
        <v>3124</v>
      </c>
      <c r="O345" s="24"/>
      <c r="P345" s="46"/>
      <c r="Q345" s="46"/>
      <c r="R345" s="47" t="s">
        <v>48</v>
      </c>
      <c r="S345" s="52" t="s">
        <v>69</v>
      </c>
    </row>
    <row r="346" customFormat="false" ht="15" hidden="false" customHeight="true" outlineLevel="0" collapsed="false">
      <c r="A346" s="49" t="n">
        <v>354</v>
      </c>
      <c r="B346" s="25" t="s">
        <v>3259</v>
      </c>
      <c r="C346" s="50"/>
      <c r="D346" s="50" t="s">
        <v>2218</v>
      </c>
      <c r="E346" s="49" t="s">
        <v>19</v>
      </c>
      <c r="F346" s="49" t="s">
        <v>2104</v>
      </c>
      <c r="G346" s="25" t="s">
        <v>3335</v>
      </c>
      <c r="H346" s="51" t="n">
        <v>102</v>
      </c>
      <c r="I346" s="49" t="s">
        <v>2116</v>
      </c>
      <c r="J346" s="50" t="s">
        <v>3336</v>
      </c>
      <c r="K346" s="25" t="s">
        <v>3337</v>
      </c>
      <c r="L346" s="49" t="s">
        <v>3338</v>
      </c>
      <c r="M346" s="25" t="s">
        <v>3248</v>
      </c>
      <c r="N346" s="49" t="s">
        <v>3249</v>
      </c>
      <c r="O346" s="25"/>
      <c r="P346" s="49"/>
      <c r="Q346" s="49"/>
      <c r="R346" s="50" t="s">
        <v>48</v>
      </c>
      <c r="S346" s="52" t="s">
        <v>69</v>
      </c>
    </row>
    <row r="347" customFormat="false" ht="15" hidden="false" customHeight="true" outlineLevel="0" collapsed="false">
      <c r="A347" s="46" t="n">
        <v>355</v>
      </c>
      <c r="B347" s="24" t="s">
        <v>3259</v>
      </c>
      <c r="C347" s="47"/>
      <c r="D347" s="47" t="s">
        <v>2218</v>
      </c>
      <c r="E347" s="46" t="s">
        <v>19</v>
      </c>
      <c r="F347" s="46" t="s">
        <v>2104</v>
      </c>
      <c r="G347" s="24" t="s">
        <v>3339</v>
      </c>
      <c r="H347" s="48" t="n">
        <v>84</v>
      </c>
      <c r="I347" s="46" t="s">
        <v>2211</v>
      </c>
      <c r="J347" s="47" t="s">
        <v>3340</v>
      </c>
      <c r="K347" s="24" t="s">
        <v>3341</v>
      </c>
      <c r="L347" s="46" t="s">
        <v>3342</v>
      </c>
      <c r="M347" s="24" t="s">
        <v>3248</v>
      </c>
      <c r="N347" s="46" t="s">
        <v>3249</v>
      </c>
      <c r="O347" s="24"/>
      <c r="P347" s="46"/>
      <c r="Q347" s="46"/>
      <c r="R347" s="47" t="s">
        <v>48</v>
      </c>
      <c r="S347" s="52" t="s">
        <v>69</v>
      </c>
    </row>
    <row r="348" customFormat="false" ht="15" hidden="false" customHeight="true" outlineLevel="0" collapsed="false">
      <c r="A348" s="49" t="n">
        <v>356</v>
      </c>
      <c r="B348" s="25" t="s">
        <v>3259</v>
      </c>
      <c r="C348" s="50"/>
      <c r="D348" s="50" t="s">
        <v>2218</v>
      </c>
      <c r="E348" s="49" t="s">
        <v>19</v>
      </c>
      <c r="F348" s="49" t="s">
        <v>2104</v>
      </c>
      <c r="G348" s="25" t="s">
        <v>3343</v>
      </c>
      <c r="H348" s="51" t="n">
        <v>123</v>
      </c>
      <c r="I348" s="49" t="s">
        <v>2336</v>
      </c>
      <c r="J348" s="50" t="s">
        <v>3340</v>
      </c>
      <c r="K348" s="25" t="s">
        <v>3296</v>
      </c>
      <c r="L348" s="49" t="s">
        <v>3344</v>
      </c>
      <c r="M348" s="25" t="s">
        <v>3248</v>
      </c>
      <c r="N348" s="49" t="s">
        <v>3249</v>
      </c>
      <c r="O348" s="25"/>
      <c r="P348" s="49"/>
      <c r="Q348" s="49"/>
      <c r="R348" s="50" t="s">
        <v>48</v>
      </c>
      <c r="S348" s="52" t="s">
        <v>69</v>
      </c>
    </row>
    <row r="349" customFormat="false" ht="15" hidden="false" customHeight="true" outlineLevel="0" collapsed="false">
      <c r="A349" s="46" t="n">
        <v>357</v>
      </c>
      <c r="B349" s="24" t="s">
        <v>3345</v>
      </c>
      <c r="C349" s="47"/>
      <c r="D349" s="47" t="s">
        <v>3346</v>
      </c>
      <c r="E349" s="46" t="s">
        <v>19</v>
      </c>
      <c r="F349" s="46" t="s">
        <v>2104</v>
      </c>
      <c r="G349" s="24" t="s">
        <v>3347</v>
      </c>
      <c r="H349" s="48" t="n">
        <v>5</v>
      </c>
      <c r="I349" s="46" t="s">
        <v>3102</v>
      </c>
      <c r="J349" s="47" t="s">
        <v>3348</v>
      </c>
      <c r="K349" s="24" t="s">
        <v>3349</v>
      </c>
      <c r="L349" s="46" t="s">
        <v>3350</v>
      </c>
      <c r="M349" s="24" t="s">
        <v>3351</v>
      </c>
      <c r="N349" s="46" t="s">
        <v>3352</v>
      </c>
      <c r="O349" s="24"/>
      <c r="P349" s="46"/>
      <c r="Q349" s="46"/>
      <c r="R349" s="47" t="s">
        <v>44</v>
      </c>
      <c r="S349" s="52" t="s">
        <v>69</v>
      </c>
    </row>
    <row r="350" customFormat="false" ht="15" hidden="false" customHeight="true" outlineLevel="0" collapsed="false">
      <c r="A350" s="49" t="n">
        <v>358</v>
      </c>
      <c r="B350" s="25" t="s">
        <v>3345</v>
      </c>
      <c r="C350" s="50"/>
      <c r="D350" s="50" t="s">
        <v>3346</v>
      </c>
      <c r="E350" s="49" t="s">
        <v>19</v>
      </c>
      <c r="F350" s="49" t="s">
        <v>2104</v>
      </c>
      <c r="G350" s="25" t="s">
        <v>3353</v>
      </c>
      <c r="H350" s="51" t="n">
        <v>5</v>
      </c>
      <c r="I350" s="49" t="s">
        <v>3354</v>
      </c>
      <c r="J350" s="50" t="s">
        <v>3348</v>
      </c>
      <c r="K350" s="25" t="s">
        <v>3355</v>
      </c>
      <c r="L350" s="49" t="s">
        <v>3356</v>
      </c>
      <c r="M350" s="25" t="s">
        <v>3351</v>
      </c>
      <c r="N350" s="49" t="s">
        <v>3352</v>
      </c>
      <c r="O350" s="25"/>
      <c r="P350" s="49"/>
      <c r="Q350" s="49"/>
      <c r="R350" s="50" t="s">
        <v>44</v>
      </c>
      <c r="S350" s="52" t="s">
        <v>69</v>
      </c>
    </row>
    <row r="351" customFormat="false" ht="15" hidden="false" customHeight="true" outlineLevel="0" collapsed="false">
      <c r="A351" s="46" t="n">
        <v>359</v>
      </c>
      <c r="B351" s="24" t="s">
        <v>3357</v>
      </c>
      <c r="C351" s="47"/>
      <c r="D351" s="47" t="s">
        <v>3169</v>
      </c>
      <c r="E351" s="46" t="s">
        <v>19</v>
      </c>
      <c r="F351" s="46" t="s">
        <v>2104</v>
      </c>
      <c r="G351" s="24" t="s">
        <v>3358</v>
      </c>
      <c r="H351" s="48" t="n">
        <v>5</v>
      </c>
      <c r="I351" s="46" t="s">
        <v>3171</v>
      </c>
      <c r="J351" s="47" t="s">
        <v>3103</v>
      </c>
      <c r="K351" s="24" t="s">
        <v>3359</v>
      </c>
      <c r="L351" s="46" t="s">
        <v>3360</v>
      </c>
      <c r="M351" s="24" t="s">
        <v>3174</v>
      </c>
      <c r="N351" s="46" t="s">
        <v>3175</v>
      </c>
      <c r="O351" s="24" t="s">
        <v>3361</v>
      </c>
      <c r="P351" s="46" t="s">
        <v>3089</v>
      </c>
      <c r="Q351" s="46"/>
      <c r="R351" s="47" t="s">
        <v>48</v>
      </c>
      <c r="S351" s="52" t="s">
        <v>65</v>
      </c>
    </row>
    <row r="352" customFormat="false" ht="15" hidden="false" customHeight="true" outlineLevel="0" collapsed="false">
      <c r="A352" s="49" t="n">
        <v>360</v>
      </c>
      <c r="B352" s="25" t="s">
        <v>3362</v>
      </c>
      <c r="C352" s="50"/>
      <c r="D352" s="50" t="s">
        <v>3126</v>
      </c>
      <c r="E352" s="49" t="s">
        <v>19</v>
      </c>
      <c r="F352" s="49" t="s">
        <v>2104</v>
      </c>
      <c r="G352" s="25" t="s">
        <v>3363</v>
      </c>
      <c r="H352" s="51" t="n">
        <v>5</v>
      </c>
      <c r="I352" s="49" t="s">
        <v>3092</v>
      </c>
      <c r="J352" s="50" t="s">
        <v>3364</v>
      </c>
      <c r="K352" s="25" t="s">
        <v>3365</v>
      </c>
      <c r="L352" s="49" t="s">
        <v>3366</v>
      </c>
      <c r="M352" s="25" t="s">
        <v>3367</v>
      </c>
      <c r="N352" s="49" t="s">
        <v>3368</v>
      </c>
      <c r="O352" s="25" t="s">
        <v>3098</v>
      </c>
      <c r="P352" s="49" t="s">
        <v>3089</v>
      </c>
      <c r="Q352" s="49"/>
      <c r="R352" s="50" t="s">
        <v>44</v>
      </c>
      <c r="S352" s="50"/>
    </row>
    <row r="353" customFormat="false" ht="15" hidden="false" customHeight="true" outlineLevel="0" collapsed="false">
      <c r="A353" s="46" t="n">
        <v>361</v>
      </c>
      <c r="B353" s="24" t="s">
        <v>3369</v>
      </c>
      <c r="C353" s="47"/>
      <c r="D353" s="47" t="s">
        <v>3126</v>
      </c>
      <c r="E353" s="46" t="s">
        <v>19</v>
      </c>
      <c r="F353" s="46" t="s">
        <v>2104</v>
      </c>
      <c r="G353" s="24" t="s">
        <v>3370</v>
      </c>
      <c r="H353" s="48" t="n">
        <v>5</v>
      </c>
      <c r="I353" s="46" t="s">
        <v>3092</v>
      </c>
      <c r="J353" s="47" t="s">
        <v>3371</v>
      </c>
      <c r="K353" s="24" t="s">
        <v>3372</v>
      </c>
      <c r="L353" s="46" t="s">
        <v>3373</v>
      </c>
      <c r="M353" s="24" t="s">
        <v>3367</v>
      </c>
      <c r="N353" s="46" t="s">
        <v>3368</v>
      </c>
      <c r="O353" s="24" t="s">
        <v>3098</v>
      </c>
      <c r="P353" s="46" t="s">
        <v>3089</v>
      </c>
      <c r="Q353" s="46"/>
      <c r="R353" s="47" t="s">
        <v>44</v>
      </c>
      <c r="S353" s="47"/>
    </row>
    <row r="354" customFormat="false" ht="15" hidden="false" customHeight="true" outlineLevel="0" collapsed="false">
      <c r="A354" s="49" t="n">
        <v>362</v>
      </c>
      <c r="B354" s="25" t="s">
        <v>3369</v>
      </c>
      <c r="C354" s="50"/>
      <c r="D354" s="50" t="s">
        <v>3126</v>
      </c>
      <c r="E354" s="49" t="s">
        <v>19</v>
      </c>
      <c r="F354" s="49" t="s">
        <v>2104</v>
      </c>
      <c r="G354" s="25" t="s">
        <v>3374</v>
      </c>
      <c r="H354" s="51" t="n">
        <v>5</v>
      </c>
      <c r="I354" s="49" t="s">
        <v>3092</v>
      </c>
      <c r="J354" s="50" t="s">
        <v>3375</v>
      </c>
      <c r="K354" s="25" t="s">
        <v>3376</v>
      </c>
      <c r="L354" s="49" t="s">
        <v>3377</v>
      </c>
      <c r="M354" s="25" t="s">
        <v>3367</v>
      </c>
      <c r="N354" s="49" t="s">
        <v>3368</v>
      </c>
      <c r="O354" s="25" t="s">
        <v>3098</v>
      </c>
      <c r="P354" s="49" t="s">
        <v>3089</v>
      </c>
      <c r="Q354" s="49"/>
      <c r="R354" s="50" t="s">
        <v>44</v>
      </c>
      <c r="S354" s="50"/>
    </row>
    <row r="355" customFormat="false" ht="15" hidden="false" customHeight="true" outlineLevel="0" collapsed="false">
      <c r="A355" s="46" t="n">
        <v>363</v>
      </c>
      <c r="B355" s="24" t="s">
        <v>3378</v>
      </c>
      <c r="C355" s="47"/>
      <c r="D355" s="47" t="s">
        <v>3118</v>
      </c>
      <c r="E355" s="46" t="s">
        <v>19</v>
      </c>
      <c r="F355" s="46" t="s">
        <v>2104</v>
      </c>
      <c r="G355" s="24" t="s">
        <v>3379</v>
      </c>
      <c r="H355" s="48" t="n">
        <v>5</v>
      </c>
      <c r="I355" s="46" t="s">
        <v>3092</v>
      </c>
      <c r="J355" s="47" t="s">
        <v>3380</v>
      </c>
      <c r="K355" s="24" t="s">
        <v>3381</v>
      </c>
      <c r="L355" s="46" t="s">
        <v>3382</v>
      </c>
      <c r="M355" s="24" t="s">
        <v>3123</v>
      </c>
      <c r="N355" s="46" t="s">
        <v>3124</v>
      </c>
      <c r="O355" s="24"/>
      <c r="P355" s="46"/>
      <c r="Q355" s="46"/>
      <c r="R355" s="47" t="s">
        <v>44</v>
      </c>
      <c r="S355" s="52" t="s">
        <v>69</v>
      </c>
    </row>
    <row r="356" customFormat="false" ht="15" hidden="false" customHeight="true" outlineLevel="0" collapsed="false">
      <c r="A356" s="49" t="n">
        <v>364</v>
      </c>
      <c r="B356" s="25" t="s">
        <v>3378</v>
      </c>
      <c r="C356" s="50"/>
      <c r="D356" s="50" t="s">
        <v>3118</v>
      </c>
      <c r="E356" s="49" t="s">
        <v>19</v>
      </c>
      <c r="F356" s="49" t="s">
        <v>2104</v>
      </c>
      <c r="G356" s="25" t="s">
        <v>3383</v>
      </c>
      <c r="H356" s="51" t="n">
        <v>5</v>
      </c>
      <c r="I356" s="49" t="s">
        <v>3092</v>
      </c>
      <c r="J356" s="50" t="s">
        <v>3384</v>
      </c>
      <c r="K356" s="25" t="s">
        <v>3385</v>
      </c>
      <c r="L356" s="49" t="s">
        <v>3386</v>
      </c>
      <c r="M356" s="25" t="s">
        <v>3123</v>
      </c>
      <c r="N356" s="49" t="s">
        <v>3124</v>
      </c>
      <c r="O356" s="25"/>
      <c r="P356" s="49"/>
      <c r="Q356" s="49"/>
      <c r="R356" s="50" t="s">
        <v>44</v>
      </c>
      <c r="S356" s="52" t="s">
        <v>69</v>
      </c>
    </row>
    <row r="357" customFormat="false" ht="15" hidden="false" customHeight="true" outlineLevel="0" collapsed="false">
      <c r="A357" s="46" t="n">
        <v>365</v>
      </c>
      <c r="B357" s="24" t="s">
        <v>3387</v>
      </c>
      <c r="C357" s="47"/>
      <c r="D357" s="47" t="s">
        <v>3118</v>
      </c>
      <c r="E357" s="46" t="s">
        <v>19</v>
      </c>
      <c r="F357" s="46" t="s">
        <v>2104</v>
      </c>
      <c r="G357" s="24" t="s">
        <v>3388</v>
      </c>
      <c r="H357" s="48" t="n">
        <v>5</v>
      </c>
      <c r="I357" s="46" t="s">
        <v>3102</v>
      </c>
      <c r="J357" s="47" t="s">
        <v>3389</v>
      </c>
      <c r="K357" s="24" t="s">
        <v>3390</v>
      </c>
      <c r="L357" s="46" t="s">
        <v>3391</v>
      </c>
      <c r="M357" s="24" t="s">
        <v>3123</v>
      </c>
      <c r="N357" s="46" t="s">
        <v>3124</v>
      </c>
      <c r="O357" s="24"/>
      <c r="P357" s="46"/>
      <c r="Q357" s="46"/>
      <c r="R357" s="47" t="s">
        <v>44</v>
      </c>
      <c r="S357" s="52" t="s">
        <v>69</v>
      </c>
    </row>
    <row r="358" customFormat="false" ht="15" hidden="false" customHeight="true" outlineLevel="0" collapsed="false">
      <c r="A358" s="49" t="n">
        <v>366</v>
      </c>
      <c r="B358" s="25" t="s">
        <v>3387</v>
      </c>
      <c r="C358" s="50"/>
      <c r="D358" s="50" t="s">
        <v>3118</v>
      </c>
      <c r="E358" s="49" t="s">
        <v>19</v>
      </c>
      <c r="F358" s="49" t="s">
        <v>2104</v>
      </c>
      <c r="G358" s="25" t="s">
        <v>3392</v>
      </c>
      <c r="H358" s="51" t="n">
        <v>5</v>
      </c>
      <c r="I358" s="49" t="s">
        <v>3139</v>
      </c>
      <c r="J358" s="50" t="s">
        <v>3393</v>
      </c>
      <c r="K358" s="25" t="s">
        <v>3394</v>
      </c>
      <c r="L358" s="49" t="s">
        <v>3395</v>
      </c>
      <c r="M358" s="25" t="s">
        <v>3123</v>
      </c>
      <c r="N358" s="49" t="s">
        <v>3124</v>
      </c>
      <c r="O358" s="25"/>
      <c r="P358" s="49"/>
      <c r="Q358" s="49"/>
      <c r="R358" s="50" t="s">
        <v>44</v>
      </c>
      <c r="S358" s="52" t="s">
        <v>69</v>
      </c>
    </row>
    <row r="359" customFormat="false" ht="15" hidden="false" customHeight="true" outlineLevel="0" collapsed="false">
      <c r="A359" s="46" t="n">
        <v>367</v>
      </c>
      <c r="B359" s="24" t="s">
        <v>3396</v>
      </c>
      <c r="C359" s="47"/>
      <c r="D359" s="47" t="s">
        <v>3118</v>
      </c>
      <c r="E359" s="46" t="s">
        <v>19</v>
      </c>
      <c r="F359" s="46" t="s">
        <v>2104</v>
      </c>
      <c r="G359" s="24" t="s">
        <v>3397</v>
      </c>
      <c r="H359" s="48" t="n">
        <v>5</v>
      </c>
      <c r="I359" s="46" t="s">
        <v>3092</v>
      </c>
      <c r="J359" s="47" t="s">
        <v>3398</v>
      </c>
      <c r="K359" s="24" t="s">
        <v>3399</v>
      </c>
      <c r="L359" s="46" t="s">
        <v>3400</v>
      </c>
      <c r="M359" s="24" t="s">
        <v>3123</v>
      </c>
      <c r="N359" s="46" t="s">
        <v>3124</v>
      </c>
      <c r="O359" s="24"/>
      <c r="P359" s="46"/>
      <c r="Q359" s="46"/>
      <c r="R359" s="47" t="s">
        <v>44</v>
      </c>
      <c r="S359" s="52" t="s">
        <v>69</v>
      </c>
    </row>
    <row r="360" customFormat="false" ht="15" hidden="false" customHeight="true" outlineLevel="0" collapsed="false">
      <c r="A360" s="49" t="n">
        <v>368</v>
      </c>
      <c r="B360" s="25" t="s">
        <v>3396</v>
      </c>
      <c r="C360" s="50"/>
      <c r="D360" s="50" t="s">
        <v>3118</v>
      </c>
      <c r="E360" s="49" t="s">
        <v>19</v>
      </c>
      <c r="F360" s="49" t="s">
        <v>2104</v>
      </c>
      <c r="G360" s="25" t="s">
        <v>3401</v>
      </c>
      <c r="H360" s="51" t="n">
        <v>5</v>
      </c>
      <c r="I360" s="49" t="s">
        <v>3102</v>
      </c>
      <c r="J360" s="50" t="s">
        <v>3398</v>
      </c>
      <c r="K360" s="25" t="s">
        <v>3402</v>
      </c>
      <c r="L360" s="49" t="s">
        <v>3403</v>
      </c>
      <c r="M360" s="25" t="s">
        <v>3123</v>
      </c>
      <c r="N360" s="49" t="s">
        <v>3124</v>
      </c>
      <c r="O360" s="25"/>
      <c r="P360" s="49"/>
      <c r="Q360" s="49"/>
      <c r="R360" s="50" t="s">
        <v>44</v>
      </c>
      <c r="S360" s="52" t="s">
        <v>69</v>
      </c>
    </row>
    <row r="361" customFormat="false" ht="15" hidden="false" customHeight="true" outlineLevel="0" collapsed="false">
      <c r="A361" s="46" t="n">
        <v>369</v>
      </c>
      <c r="B361" s="24" t="s">
        <v>3396</v>
      </c>
      <c r="C361" s="47"/>
      <c r="D361" s="47" t="s">
        <v>3118</v>
      </c>
      <c r="E361" s="46" t="s">
        <v>19</v>
      </c>
      <c r="F361" s="46" t="s">
        <v>2104</v>
      </c>
      <c r="G361" s="24" t="s">
        <v>3404</v>
      </c>
      <c r="H361" s="48" t="n">
        <v>5</v>
      </c>
      <c r="I361" s="46" t="s">
        <v>3102</v>
      </c>
      <c r="J361" s="47" t="s">
        <v>3405</v>
      </c>
      <c r="K361" s="24" t="s">
        <v>3121</v>
      </c>
      <c r="L361" s="46" t="s">
        <v>3122</v>
      </c>
      <c r="M361" s="24" t="s">
        <v>3123</v>
      </c>
      <c r="N361" s="46" t="s">
        <v>3124</v>
      </c>
      <c r="O361" s="24"/>
      <c r="P361" s="46"/>
      <c r="Q361" s="46"/>
      <c r="R361" s="47" t="s">
        <v>44</v>
      </c>
      <c r="S361" s="52" t="s">
        <v>69</v>
      </c>
    </row>
    <row r="362" customFormat="false" ht="15" hidden="false" customHeight="true" outlineLevel="0" collapsed="false">
      <c r="A362" s="49" t="n">
        <v>370</v>
      </c>
      <c r="B362" s="25" t="s">
        <v>3396</v>
      </c>
      <c r="C362" s="50"/>
      <c r="D362" s="50" t="s">
        <v>3118</v>
      </c>
      <c r="E362" s="49" t="s">
        <v>19</v>
      </c>
      <c r="F362" s="49" t="s">
        <v>2104</v>
      </c>
      <c r="G362" s="25" t="s">
        <v>3406</v>
      </c>
      <c r="H362" s="51" t="n">
        <v>5</v>
      </c>
      <c r="I362" s="49" t="s">
        <v>3102</v>
      </c>
      <c r="J362" s="50" t="s">
        <v>3407</v>
      </c>
      <c r="K362" s="25" t="s">
        <v>3311</v>
      </c>
      <c r="L362" s="49" t="s">
        <v>3408</v>
      </c>
      <c r="M362" s="25" t="s">
        <v>3123</v>
      </c>
      <c r="N362" s="49" t="s">
        <v>3124</v>
      </c>
      <c r="O362" s="25"/>
      <c r="P362" s="49"/>
      <c r="Q362" s="49"/>
      <c r="R362" s="50" t="s">
        <v>44</v>
      </c>
      <c r="S362" s="52" t="s">
        <v>69</v>
      </c>
    </row>
    <row r="363" customFormat="false" ht="15" hidden="false" customHeight="true" outlineLevel="0" collapsed="false">
      <c r="A363" s="46" t="n">
        <v>371</v>
      </c>
      <c r="B363" s="24" t="s">
        <v>3396</v>
      </c>
      <c r="C363" s="47"/>
      <c r="D363" s="47" t="s">
        <v>3118</v>
      </c>
      <c r="E363" s="46" t="s">
        <v>19</v>
      </c>
      <c r="F363" s="46" t="s">
        <v>2104</v>
      </c>
      <c r="G363" s="24" t="s">
        <v>3409</v>
      </c>
      <c r="H363" s="48" t="n">
        <v>5</v>
      </c>
      <c r="I363" s="46" t="s">
        <v>3139</v>
      </c>
      <c r="J363" s="47" t="s">
        <v>3410</v>
      </c>
      <c r="K363" s="24" t="s">
        <v>3113</v>
      </c>
      <c r="L363" s="46" t="s">
        <v>3411</v>
      </c>
      <c r="M363" s="24" t="s">
        <v>3123</v>
      </c>
      <c r="N363" s="46" t="s">
        <v>3124</v>
      </c>
      <c r="O363" s="24"/>
      <c r="P363" s="46"/>
      <c r="Q363" s="46"/>
      <c r="R363" s="47" t="s">
        <v>44</v>
      </c>
      <c r="S363" s="52" t="s">
        <v>69</v>
      </c>
    </row>
    <row r="364" customFormat="false" ht="15" hidden="false" customHeight="true" outlineLevel="0" collapsed="false">
      <c r="A364" s="49" t="n">
        <v>372</v>
      </c>
      <c r="B364" s="25" t="s">
        <v>3396</v>
      </c>
      <c r="C364" s="50"/>
      <c r="D364" s="50" t="s">
        <v>3118</v>
      </c>
      <c r="E364" s="49" t="s">
        <v>19</v>
      </c>
      <c r="F364" s="49" t="s">
        <v>2104</v>
      </c>
      <c r="G364" s="25" t="s">
        <v>3409</v>
      </c>
      <c r="H364" s="51" t="n">
        <v>5</v>
      </c>
      <c r="I364" s="49" t="s">
        <v>3171</v>
      </c>
      <c r="J364" s="50" t="s">
        <v>3398</v>
      </c>
      <c r="K364" s="25" t="s">
        <v>3412</v>
      </c>
      <c r="L364" s="49" t="s">
        <v>3413</v>
      </c>
      <c r="M364" s="25" t="s">
        <v>3123</v>
      </c>
      <c r="N364" s="49" t="s">
        <v>3124</v>
      </c>
      <c r="O364" s="25"/>
      <c r="P364" s="49"/>
      <c r="Q364" s="49"/>
      <c r="R364" s="50" t="s">
        <v>44</v>
      </c>
      <c r="S364" s="52" t="s">
        <v>69</v>
      </c>
    </row>
    <row r="365" customFormat="false" ht="15" hidden="false" customHeight="true" outlineLevel="0" collapsed="false">
      <c r="A365" s="46" t="n">
        <v>374</v>
      </c>
      <c r="B365" s="24" t="s">
        <v>3414</v>
      </c>
      <c r="C365" s="47"/>
      <c r="D365" s="47" t="s">
        <v>2194</v>
      </c>
      <c r="E365" s="46" t="s">
        <v>19</v>
      </c>
      <c r="F365" s="46" t="s">
        <v>2104</v>
      </c>
      <c r="G365" s="24" t="s">
        <v>3415</v>
      </c>
      <c r="H365" s="48" t="n">
        <v>5</v>
      </c>
      <c r="I365" s="46" t="s">
        <v>3309</v>
      </c>
      <c r="J365" s="47" t="s">
        <v>3416</v>
      </c>
      <c r="K365" s="24" t="s">
        <v>3417</v>
      </c>
      <c r="L365" s="46" t="s">
        <v>3418</v>
      </c>
      <c r="M365" s="24" t="s">
        <v>3313</v>
      </c>
      <c r="N365" s="46" t="s">
        <v>3314</v>
      </c>
      <c r="O365" s="24"/>
      <c r="P365" s="46"/>
      <c r="Q365" s="46"/>
      <c r="R365" s="47" t="s">
        <v>48</v>
      </c>
      <c r="S365" s="52" t="s">
        <v>69</v>
      </c>
    </row>
    <row r="366" customFormat="false" ht="15" hidden="false" customHeight="true" outlineLevel="0" collapsed="false">
      <c r="A366" s="49" t="n">
        <v>375</v>
      </c>
      <c r="B366" s="25" t="s">
        <v>3414</v>
      </c>
      <c r="C366" s="50"/>
      <c r="D366" s="50" t="s">
        <v>2194</v>
      </c>
      <c r="E366" s="49" t="s">
        <v>19</v>
      </c>
      <c r="F366" s="49" t="s">
        <v>2104</v>
      </c>
      <c r="G366" s="25" t="s">
        <v>3415</v>
      </c>
      <c r="H366" s="51" t="n">
        <v>5</v>
      </c>
      <c r="I366" s="49" t="s">
        <v>3327</v>
      </c>
      <c r="J366" s="50" t="s">
        <v>3419</v>
      </c>
      <c r="K366" s="25" t="s">
        <v>3420</v>
      </c>
      <c r="L366" s="49" t="s">
        <v>3421</v>
      </c>
      <c r="M366" s="25" t="s">
        <v>3313</v>
      </c>
      <c r="N366" s="49" t="s">
        <v>3314</v>
      </c>
      <c r="O366" s="25"/>
      <c r="P366" s="49"/>
      <c r="Q366" s="49"/>
      <c r="R366" s="50" t="s">
        <v>48</v>
      </c>
      <c r="S366" s="52" t="s">
        <v>69</v>
      </c>
    </row>
    <row r="367" customFormat="false" ht="15" hidden="false" customHeight="true" outlineLevel="0" collapsed="false">
      <c r="A367" s="46" t="n">
        <v>376</v>
      </c>
      <c r="B367" s="24" t="s">
        <v>3422</v>
      </c>
      <c r="C367" s="47"/>
      <c r="D367" s="47" t="s">
        <v>2194</v>
      </c>
      <c r="E367" s="46" t="s">
        <v>19</v>
      </c>
      <c r="F367" s="46" t="s">
        <v>2104</v>
      </c>
      <c r="G367" s="24" t="s">
        <v>3194</v>
      </c>
      <c r="H367" s="48" t="n">
        <v>5</v>
      </c>
      <c r="I367" s="46" t="s">
        <v>3309</v>
      </c>
      <c r="J367" s="47" t="s">
        <v>3423</v>
      </c>
      <c r="K367" s="24" t="s">
        <v>3424</v>
      </c>
      <c r="L367" s="46" t="s">
        <v>3425</v>
      </c>
      <c r="M367" s="24" t="s">
        <v>3313</v>
      </c>
      <c r="N367" s="46" t="s">
        <v>3314</v>
      </c>
      <c r="O367" s="24"/>
      <c r="P367" s="46"/>
      <c r="Q367" s="46"/>
      <c r="R367" s="47" t="s">
        <v>50</v>
      </c>
      <c r="S367" s="52" t="s">
        <v>69</v>
      </c>
    </row>
    <row r="368" customFormat="false" ht="15" hidden="false" customHeight="true" outlineLevel="0" collapsed="false">
      <c r="A368" s="49" t="n">
        <v>377</v>
      </c>
      <c r="B368" s="25" t="s">
        <v>3426</v>
      </c>
      <c r="C368" s="50"/>
      <c r="D368" s="50" t="s">
        <v>2194</v>
      </c>
      <c r="E368" s="49" t="s">
        <v>19</v>
      </c>
      <c r="F368" s="49" t="s">
        <v>2104</v>
      </c>
      <c r="G368" s="25" t="s">
        <v>3194</v>
      </c>
      <c r="H368" s="51" t="n">
        <v>5</v>
      </c>
      <c r="I368" s="49" t="s">
        <v>3309</v>
      </c>
      <c r="J368" s="50" t="s">
        <v>3427</v>
      </c>
      <c r="K368" s="25" t="s">
        <v>3428</v>
      </c>
      <c r="L368" s="49" t="s">
        <v>3429</v>
      </c>
      <c r="M368" s="25" t="s">
        <v>3313</v>
      </c>
      <c r="N368" s="49" t="s">
        <v>3314</v>
      </c>
      <c r="O368" s="25"/>
      <c r="P368" s="49"/>
      <c r="Q368" s="49"/>
      <c r="R368" s="50" t="s">
        <v>50</v>
      </c>
      <c r="S368" s="52" t="s">
        <v>69</v>
      </c>
    </row>
    <row r="369" customFormat="false" ht="15" hidden="false" customHeight="true" outlineLevel="0" collapsed="false">
      <c r="A369" s="46" t="n">
        <v>378</v>
      </c>
      <c r="B369" s="24" t="s">
        <v>3430</v>
      </c>
      <c r="C369" s="47"/>
      <c r="D369" s="47" t="s">
        <v>2194</v>
      </c>
      <c r="E369" s="46" t="s">
        <v>19</v>
      </c>
      <c r="F369" s="46" t="s">
        <v>2104</v>
      </c>
      <c r="G369" s="24" t="s">
        <v>3431</v>
      </c>
      <c r="H369" s="48" t="n">
        <v>5</v>
      </c>
      <c r="I369" s="46" t="s">
        <v>3309</v>
      </c>
      <c r="J369" s="47" t="s">
        <v>3432</v>
      </c>
      <c r="K369" s="24" t="s">
        <v>3433</v>
      </c>
      <c r="L369" s="46" t="s">
        <v>3434</v>
      </c>
      <c r="M369" s="24" t="s">
        <v>3313</v>
      </c>
      <c r="N369" s="46" t="s">
        <v>3314</v>
      </c>
      <c r="O369" s="24"/>
      <c r="P369" s="46"/>
      <c r="Q369" s="46"/>
      <c r="R369" s="47" t="s">
        <v>48</v>
      </c>
      <c r="S369" s="52" t="s">
        <v>69</v>
      </c>
    </row>
    <row r="370" customFormat="false" ht="15" hidden="false" customHeight="true" outlineLevel="0" collapsed="false">
      <c r="A370" s="49" t="n">
        <v>379</v>
      </c>
      <c r="B370" s="25" t="s">
        <v>3435</v>
      </c>
      <c r="C370" s="50"/>
      <c r="D370" s="50" t="s">
        <v>3436</v>
      </c>
      <c r="E370" s="49" t="s">
        <v>19</v>
      </c>
      <c r="F370" s="49" t="s">
        <v>2104</v>
      </c>
      <c r="G370" s="25" t="s">
        <v>3437</v>
      </c>
      <c r="H370" s="51" t="n">
        <v>5</v>
      </c>
      <c r="I370" s="49" t="s">
        <v>3092</v>
      </c>
      <c r="J370" s="50" t="s">
        <v>3438</v>
      </c>
      <c r="K370" s="25" t="s">
        <v>3149</v>
      </c>
      <c r="L370" s="49" t="s">
        <v>3439</v>
      </c>
      <c r="M370" s="25" t="s">
        <v>3131</v>
      </c>
      <c r="N370" s="49" t="s">
        <v>3132</v>
      </c>
      <c r="O370" s="25"/>
      <c r="P370" s="49"/>
      <c r="Q370" s="49"/>
      <c r="R370" s="50" t="s">
        <v>48</v>
      </c>
      <c r="S370" s="52" t="s">
        <v>69</v>
      </c>
    </row>
    <row r="371" customFormat="false" ht="15" hidden="false" customHeight="true" outlineLevel="0" collapsed="false">
      <c r="A371" s="46" t="n">
        <v>380</v>
      </c>
      <c r="B371" s="24" t="s">
        <v>3440</v>
      </c>
      <c r="C371" s="47"/>
      <c r="D371" s="47" t="s">
        <v>2194</v>
      </c>
      <c r="E371" s="46" t="s">
        <v>19</v>
      </c>
      <c r="F371" s="46" t="s">
        <v>2104</v>
      </c>
      <c r="G371" s="24" t="s">
        <v>3437</v>
      </c>
      <c r="H371" s="48" t="n">
        <v>5</v>
      </c>
      <c r="I371" s="46" t="s">
        <v>3327</v>
      </c>
      <c r="J371" s="47" t="s">
        <v>3441</v>
      </c>
      <c r="K371" s="24" t="s">
        <v>3442</v>
      </c>
      <c r="L371" s="46" t="s">
        <v>3443</v>
      </c>
      <c r="M371" s="24" t="s">
        <v>3313</v>
      </c>
      <c r="N371" s="46" t="s">
        <v>3314</v>
      </c>
      <c r="O371" s="24"/>
      <c r="P371" s="46"/>
      <c r="Q371" s="46"/>
      <c r="R371" s="47" t="s">
        <v>48</v>
      </c>
      <c r="S371" s="52" t="s">
        <v>69</v>
      </c>
    </row>
    <row r="372" customFormat="false" ht="15" hidden="false" customHeight="true" outlineLevel="0" collapsed="false">
      <c r="A372" s="49" t="n">
        <v>381</v>
      </c>
      <c r="B372" s="25" t="s">
        <v>3444</v>
      </c>
      <c r="C372" s="50"/>
      <c r="D372" s="50" t="s">
        <v>3126</v>
      </c>
      <c r="E372" s="49" t="s">
        <v>19</v>
      </c>
      <c r="F372" s="49" t="s">
        <v>2104</v>
      </c>
      <c r="G372" s="25" t="s">
        <v>3437</v>
      </c>
      <c r="H372" s="51" t="n">
        <v>5</v>
      </c>
      <c r="I372" s="49" t="s">
        <v>3092</v>
      </c>
      <c r="J372" s="50" t="s">
        <v>3445</v>
      </c>
      <c r="K372" s="25" t="s">
        <v>3446</v>
      </c>
      <c r="L372" s="49" t="s">
        <v>3447</v>
      </c>
      <c r="M372" s="25" t="s">
        <v>3131</v>
      </c>
      <c r="N372" s="49" t="s">
        <v>3132</v>
      </c>
      <c r="O372" s="25"/>
      <c r="P372" s="49"/>
      <c r="Q372" s="49"/>
      <c r="R372" s="50" t="s">
        <v>48</v>
      </c>
      <c r="S372" s="52" t="s">
        <v>69</v>
      </c>
    </row>
    <row r="373" customFormat="false" ht="15" hidden="false" customHeight="true" outlineLevel="0" collapsed="false">
      <c r="A373" s="46" t="n">
        <v>382</v>
      </c>
      <c r="B373" s="24" t="s">
        <v>3440</v>
      </c>
      <c r="C373" s="47"/>
      <c r="D373" s="47" t="s">
        <v>2194</v>
      </c>
      <c r="E373" s="46" t="s">
        <v>19</v>
      </c>
      <c r="F373" s="46" t="s">
        <v>2104</v>
      </c>
      <c r="G373" s="24" t="s">
        <v>3437</v>
      </c>
      <c r="H373" s="48" t="n">
        <v>5</v>
      </c>
      <c r="I373" s="46" t="s">
        <v>3309</v>
      </c>
      <c r="J373" s="47" t="s">
        <v>3448</v>
      </c>
      <c r="K373" s="24" t="s">
        <v>3449</v>
      </c>
      <c r="L373" s="46" t="s">
        <v>3450</v>
      </c>
      <c r="M373" s="24" t="s">
        <v>3313</v>
      </c>
      <c r="N373" s="46" t="s">
        <v>3314</v>
      </c>
      <c r="O373" s="24"/>
      <c r="P373" s="46"/>
      <c r="Q373" s="46"/>
      <c r="R373" s="47" t="s">
        <v>48</v>
      </c>
      <c r="S373" s="52" t="s">
        <v>69</v>
      </c>
    </row>
    <row r="374" customFormat="false" ht="15" hidden="false" customHeight="true" outlineLevel="0" collapsed="false">
      <c r="A374" s="49" t="n">
        <v>383</v>
      </c>
      <c r="B374" s="25" t="s">
        <v>3451</v>
      </c>
      <c r="C374" s="50"/>
      <c r="D374" s="50" t="s">
        <v>3126</v>
      </c>
      <c r="E374" s="49" t="s">
        <v>19</v>
      </c>
      <c r="F374" s="49" t="s">
        <v>2104</v>
      </c>
      <c r="G374" s="25" t="s">
        <v>3437</v>
      </c>
      <c r="H374" s="51" t="n">
        <v>5</v>
      </c>
      <c r="I374" s="49" t="s">
        <v>3092</v>
      </c>
      <c r="J374" s="50" t="s">
        <v>3452</v>
      </c>
      <c r="K374" s="25" t="s">
        <v>3453</v>
      </c>
      <c r="L374" s="49" t="s">
        <v>3454</v>
      </c>
      <c r="M374" s="25" t="s">
        <v>3131</v>
      </c>
      <c r="N374" s="49" t="s">
        <v>3132</v>
      </c>
      <c r="O374" s="25"/>
      <c r="P374" s="49"/>
      <c r="Q374" s="49"/>
      <c r="R374" s="50" t="s">
        <v>48</v>
      </c>
      <c r="S374" s="52" t="s">
        <v>69</v>
      </c>
    </row>
    <row r="375" customFormat="false" ht="15" hidden="false" customHeight="true" outlineLevel="0" collapsed="false">
      <c r="A375" s="46" t="n">
        <v>384</v>
      </c>
      <c r="B375" s="24" t="s">
        <v>3455</v>
      </c>
      <c r="C375" s="47"/>
      <c r="D375" s="47" t="s">
        <v>3126</v>
      </c>
      <c r="E375" s="46" t="s">
        <v>19</v>
      </c>
      <c r="F375" s="46" t="s">
        <v>2104</v>
      </c>
      <c r="G375" s="24" t="s">
        <v>3437</v>
      </c>
      <c r="H375" s="48" t="n">
        <v>5</v>
      </c>
      <c r="I375" s="46" t="s">
        <v>3102</v>
      </c>
      <c r="J375" s="47" t="s">
        <v>3456</v>
      </c>
      <c r="K375" s="24" t="s">
        <v>3457</v>
      </c>
      <c r="L375" s="46" t="s">
        <v>3458</v>
      </c>
      <c r="M375" s="24" t="s">
        <v>3131</v>
      </c>
      <c r="N375" s="46" t="s">
        <v>3132</v>
      </c>
      <c r="O375" s="24"/>
      <c r="P375" s="46"/>
      <c r="Q375" s="46"/>
      <c r="R375" s="47" t="s">
        <v>48</v>
      </c>
      <c r="S375" s="52" t="s">
        <v>69</v>
      </c>
    </row>
    <row r="376" customFormat="false" ht="15" hidden="false" customHeight="true" outlineLevel="0" collapsed="false">
      <c r="A376" s="49" t="n">
        <v>385</v>
      </c>
      <c r="B376" s="25" t="s">
        <v>3459</v>
      </c>
      <c r="C376" s="50"/>
      <c r="D376" s="50" t="s">
        <v>2194</v>
      </c>
      <c r="E376" s="49" t="s">
        <v>19</v>
      </c>
      <c r="F376" s="49" t="s">
        <v>2104</v>
      </c>
      <c r="G376" s="25" t="s">
        <v>3431</v>
      </c>
      <c r="H376" s="51" t="n">
        <v>5</v>
      </c>
      <c r="I376" s="49" t="s">
        <v>3309</v>
      </c>
      <c r="J376" s="50" t="s">
        <v>3460</v>
      </c>
      <c r="K376" s="25" t="s">
        <v>3461</v>
      </c>
      <c r="L376" s="49" t="s">
        <v>3462</v>
      </c>
      <c r="M376" s="25" t="s">
        <v>3313</v>
      </c>
      <c r="N376" s="49" t="s">
        <v>3314</v>
      </c>
      <c r="O376" s="25"/>
      <c r="P376" s="49"/>
      <c r="Q376" s="49"/>
      <c r="R376" s="50" t="s">
        <v>48</v>
      </c>
      <c r="S376" s="52" t="s">
        <v>69</v>
      </c>
    </row>
    <row r="377" customFormat="false" ht="15" hidden="false" customHeight="true" outlineLevel="0" collapsed="false">
      <c r="A377" s="46" t="n">
        <v>386</v>
      </c>
      <c r="B377" s="24" t="s">
        <v>3463</v>
      </c>
      <c r="C377" s="47"/>
      <c r="D377" s="47" t="s">
        <v>2194</v>
      </c>
      <c r="E377" s="46" t="s">
        <v>19</v>
      </c>
      <c r="F377" s="46" t="s">
        <v>2104</v>
      </c>
      <c r="G377" s="24" t="s">
        <v>3194</v>
      </c>
      <c r="H377" s="48" t="n">
        <v>5</v>
      </c>
      <c r="I377" s="46" t="s">
        <v>3309</v>
      </c>
      <c r="J377" s="47" t="s">
        <v>3464</v>
      </c>
      <c r="K377" s="24" t="s">
        <v>3465</v>
      </c>
      <c r="L377" s="46" t="s">
        <v>3466</v>
      </c>
      <c r="M377" s="24" t="s">
        <v>3313</v>
      </c>
      <c r="N377" s="46" t="s">
        <v>3314</v>
      </c>
      <c r="O377" s="24"/>
      <c r="P377" s="46"/>
      <c r="Q377" s="46"/>
      <c r="R377" s="47" t="s">
        <v>50</v>
      </c>
      <c r="S377" s="52" t="s">
        <v>69</v>
      </c>
    </row>
    <row r="378" customFormat="false" ht="15" hidden="false" customHeight="true" outlineLevel="0" collapsed="false">
      <c r="A378" s="49" t="n">
        <v>387</v>
      </c>
      <c r="B378" s="25" t="s">
        <v>3467</v>
      </c>
      <c r="C378" s="50"/>
      <c r="D378" s="50" t="s">
        <v>2194</v>
      </c>
      <c r="E378" s="49" t="s">
        <v>19</v>
      </c>
      <c r="F378" s="49" t="s">
        <v>2104</v>
      </c>
      <c r="G378" s="25" t="s">
        <v>3415</v>
      </c>
      <c r="H378" s="51" t="n">
        <v>5</v>
      </c>
      <c r="I378" s="49" t="s">
        <v>3327</v>
      </c>
      <c r="J378" s="50" t="s">
        <v>3468</v>
      </c>
      <c r="K378" s="25" t="s">
        <v>3311</v>
      </c>
      <c r="L378" s="49" t="s">
        <v>3469</v>
      </c>
      <c r="M378" s="25" t="s">
        <v>3313</v>
      </c>
      <c r="N378" s="49" t="s">
        <v>3314</v>
      </c>
      <c r="O378" s="25"/>
      <c r="P378" s="49"/>
      <c r="Q378" s="49"/>
      <c r="R378" s="50" t="s">
        <v>48</v>
      </c>
      <c r="S378" s="52" t="s">
        <v>69</v>
      </c>
    </row>
    <row r="379" customFormat="false" ht="15" hidden="false" customHeight="true" outlineLevel="0" collapsed="false">
      <c r="A379" s="46" t="n">
        <v>388</v>
      </c>
      <c r="B379" s="24" t="s">
        <v>3125</v>
      </c>
      <c r="C379" s="47"/>
      <c r="D379" s="47" t="s">
        <v>3126</v>
      </c>
      <c r="E379" s="46" t="s">
        <v>19</v>
      </c>
      <c r="F379" s="46" t="s">
        <v>2104</v>
      </c>
      <c r="G379" s="24" t="s">
        <v>3437</v>
      </c>
      <c r="H379" s="48" t="n">
        <v>5</v>
      </c>
      <c r="I379" s="46" t="s">
        <v>3102</v>
      </c>
      <c r="J379" s="47" t="s">
        <v>3470</v>
      </c>
      <c r="K379" s="24" t="s">
        <v>3471</v>
      </c>
      <c r="L379" s="46" t="s">
        <v>3130</v>
      </c>
      <c r="M379" s="24" t="s">
        <v>3131</v>
      </c>
      <c r="N379" s="46" t="s">
        <v>3132</v>
      </c>
      <c r="O379" s="24"/>
      <c r="P379" s="46"/>
      <c r="Q379" s="46"/>
      <c r="R379" s="47" t="s">
        <v>48</v>
      </c>
      <c r="S379" s="52" t="s">
        <v>69</v>
      </c>
    </row>
    <row r="380" customFormat="false" ht="15" hidden="false" customHeight="true" outlineLevel="0" collapsed="false">
      <c r="A380" s="49" t="n">
        <v>389</v>
      </c>
      <c r="B380" s="25" t="s">
        <v>3455</v>
      </c>
      <c r="C380" s="50"/>
      <c r="D380" s="50" t="s">
        <v>3126</v>
      </c>
      <c r="E380" s="49" t="s">
        <v>19</v>
      </c>
      <c r="F380" s="49" t="s">
        <v>2104</v>
      </c>
      <c r="G380" s="25" t="s">
        <v>3472</v>
      </c>
      <c r="H380" s="51" t="n">
        <v>5</v>
      </c>
      <c r="I380" s="49" t="s">
        <v>3102</v>
      </c>
      <c r="J380" s="50" t="s">
        <v>3473</v>
      </c>
      <c r="K380" s="25" t="s">
        <v>3474</v>
      </c>
      <c r="L380" s="49" t="s">
        <v>3475</v>
      </c>
      <c r="M380" s="25" t="s">
        <v>3131</v>
      </c>
      <c r="N380" s="49" t="s">
        <v>3132</v>
      </c>
      <c r="O380" s="25"/>
      <c r="P380" s="49"/>
      <c r="Q380" s="49"/>
      <c r="R380" s="50" t="s">
        <v>49</v>
      </c>
      <c r="S380" s="52" t="s">
        <v>69</v>
      </c>
    </row>
    <row r="381" customFormat="false" ht="15" hidden="false" customHeight="true" outlineLevel="0" collapsed="false">
      <c r="A381" s="46" t="n">
        <v>390</v>
      </c>
      <c r="B381" s="24" t="s">
        <v>3455</v>
      </c>
      <c r="C381" s="47"/>
      <c r="D381" s="47" t="s">
        <v>3126</v>
      </c>
      <c r="E381" s="46" t="s">
        <v>19</v>
      </c>
      <c r="F381" s="46" t="s">
        <v>2104</v>
      </c>
      <c r="G381" s="24" t="s">
        <v>3476</v>
      </c>
      <c r="H381" s="48" t="n">
        <v>5</v>
      </c>
      <c r="I381" s="46" t="s">
        <v>3102</v>
      </c>
      <c r="J381" s="47" t="s">
        <v>3477</v>
      </c>
      <c r="K381" s="24" t="s">
        <v>3478</v>
      </c>
      <c r="L381" s="46" t="s">
        <v>3479</v>
      </c>
      <c r="M381" s="24" t="s">
        <v>3131</v>
      </c>
      <c r="N381" s="46" t="s">
        <v>3132</v>
      </c>
      <c r="O381" s="24"/>
      <c r="P381" s="46"/>
      <c r="Q381" s="46"/>
      <c r="R381" s="47" t="s">
        <v>48</v>
      </c>
      <c r="S381" s="52" t="s">
        <v>69</v>
      </c>
    </row>
    <row r="382" customFormat="false" ht="15" hidden="false" customHeight="true" outlineLevel="0" collapsed="false">
      <c r="A382" s="49" t="n">
        <v>391</v>
      </c>
      <c r="B382" s="25" t="s">
        <v>3480</v>
      </c>
      <c r="C382" s="50"/>
      <c r="D382" s="50" t="s">
        <v>2194</v>
      </c>
      <c r="E382" s="49" t="s">
        <v>19</v>
      </c>
      <c r="F382" s="49" t="s">
        <v>2104</v>
      </c>
      <c r="G382" s="25" t="s">
        <v>3194</v>
      </c>
      <c r="H382" s="51" t="n">
        <v>5</v>
      </c>
      <c r="I382" s="49" t="s">
        <v>3327</v>
      </c>
      <c r="J382" s="50" t="s">
        <v>3481</v>
      </c>
      <c r="K382" s="25" t="s">
        <v>3482</v>
      </c>
      <c r="L382" s="49" t="s">
        <v>3483</v>
      </c>
      <c r="M382" s="25" t="s">
        <v>3313</v>
      </c>
      <c r="N382" s="49" t="s">
        <v>3314</v>
      </c>
      <c r="O382" s="25"/>
      <c r="P382" s="49"/>
      <c r="Q382" s="49"/>
      <c r="R382" s="50" t="s">
        <v>50</v>
      </c>
      <c r="S382" s="52" t="s">
        <v>69</v>
      </c>
    </row>
    <row r="383" customFormat="false" ht="15" hidden="false" customHeight="true" outlineLevel="0" collapsed="false">
      <c r="A383" s="46" t="n">
        <v>392</v>
      </c>
      <c r="B383" s="24" t="s">
        <v>3484</v>
      </c>
      <c r="C383" s="47"/>
      <c r="D383" s="47" t="s">
        <v>2194</v>
      </c>
      <c r="E383" s="46" t="s">
        <v>19</v>
      </c>
      <c r="F383" s="46" t="s">
        <v>2104</v>
      </c>
      <c r="G383" s="24" t="s">
        <v>3194</v>
      </c>
      <c r="H383" s="48" t="n">
        <v>5</v>
      </c>
      <c r="I383" s="46" t="s">
        <v>3309</v>
      </c>
      <c r="J383" s="47" t="s">
        <v>3485</v>
      </c>
      <c r="K383" s="24" t="s">
        <v>3486</v>
      </c>
      <c r="L383" s="46" t="s">
        <v>3487</v>
      </c>
      <c r="M383" s="24" t="s">
        <v>3313</v>
      </c>
      <c r="N383" s="46" t="s">
        <v>3314</v>
      </c>
      <c r="O383" s="24"/>
      <c r="P383" s="46"/>
      <c r="Q383" s="46"/>
      <c r="R383" s="47" t="s">
        <v>50</v>
      </c>
      <c r="S383" s="52" t="s">
        <v>69</v>
      </c>
    </row>
    <row r="384" customFormat="false" ht="15" hidden="false" customHeight="true" outlineLevel="0" collapsed="false">
      <c r="A384" s="49" t="n">
        <v>393</v>
      </c>
      <c r="B384" s="25" t="s">
        <v>3488</v>
      </c>
      <c r="C384" s="50"/>
      <c r="D384" s="50" t="s">
        <v>3126</v>
      </c>
      <c r="E384" s="49" t="s">
        <v>19</v>
      </c>
      <c r="F384" s="49" t="s">
        <v>2104</v>
      </c>
      <c r="G384" s="25" t="s">
        <v>3431</v>
      </c>
      <c r="H384" s="51" t="n">
        <v>1</v>
      </c>
      <c r="I384" s="49" t="s">
        <v>3102</v>
      </c>
      <c r="J384" s="50" t="s">
        <v>3489</v>
      </c>
      <c r="K384" s="25" t="s">
        <v>3490</v>
      </c>
      <c r="L384" s="49" t="s">
        <v>3491</v>
      </c>
      <c r="M384" s="25" t="s">
        <v>3131</v>
      </c>
      <c r="N384" s="49" t="s">
        <v>3132</v>
      </c>
      <c r="O384" s="25"/>
      <c r="P384" s="49"/>
      <c r="Q384" s="49"/>
      <c r="R384" s="50" t="s">
        <v>48</v>
      </c>
      <c r="S384" s="52" t="s">
        <v>69</v>
      </c>
    </row>
    <row r="385" customFormat="false" ht="15" hidden="false" customHeight="true" outlineLevel="0" collapsed="false">
      <c r="A385" s="46" t="n">
        <v>394</v>
      </c>
      <c r="B385" s="24" t="s">
        <v>3492</v>
      </c>
      <c r="C385" s="47"/>
      <c r="D385" s="47" t="s">
        <v>2194</v>
      </c>
      <c r="E385" s="46" t="s">
        <v>19</v>
      </c>
      <c r="F385" s="46" t="s">
        <v>2104</v>
      </c>
      <c r="G385" s="24" t="s">
        <v>3194</v>
      </c>
      <c r="H385" s="48" t="n">
        <v>5</v>
      </c>
      <c r="I385" s="46" t="s">
        <v>3309</v>
      </c>
      <c r="J385" s="47" t="s">
        <v>3493</v>
      </c>
      <c r="K385" s="24" t="s">
        <v>3494</v>
      </c>
      <c r="L385" s="46" t="s">
        <v>3495</v>
      </c>
      <c r="M385" s="24" t="s">
        <v>3313</v>
      </c>
      <c r="N385" s="46" t="s">
        <v>3314</v>
      </c>
      <c r="O385" s="24"/>
      <c r="P385" s="46"/>
      <c r="Q385" s="46"/>
      <c r="R385" s="47" t="s">
        <v>50</v>
      </c>
      <c r="S385" s="52" t="s">
        <v>69</v>
      </c>
    </row>
    <row r="386" customFormat="false" ht="15" hidden="false" customHeight="true" outlineLevel="0" collapsed="false">
      <c r="A386" s="49" t="n">
        <v>395</v>
      </c>
      <c r="B386" s="25" t="s">
        <v>3496</v>
      </c>
      <c r="C386" s="50"/>
      <c r="D386" s="50" t="s">
        <v>3126</v>
      </c>
      <c r="E386" s="49" t="s">
        <v>19</v>
      </c>
      <c r="F386" s="49" t="s">
        <v>2104</v>
      </c>
      <c r="G386" s="25" t="s">
        <v>3431</v>
      </c>
      <c r="H386" s="51" t="n">
        <v>5</v>
      </c>
      <c r="I386" s="49" t="s">
        <v>3102</v>
      </c>
      <c r="J386" s="50" t="s">
        <v>3497</v>
      </c>
      <c r="K386" s="25" t="s">
        <v>3498</v>
      </c>
      <c r="L386" s="49" t="s">
        <v>3499</v>
      </c>
      <c r="M386" s="25" t="s">
        <v>3131</v>
      </c>
      <c r="N386" s="49" t="s">
        <v>3132</v>
      </c>
      <c r="O386" s="25"/>
      <c r="P386" s="49"/>
      <c r="Q386" s="49"/>
      <c r="R386" s="50" t="s">
        <v>48</v>
      </c>
      <c r="S386" s="52" t="s">
        <v>69</v>
      </c>
    </row>
    <row r="387" customFormat="false" ht="15" hidden="false" customHeight="true" outlineLevel="0" collapsed="false">
      <c r="A387" s="46" t="n">
        <v>396</v>
      </c>
      <c r="B387" s="24" t="s">
        <v>3492</v>
      </c>
      <c r="C387" s="47"/>
      <c r="D387" s="47" t="s">
        <v>2194</v>
      </c>
      <c r="E387" s="46" t="s">
        <v>19</v>
      </c>
      <c r="F387" s="46" t="s">
        <v>2104</v>
      </c>
      <c r="G387" s="24" t="s">
        <v>3194</v>
      </c>
      <c r="H387" s="48" t="n">
        <v>5</v>
      </c>
      <c r="I387" s="46" t="s">
        <v>3354</v>
      </c>
      <c r="J387" s="47" t="s">
        <v>3500</v>
      </c>
      <c r="K387" s="24" t="s">
        <v>3501</v>
      </c>
      <c r="L387" s="46" t="s">
        <v>3502</v>
      </c>
      <c r="M387" s="24" t="s">
        <v>3313</v>
      </c>
      <c r="N387" s="46" t="s">
        <v>3314</v>
      </c>
      <c r="O387" s="24"/>
      <c r="P387" s="46"/>
      <c r="Q387" s="46"/>
      <c r="R387" s="47" t="s">
        <v>50</v>
      </c>
      <c r="S387" s="52" t="s">
        <v>69</v>
      </c>
    </row>
    <row r="388" customFormat="false" ht="15" hidden="false" customHeight="true" outlineLevel="0" collapsed="false">
      <c r="A388" s="49" t="n">
        <v>397</v>
      </c>
      <c r="B388" s="25" t="s">
        <v>3503</v>
      </c>
      <c r="C388" s="50"/>
      <c r="D388" s="50" t="s">
        <v>2194</v>
      </c>
      <c r="E388" s="49" t="s">
        <v>19</v>
      </c>
      <c r="F388" s="49" t="s">
        <v>2104</v>
      </c>
      <c r="G388" s="25" t="s">
        <v>3194</v>
      </c>
      <c r="H388" s="51" t="n">
        <v>5</v>
      </c>
      <c r="I388" s="49" t="s">
        <v>3309</v>
      </c>
      <c r="J388" s="50" t="s">
        <v>3504</v>
      </c>
      <c r="K388" s="25" t="s">
        <v>3505</v>
      </c>
      <c r="L388" s="49" t="s">
        <v>3506</v>
      </c>
      <c r="M388" s="25" t="s">
        <v>3313</v>
      </c>
      <c r="N388" s="49" t="s">
        <v>3314</v>
      </c>
      <c r="O388" s="25"/>
      <c r="P388" s="49"/>
      <c r="Q388" s="49"/>
      <c r="R388" s="50" t="s">
        <v>50</v>
      </c>
      <c r="S388" s="52" t="s">
        <v>69</v>
      </c>
    </row>
    <row r="389" customFormat="false" ht="15" hidden="false" customHeight="true" outlineLevel="0" collapsed="false">
      <c r="A389" s="46" t="n">
        <v>398</v>
      </c>
      <c r="B389" s="24" t="s">
        <v>3507</v>
      </c>
      <c r="C389" s="47"/>
      <c r="D389" s="47" t="s">
        <v>3082</v>
      </c>
      <c r="E389" s="46" t="s">
        <v>19</v>
      </c>
      <c r="F389" s="46" t="s">
        <v>2104</v>
      </c>
      <c r="G389" s="24" t="s">
        <v>3508</v>
      </c>
      <c r="H389" s="48" t="n">
        <v>5</v>
      </c>
      <c r="I389" s="46" t="s">
        <v>3509</v>
      </c>
      <c r="J389" s="47" t="s">
        <v>3103</v>
      </c>
      <c r="K389" s="24" t="s">
        <v>3510</v>
      </c>
      <c r="L389" s="46" t="s">
        <v>3511</v>
      </c>
      <c r="M389" s="24" t="s">
        <v>2388</v>
      </c>
      <c r="N389" s="46" t="s">
        <v>2216</v>
      </c>
      <c r="O389" s="24" t="s">
        <v>3088</v>
      </c>
      <c r="P389" s="46" t="s">
        <v>3089</v>
      </c>
      <c r="Q389" s="46"/>
      <c r="R389" s="47" t="s">
        <v>50</v>
      </c>
      <c r="S389" s="52" t="s">
        <v>65</v>
      </c>
    </row>
    <row r="390" customFormat="false" ht="15" hidden="false" customHeight="true" outlineLevel="0" collapsed="false">
      <c r="A390" s="49" t="n">
        <v>399</v>
      </c>
      <c r="B390" s="25" t="s">
        <v>3512</v>
      </c>
      <c r="C390" s="50"/>
      <c r="D390" s="50" t="s">
        <v>2194</v>
      </c>
      <c r="E390" s="49" t="s">
        <v>19</v>
      </c>
      <c r="F390" s="49" t="s">
        <v>2104</v>
      </c>
      <c r="G390" s="25" t="s">
        <v>3194</v>
      </c>
      <c r="H390" s="51" t="n">
        <v>5</v>
      </c>
      <c r="I390" s="49" t="s">
        <v>3309</v>
      </c>
      <c r="J390" s="50" t="s">
        <v>3513</v>
      </c>
      <c r="K390" s="25" t="s">
        <v>3514</v>
      </c>
      <c r="L390" s="49" t="s">
        <v>3515</v>
      </c>
      <c r="M390" s="25" t="s">
        <v>3313</v>
      </c>
      <c r="N390" s="49" t="s">
        <v>3314</v>
      </c>
      <c r="O390" s="25"/>
      <c r="P390" s="49"/>
      <c r="Q390" s="49"/>
      <c r="R390" s="50" t="s">
        <v>50</v>
      </c>
      <c r="S390" s="52" t="s">
        <v>69</v>
      </c>
    </row>
    <row r="391" customFormat="false" ht="15" hidden="false" customHeight="true" outlineLevel="0" collapsed="false">
      <c r="A391" s="46" t="n">
        <v>400</v>
      </c>
      <c r="B391" s="24" t="s">
        <v>3516</v>
      </c>
      <c r="C391" s="47"/>
      <c r="D391" s="47" t="s">
        <v>2194</v>
      </c>
      <c r="E391" s="46" t="s">
        <v>19</v>
      </c>
      <c r="F391" s="46" t="s">
        <v>2104</v>
      </c>
      <c r="G391" s="24" t="s">
        <v>3194</v>
      </c>
      <c r="H391" s="48" t="n">
        <v>5</v>
      </c>
      <c r="I391" s="46" t="s">
        <v>3354</v>
      </c>
      <c r="J391" s="47" t="s">
        <v>3517</v>
      </c>
      <c r="K391" s="24" t="s">
        <v>3518</v>
      </c>
      <c r="L391" s="46" t="s">
        <v>3519</v>
      </c>
      <c r="M391" s="24" t="s">
        <v>3313</v>
      </c>
      <c r="N391" s="46" t="s">
        <v>3314</v>
      </c>
      <c r="O391" s="24"/>
      <c r="P391" s="46"/>
      <c r="Q391" s="46"/>
      <c r="R391" s="47" t="s">
        <v>50</v>
      </c>
      <c r="S391" s="52" t="s">
        <v>69</v>
      </c>
    </row>
    <row r="392" customFormat="false" ht="15" hidden="false" customHeight="true" outlineLevel="0" collapsed="false">
      <c r="A392" s="49" t="n">
        <v>401</v>
      </c>
      <c r="B392" s="25" t="s">
        <v>3507</v>
      </c>
      <c r="C392" s="50"/>
      <c r="D392" s="50" t="s">
        <v>3082</v>
      </c>
      <c r="E392" s="49" t="s">
        <v>19</v>
      </c>
      <c r="F392" s="49" t="s">
        <v>2104</v>
      </c>
      <c r="G392" s="25" t="s">
        <v>3437</v>
      </c>
      <c r="H392" s="51" t="n">
        <v>1</v>
      </c>
      <c r="I392" s="49" t="s">
        <v>3520</v>
      </c>
      <c r="J392" s="50" t="s">
        <v>3521</v>
      </c>
      <c r="K392" s="25" t="s">
        <v>3522</v>
      </c>
      <c r="L392" s="49" t="s">
        <v>3523</v>
      </c>
      <c r="M392" s="25" t="s">
        <v>2388</v>
      </c>
      <c r="N392" s="49" t="s">
        <v>2216</v>
      </c>
      <c r="O392" s="25" t="s">
        <v>3088</v>
      </c>
      <c r="P392" s="49" t="s">
        <v>3089</v>
      </c>
      <c r="Q392" s="49"/>
      <c r="R392" s="50" t="s">
        <v>48</v>
      </c>
      <c r="S392" s="50"/>
    </row>
    <row r="393" customFormat="false" ht="15" hidden="false" customHeight="true" outlineLevel="0" collapsed="false">
      <c r="A393" s="46" t="n">
        <v>402</v>
      </c>
      <c r="B393" s="24" t="s">
        <v>3507</v>
      </c>
      <c r="C393" s="47"/>
      <c r="D393" s="47" t="s">
        <v>3082</v>
      </c>
      <c r="E393" s="46" t="s">
        <v>19</v>
      </c>
      <c r="F393" s="46" t="s">
        <v>2104</v>
      </c>
      <c r="G393" s="24" t="s">
        <v>3472</v>
      </c>
      <c r="H393" s="48" t="n">
        <v>5</v>
      </c>
      <c r="I393" s="46" t="s">
        <v>3509</v>
      </c>
      <c r="J393" s="47" t="s">
        <v>3524</v>
      </c>
      <c r="K393" s="24" t="s">
        <v>3525</v>
      </c>
      <c r="L393" s="46" t="s">
        <v>3526</v>
      </c>
      <c r="M393" s="24" t="s">
        <v>2388</v>
      </c>
      <c r="N393" s="46" t="s">
        <v>2216</v>
      </c>
      <c r="O393" s="24" t="s">
        <v>3088</v>
      </c>
      <c r="P393" s="46" t="s">
        <v>3089</v>
      </c>
      <c r="Q393" s="46"/>
      <c r="R393" s="47" t="s">
        <v>49</v>
      </c>
      <c r="S393" s="47"/>
    </row>
    <row r="394" customFormat="false" ht="15" hidden="false" customHeight="true" outlineLevel="0" collapsed="false">
      <c r="A394" s="49" t="n">
        <v>403</v>
      </c>
      <c r="B394" s="25" t="s">
        <v>3507</v>
      </c>
      <c r="C394" s="50"/>
      <c r="D394" s="50" t="s">
        <v>3082</v>
      </c>
      <c r="E394" s="49" t="s">
        <v>19</v>
      </c>
      <c r="F394" s="49" t="s">
        <v>2104</v>
      </c>
      <c r="G394" s="25" t="s">
        <v>3472</v>
      </c>
      <c r="H394" s="51" t="n">
        <v>5</v>
      </c>
      <c r="I394" s="49" t="s">
        <v>3520</v>
      </c>
      <c r="J394" s="50" t="s">
        <v>3527</v>
      </c>
      <c r="K394" s="25" t="s">
        <v>3528</v>
      </c>
      <c r="L394" s="49" t="s">
        <v>3529</v>
      </c>
      <c r="M394" s="25" t="s">
        <v>2388</v>
      </c>
      <c r="N394" s="49" t="s">
        <v>2216</v>
      </c>
      <c r="O394" s="25" t="s">
        <v>3088</v>
      </c>
      <c r="P394" s="49" t="s">
        <v>3089</v>
      </c>
      <c r="Q394" s="49"/>
      <c r="R394" s="50" t="s">
        <v>49</v>
      </c>
      <c r="S394" s="50"/>
    </row>
    <row r="395" customFormat="false" ht="15" hidden="false" customHeight="true" outlineLevel="0" collapsed="false">
      <c r="A395" s="46" t="n">
        <v>404</v>
      </c>
      <c r="B395" s="24" t="s">
        <v>3081</v>
      </c>
      <c r="C395" s="47"/>
      <c r="D395" s="47" t="s">
        <v>3082</v>
      </c>
      <c r="E395" s="46" t="s">
        <v>19</v>
      </c>
      <c r="F395" s="46" t="s">
        <v>2104</v>
      </c>
      <c r="G395" s="24" t="s">
        <v>3472</v>
      </c>
      <c r="H395" s="48" t="n">
        <v>5</v>
      </c>
      <c r="I395" s="46" t="s">
        <v>3530</v>
      </c>
      <c r="J395" s="47" t="s">
        <v>3531</v>
      </c>
      <c r="K395" s="24" t="s">
        <v>3532</v>
      </c>
      <c r="L395" s="46" t="s">
        <v>3533</v>
      </c>
      <c r="M395" s="24" t="s">
        <v>2388</v>
      </c>
      <c r="N395" s="46" t="s">
        <v>2216</v>
      </c>
      <c r="O395" s="24" t="s">
        <v>3088</v>
      </c>
      <c r="P395" s="46" t="s">
        <v>3089</v>
      </c>
      <c r="Q395" s="46"/>
      <c r="R395" s="47" t="s">
        <v>49</v>
      </c>
      <c r="S395" s="47"/>
    </row>
    <row r="396" customFormat="false" ht="15" hidden="false" customHeight="true" outlineLevel="0" collapsed="false">
      <c r="A396" s="49" t="n">
        <v>405</v>
      </c>
      <c r="B396" s="25" t="s">
        <v>3081</v>
      </c>
      <c r="C396" s="50"/>
      <c r="D396" s="50" t="s">
        <v>3082</v>
      </c>
      <c r="E396" s="49" t="s">
        <v>19</v>
      </c>
      <c r="F396" s="49" t="s">
        <v>2104</v>
      </c>
      <c r="G396" s="25" t="s">
        <v>3472</v>
      </c>
      <c r="H396" s="51" t="n">
        <v>5</v>
      </c>
      <c r="I396" s="49" t="s">
        <v>3530</v>
      </c>
      <c r="J396" s="50" t="s">
        <v>3534</v>
      </c>
      <c r="K396" s="25" t="s">
        <v>3535</v>
      </c>
      <c r="L396" s="49" t="s">
        <v>3536</v>
      </c>
      <c r="M396" s="25" t="s">
        <v>2388</v>
      </c>
      <c r="N396" s="49" t="s">
        <v>2216</v>
      </c>
      <c r="O396" s="25" t="s">
        <v>3088</v>
      </c>
      <c r="P396" s="49" t="s">
        <v>3089</v>
      </c>
      <c r="Q396" s="49"/>
      <c r="R396" s="50" t="s">
        <v>49</v>
      </c>
      <c r="S396" s="50"/>
    </row>
    <row r="397" customFormat="false" ht="15" hidden="false" customHeight="true" outlineLevel="0" collapsed="false">
      <c r="A397" s="46" t="n">
        <v>406</v>
      </c>
      <c r="B397" s="24" t="s">
        <v>3081</v>
      </c>
      <c r="C397" s="47"/>
      <c r="D397" s="47" t="s">
        <v>3082</v>
      </c>
      <c r="E397" s="46" t="s">
        <v>19</v>
      </c>
      <c r="F397" s="46" t="s">
        <v>2104</v>
      </c>
      <c r="G397" s="24" t="s">
        <v>3472</v>
      </c>
      <c r="H397" s="48" t="n">
        <v>5</v>
      </c>
      <c r="I397" s="46" t="s">
        <v>3509</v>
      </c>
      <c r="J397" s="47" t="s">
        <v>3537</v>
      </c>
      <c r="K397" s="24" t="s">
        <v>3538</v>
      </c>
      <c r="L397" s="46" t="s">
        <v>3539</v>
      </c>
      <c r="M397" s="24" t="s">
        <v>2388</v>
      </c>
      <c r="N397" s="46" t="s">
        <v>2216</v>
      </c>
      <c r="O397" s="24" t="s">
        <v>3088</v>
      </c>
      <c r="P397" s="46" t="s">
        <v>3089</v>
      </c>
      <c r="Q397" s="46"/>
      <c r="R397" s="47" t="s">
        <v>49</v>
      </c>
      <c r="S397" s="47"/>
    </row>
    <row r="398" customFormat="false" ht="15" hidden="false" customHeight="true" outlineLevel="0" collapsed="false">
      <c r="A398" s="49" t="n">
        <v>407</v>
      </c>
      <c r="B398" s="25" t="s">
        <v>3081</v>
      </c>
      <c r="C398" s="50"/>
      <c r="D398" s="50" t="s">
        <v>3082</v>
      </c>
      <c r="E398" s="49" t="s">
        <v>19</v>
      </c>
      <c r="F398" s="49" t="s">
        <v>2104</v>
      </c>
      <c r="G398" s="25" t="s">
        <v>3472</v>
      </c>
      <c r="H398" s="51" t="n">
        <v>5</v>
      </c>
      <c r="I398" s="49" t="s">
        <v>3509</v>
      </c>
      <c r="J398" s="50" t="s">
        <v>3540</v>
      </c>
      <c r="K398" s="25" t="s">
        <v>3541</v>
      </c>
      <c r="L398" s="49" t="s">
        <v>3542</v>
      </c>
      <c r="M398" s="25" t="s">
        <v>2388</v>
      </c>
      <c r="N398" s="49" t="s">
        <v>2216</v>
      </c>
      <c r="O398" s="25" t="s">
        <v>3088</v>
      </c>
      <c r="P398" s="49" t="s">
        <v>3089</v>
      </c>
      <c r="Q398" s="49"/>
      <c r="R398" s="50" t="s">
        <v>49</v>
      </c>
      <c r="S398" s="50"/>
    </row>
    <row r="399" customFormat="false" ht="15" hidden="false" customHeight="true" outlineLevel="0" collapsed="false">
      <c r="A399" s="46" t="n">
        <v>408</v>
      </c>
      <c r="B399" s="24" t="s">
        <v>3081</v>
      </c>
      <c r="C399" s="47"/>
      <c r="D399" s="47" t="s">
        <v>3082</v>
      </c>
      <c r="E399" s="46" t="s">
        <v>19</v>
      </c>
      <c r="F399" s="46" t="s">
        <v>2104</v>
      </c>
      <c r="G399" s="24" t="s">
        <v>3543</v>
      </c>
      <c r="H399" s="48" t="n">
        <v>5</v>
      </c>
      <c r="I399" s="46" t="s">
        <v>3509</v>
      </c>
      <c r="J399" s="47" t="s">
        <v>3544</v>
      </c>
      <c r="K399" s="24" t="s">
        <v>3086</v>
      </c>
      <c r="L399" s="46" t="s">
        <v>3087</v>
      </c>
      <c r="M399" s="24" t="s">
        <v>2388</v>
      </c>
      <c r="N399" s="46" t="s">
        <v>2216</v>
      </c>
      <c r="O399" s="24" t="s">
        <v>3088</v>
      </c>
      <c r="P399" s="46"/>
      <c r="Q399" s="46"/>
      <c r="R399" s="47" t="s">
        <v>49</v>
      </c>
      <c r="S399" s="47"/>
    </row>
    <row r="400" customFormat="false" ht="15" hidden="false" customHeight="true" outlineLevel="0" collapsed="false">
      <c r="A400" s="49" t="n">
        <v>409</v>
      </c>
      <c r="B400" s="25" t="s">
        <v>3081</v>
      </c>
      <c r="C400" s="50"/>
      <c r="D400" s="50" t="s">
        <v>3082</v>
      </c>
      <c r="E400" s="49" t="s">
        <v>19</v>
      </c>
      <c r="F400" s="49" t="s">
        <v>2104</v>
      </c>
      <c r="G400" s="25" t="s">
        <v>3472</v>
      </c>
      <c r="H400" s="51" t="n">
        <v>5</v>
      </c>
      <c r="I400" s="49" t="s">
        <v>3545</v>
      </c>
      <c r="J400" s="50" t="s">
        <v>3546</v>
      </c>
      <c r="K400" s="25" t="s">
        <v>3547</v>
      </c>
      <c r="L400" s="49" t="s">
        <v>3548</v>
      </c>
      <c r="M400" s="25" t="s">
        <v>2388</v>
      </c>
      <c r="N400" s="49" t="s">
        <v>2216</v>
      </c>
      <c r="O400" s="25" t="s">
        <v>3088</v>
      </c>
      <c r="P400" s="49" t="s">
        <v>3089</v>
      </c>
      <c r="Q400" s="49"/>
      <c r="R400" s="50" t="s">
        <v>49</v>
      </c>
      <c r="S400" s="50"/>
    </row>
    <row r="401" customFormat="false" ht="15" hidden="false" customHeight="true" outlineLevel="0" collapsed="false">
      <c r="A401" s="46" t="n">
        <v>410</v>
      </c>
      <c r="B401" s="24" t="s">
        <v>3081</v>
      </c>
      <c r="C401" s="47"/>
      <c r="D401" s="47" t="s">
        <v>3082</v>
      </c>
      <c r="E401" s="46" t="s">
        <v>19</v>
      </c>
      <c r="F401" s="46" t="s">
        <v>2104</v>
      </c>
      <c r="G401" s="24" t="s">
        <v>3472</v>
      </c>
      <c r="H401" s="48" t="n">
        <v>1</v>
      </c>
      <c r="I401" s="46" t="s">
        <v>3327</v>
      </c>
      <c r="J401" s="47" t="s">
        <v>3549</v>
      </c>
      <c r="K401" s="24" t="s">
        <v>3550</v>
      </c>
      <c r="L401" s="46" t="s">
        <v>3551</v>
      </c>
      <c r="M401" s="24" t="s">
        <v>2388</v>
      </c>
      <c r="N401" s="46" t="s">
        <v>2216</v>
      </c>
      <c r="O401" s="24" t="s">
        <v>3088</v>
      </c>
      <c r="P401" s="46" t="s">
        <v>3089</v>
      </c>
      <c r="Q401" s="46"/>
      <c r="R401" s="47" t="s">
        <v>49</v>
      </c>
      <c r="S401" s="47"/>
    </row>
    <row r="402" customFormat="false" ht="15" hidden="false" customHeight="true" outlineLevel="0" collapsed="false">
      <c r="A402" s="49" t="n">
        <v>411</v>
      </c>
      <c r="B402" s="25" t="s">
        <v>3081</v>
      </c>
      <c r="C402" s="50"/>
      <c r="D402" s="50" t="s">
        <v>3082</v>
      </c>
      <c r="E402" s="49" t="s">
        <v>19</v>
      </c>
      <c r="F402" s="49" t="s">
        <v>2104</v>
      </c>
      <c r="G402" s="25" t="s">
        <v>3472</v>
      </c>
      <c r="H402" s="51" t="n">
        <v>5</v>
      </c>
      <c r="I402" s="49" t="s">
        <v>3309</v>
      </c>
      <c r="J402" s="50" t="s">
        <v>3552</v>
      </c>
      <c r="K402" s="25" t="s">
        <v>3553</v>
      </c>
      <c r="L402" s="49" t="s">
        <v>3554</v>
      </c>
      <c r="M402" s="25" t="s">
        <v>2388</v>
      </c>
      <c r="N402" s="49" t="s">
        <v>2216</v>
      </c>
      <c r="O402" s="25" t="s">
        <v>3088</v>
      </c>
      <c r="P402" s="49" t="s">
        <v>3089</v>
      </c>
      <c r="Q402" s="49"/>
      <c r="R402" s="50" t="s">
        <v>49</v>
      </c>
      <c r="S402" s="50"/>
    </row>
    <row r="403" customFormat="false" ht="15" hidden="false" customHeight="true" outlineLevel="0" collapsed="false">
      <c r="A403" s="46" t="n">
        <v>412</v>
      </c>
      <c r="B403" s="24" t="s">
        <v>3555</v>
      </c>
      <c r="C403" s="47"/>
      <c r="D403" s="47" t="s">
        <v>2217</v>
      </c>
      <c r="E403" s="46" t="s">
        <v>19</v>
      </c>
      <c r="F403" s="46" t="s">
        <v>2104</v>
      </c>
      <c r="G403" s="24" t="s">
        <v>3556</v>
      </c>
      <c r="H403" s="48" t="n">
        <v>5</v>
      </c>
      <c r="I403" s="46"/>
      <c r="J403" s="47" t="s">
        <v>3557</v>
      </c>
      <c r="K403" s="24" t="s">
        <v>3558</v>
      </c>
      <c r="L403" s="46" t="s">
        <v>3559</v>
      </c>
      <c r="M403" s="24" t="s">
        <v>2571</v>
      </c>
      <c r="N403" s="46" t="s">
        <v>3560</v>
      </c>
      <c r="O403" s="24"/>
      <c r="P403" s="46"/>
      <c r="Q403" s="46"/>
      <c r="R403" s="47" t="s">
        <v>50</v>
      </c>
      <c r="S403" s="52" t="s">
        <v>3116</v>
      </c>
    </row>
    <row r="404" customFormat="false" ht="15" hidden="false" customHeight="true" outlineLevel="0" collapsed="false">
      <c r="A404" s="49" t="n">
        <v>413</v>
      </c>
      <c r="B404" s="25" t="s">
        <v>3561</v>
      </c>
      <c r="C404" s="50"/>
      <c r="D404" s="50" t="s">
        <v>3184</v>
      </c>
      <c r="E404" s="49" t="s">
        <v>19</v>
      </c>
      <c r="F404" s="49" t="s">
        <v>2104</v>
      </c>
      <c r="G404" s="25" t="s">
        <v>3472</v>
      </c>
      <c r="H404" s="51" t="n">
        <v>1</v>
      </c>
      <c r="I404" s="49" t="s">
        <v>3084</v>
      </c>
      <c r="J404" s="50" t="s">
        <v>3562</v>
      </c>
      <c r="K404" s="25" t="s">
        <v>3563</v>
      </c>
      <c r="L404" s="49" t="s">
        <v>3564</v>
      </c>
      <c r="M404" s="25" t="s">
        <v>3291</v>
      </c>
      <c r="N404" s="49" t="s">
        <v>3292</v>
      </c>
      <c r="O404" s="25"/>
      <c r="P404" s="49"/>
      <c r="Q404" s="49"/>
      <c r="R404" s="50" t="s">
        <v>49</v>
      </c>
      <c r="S404" s="52" t="s">
        <v>69</v>
      </c>
    </row>
    <row r="405" customFormat="false" ht="15" hidden="false" customHeight="true" outlineLevel="0" collapsed="false">
      <c r="A405" s="46" t="n">
        <v>414</v>
      </c>
      <c r="B405" s="24" t="s">
        <v>3565</v>
      </c>
      <c r="C405" s="47"/>
      <c r="D405" s="47" t="s">
        <v>3082</v>
      </c>
      <c r="E405" s="46" t="s">
        <v>19</v>
      </c>
      <c r="F405" s="46" t="s">
        <v>2104</v>
      </c>
      <c r="G405" s="24" t="s">
        <v>3472</v>
      </c>
      <c r="H405" s="48" t="n">
        <v>1</v>
      </c>
      <c r="I405" s="46" t="s">
        <v>3309</v>
      </c>
      <c r="J405" s="47" t="s">
        <v>3566</v>
      </c>
      <c r="K405" s="24" t="s">
        <v>3567</v>
      </c>
      <c r="L405" s="46" t="s">
        <v>3568</v>
      </c>
      <c r="M405" s="24" t="s">
        <v>2388</v>
      </c>
      <c r="N405" s="46" t="s">
        <v>2216</v>
      </c>
      <c r="O405" s="24" t="s">
        <v>3088</v>
      </c>
      <c r="P405" s="46" t="s">
        <v>3089</v>
      </c>
      <c r="Q405" s="46"/>
      <c r="R405" s="47" t="s">
        <v>49</v>
      </c>
      <c r="S405" s="47"/>
    </row>
    <row r="406" customFormat="false" ht="15" hidden="false" customHeight="true" outlineLevel="0" collapsed="false">
      <c r="A406" s="49" t="n">
        <v>415</v>
      </c>
      <c r="B406" s="25" t="s">
        <v>3263</v>
      </c>
      <c r="C406" s="50"/>
      <c r="D406" s="50" t="s">
        <v>3118</v>
      </c>
      <c r="E406" s="49" t="s">
        <v>19</v>
      </c>
      <c r="F406" s="49" t="s">
        <v>2104</v>
      </c>
      <c r="G406" s="25" t="s">
        <v>3472</v>
      </c>
      <c r="H406" s="51" t="n">
        <v>5</v>
      </c>
      <c r="I406" s="49" t="s">
        <v>3102</v>
      </c>
      <c r="J406" s="50" t="s">
        <v>3569</v>
      </c>
      <c r="K406" s="25" t="s">
        <v>3570</v>
      </c>
      <c r="L406" s="49" t="s">
        <v>3571</v>
      </c>
      <c r="M406" s="25" t="s">
        <v>3123</v>
      </c>
      <c r="N406" s="49" t="s">
        <v>3124</v>
      </c>
      <c r="O406" s="25"/>
      <c r="P406" s="49"/>
      <c r="Q406" s="49"/>
      <c r="R406" s="50" t="s">
        <v>49</v>
      </c>
      <c r="S406" s="52" t="s">
        <v>69</v>
      </c>
    </row>
    <row r="407" customFormat="false" ht="15" hidden="false" customHeight="true" outlineLevel="0" collapsed="false">
      <c r="A407" s="46" t="n">
        <v>416</v>
      </c>
      <c r="B407" s="24" t="s">
        <v>3565</v>
      </c>
      <c r="C407" s="47"/>
      <c r="D407" s="47" t="s">
        <v>3082</v>
      </c>
      <c r="E407" s="46" t="s">
        <v>19</v>
      </c>
      <c r="F407" s="46" t="s">
        <v>2104</v>
      </c>
      <c r="G407" s="24" t="s">
        <v>3472</v>
      </c>
      <c r="H407" s="48" t="n">
        <v>5</v>
      </c>
      <c r="I407" s="46" t="s">
        <v>3309</v>
      </c>
      <c r="J407" s="47" t="s">
        <v>3572</v>
      </c>
      <c r="K407" s="24" t="s">
        <v>3573</v>
      </c>
      <c r="L407" s="46" t="s">
        <v>3574</v>
      </c>
      <c r="M407" s="24" t="s">
        <v>2388</v>
      </c>
      <c r="N407" s="46" t="s">
        <v>2216</v>
      </c>
      <c r="O407" s="24" t="s">
        <v>3088</v>
      </c>
      <c r="P407" s="46" t="s">
        <v>3089</v>
      </c>
      <c r="Q407" s="46"/>
      <c r="R407" s="47" t="s">
        <v>49</v>
      </c>
      <c r="S407" s="47"/>
    </row>
    <row r="408" customFormat="false" ht="15" hidden="false" customHeight="true" outlineLevel="0" collapsed="false">
      <c r="A408" s="49" t="n">
        <v>417</v>
      </c>
      <c r="B408" s="25" t="s">
        <v>3561</v>
      </c>
      <c r="C408" s="50"/>
      <c r="D408" s="50" t="s">
        <v>3184</v>
      </c>
      <c r="E408" s="49" t="s">
        <v>19</v>
      </c>
      <c r="F408" s="49" t="s">
        <v>2104</v>
      </c>
      <c r="G408" s="25" t="s">
        <v>3575</v>
      </c>
      <c r="H408" s="51" t="n">
        <v>5</v>
      </c>
      <c r="I408" s="49" t="s">
        <v>3084</v>
      </c>
      <c r="J408" s="50" t="s">
        <v>3562</v>
      </c>
      <c r="K408" s="25" t="s">
        <v>3576</v>
      </c>
      <c r="L408" s="49" t="s">
        <v>3577</v>
      </c>
      <c r="M408" s="25" t="s">
        <v>3291</v>
      </c>
      <c r="N408" s="49" t="s">
        <v>3292</v>
      </c>
      <c r="O408" s="25"/>
      <c r="P408" s="49"/>
      <c r="Q408" s="49"/>
      <c r="R408" s="50" t="s">
        <v>49</v>
      </c>
      <c r="S408" s="52" t="s">
        <v>69</v>
      </c>
    </row>
    <row r="409" customFormat="false" ht="15" hidden="false" customHeight="true" outlineLevel="0" collapsed="false">
      <c r="A409" s="46" t="n">
        <v>418</v>
      </c>
      <c r="B409" s="24" t="s">
        <v>3578</v>
      </c>
      <c r="C409" s="47"/>
      <c r="D409" s="47" t="s">
        <v>3579</v>
      </c>
      <c r="E409" s="46" t="s">
        <v>19</v>
      </c>
      <c r="F409" s="46" t="s">
        <v>2104</v>
      </c>
      <c r="G409" s="24" t="s">
        <v>3437</v>
      </c>
      <c r="H409" s="48" t="n">
        <v>5</v>
      </c>
      <c r="I409" s="46" t="s">
        <v>3084</v>
      </c>
      <c r="J409" s="47" t="s">
        <v>3580</v>
      </c>
      <c r="K409" s="24" t="s">
        <v>2172</v>
      </c>
      <c r="L409" s="46" t="s">
        <v>3581</v>
      </c>
      <c r="M409" s="24" t="s">
        <v>2207</v>
      </c>
      <c r="N409" s="46" t="s">
        <v>3582</v>
      </c>
      <c r="O409" s="24"/>
      <c r="P409" s="46"/>
      <c r="Q409" s="46"/>
      <c r="R409" s="47" t="s">
        <v>48</v>
      </c>
      <c r="S409" s="52" t="s">
        <v>69</v>
      </c>
    </row>
    <row r="410" customFormat="false" ht="15" hidden="false" customHeight="true" outlineLevel="0" collapsed="false">
      <c r="A410" s="49" t="n">
        <v>419</v>
      </c>
      <c r="B410" s="25" t="s">
        <v>3263</v>
      </c>
      <c r="C410" s="50"/>
      <c r="D410" s="50" t="s">
        <v>3118</v>
      </c>
      <c r="E410" s="49" t="s">
        <v>19</v>
      </c>
      <c r="F410" s="49" t="s">
        <v>2104</v>
      </c>
      <c r="G410" s="25" t="s">
        <v>3472</v>
      </c>
      <c r="H410" s="51" t="n">
        <v>5</v>
      </c>
      <c r="I410" s="49" t="s">
        <v>3092</v>
      </c>
      <c r="J410" s="50" t="s">
        <v>3569</v>
      </c>
      <c r="K410" s="25" t="s">
        <v>3583</v>
      </c>
      <c r="L410" s="49" t="s">
        <v>3584</v>
      </c>
      <c r="M410" s="25" t="s">
        <v>3123</v>
      </c>
      <c r="N410" s="49" t="s">
        <v>3124</v>
      </c>
      <c r="O410" s="25"/>
      <c r="P410" s="49"/>
      <c r="Q410" s="49"/>
      <c r="R410" s="50" t="s">
        <v>49</v>
      </c>
      <c r="S410" s="52" t="s">
        <v>69</v>
      </c>
    </row>
    <row r="411" customFormat="false" ht="15" hidden="false" customHeight="true" outlineLevel="0" collapsed="false">
      <c r="A411" s="46" t="n">
        <v>420</v>
      </c>
      <c r="B411" s="24" t="s">
        <v>3578</v>
      </c>
      <c r="C411" s="47"/>
      <c r="D411" s="47" t="s">
        <v>3579</v>
      </c>
      <c r="E411" s="46" t="s">
        <v>19</v>
      </c>
      <c r="F411" s="46" t="s">
        <v>2104</v>
      </c>
      <c r="G411" s="24" t="s">
        <v>3585</v>
      </c>
      <c r="H411" s="48" t="n">
        <v>1</v>
      </c>
      <c r="I411" s="46" t="s">
        <v>3134</v>
      </c>
      <c r="J411" s="47" t="s">
        <v>3580</v>
      </c>
      <c r="K411" s="24" t="s">
        <v>2172</v>
      </c>
      <c r="L411" s="46" t="s">
        <v>3581</v>
      </c>
      <c r="M411" s="24" t="s">
        <v>2207</v>
      </c>
      <c r="N411" s="46" t="s">
        <v>3582</v>
      </c>
      <c r="O411" s="24"/>
      <c r="P411" s="46"/>
      <c r="Q411" s="46"/>
      <c r="R411" s="47" t="s">
        <v>48</v>
      </c>
      <c r="S411" s="52" t="s">
        <v>69</v>
      </c>
    </row>
    <row r="412" customFormat="false" ht="15" hidden="false" customHeight="true" outlineLevel="0" collapsed="false">
      <c r="A412" s="49" t="n">
        <v>421</v>
      </c>
      <c r="B412" s="25" t="s">
        <v>3286</v>
      </c>
      <c r="C412" s="50"/>
      <c r="D412" s="50" t="s">
        <v>3184</v>
      </c>
      <c r="E412" s="49" t="s">
        <v>19</v>
      </c>
      <c r="F412" s="49" t="s">
        <v>2104</v>
      </c>
      <c r="G412" s="25" t="s">
        <v>3586</v>
      </c>
      <c r="H412" s="51" t="n">
        <v>5</v>
      </c>
      <c r="I412" s="49" t="s">
        <v>3587</v>
      </c>
      <c r="J412" s="50" t="s">
        <v>3562</v>
      </c>
      <c r="K412" s="25" t="s">
        <v>2331</v>
      </c>
      <c r="L412" s="49" t="s">
        <v>3588</v>
      </c>
      <c r="M412" s="25" t="s">
        <v>3291</v>
      </c>
      <c r="N412" s="49" t="s">
        <v>3292</v>
      </c>
      <c r="O412" s="25"/>
      <c r="P412" s="49"/>
      <c r="Q412" s="49"/>
      <c r="R412" s="50" t="s">
        <v>49</v>
      </c>
      <c r="S412" s="52" t="s">
        <v>69</v>
      </c>
    </row>
    <row r="413" customFormat="false" ht="15" hidden="false" customHeight="true" outlineLevel="0" collapsed="false">
      <c r="A413" s="46" t="n">
        <v>422</v>
      </c>
      <c r="B413" s="24" t="s">
        <v>3263</v>
      </c>
      <c r="C413" s="47"/>
      <c r="D413" s="47" t="s">
        <v>3118</v>
      </c>
      <c r="E413" s="46" t="s">
        <v>19</v>
      </c>
      <c r="F413" s="46" t="s">
        <v>2104</v>
      </c>
      <c r="G413" s="24" t="s">
        <v>3476</v>
      </c>
      <c r="H413" s="48" t="n">
        <v>5</v>
      </c>
      <c r="I413" s="46" t="s">
        <v>3102</v>
      </c>
      <c r="J413" s="47" t="s">
        <v>3589</v>
      </c>
      <c r="K413" s="24" t="s">
        <v>3498</v>
      </c>
      <c r="L413" s="46" t="s">
        <v>3590</v>
      </c>
      <c r="M413" s="24" t="s">
        <v>3123</v>
      </c>
      <c r="N413" s="46" t="s">
        <v>3124</v>
      </c>
      <c r="O413" s="24"/>
      <c r="P413" s="46"/>
      <c r="Q413" s="46"/>
      <c r="R413" s="47" t="s">
        <v>48</v>
      </c>
      <c r="S413" s="52" t="s">
        <v>69</v>
      </c>
    </row>
    <row r="414" customFormat="false" ht="15" hidden="false" customHeight="true" outlineLevel="0" collapsed="false">
      <c r="A414" s="49" t="n">
        <v>423</v>
      </c>
      <c r="B414" s="25" t="s">
        <v>3286</v>
      </c>
      <c r="C414" s="50"/>
      <c r="D414" s="50" t="s">
        <v>3184</v>
      </c>
      <c r="E414" s="49" t="s">
        <v>19</v>
      </c>
      <c r="F414" s="49" t="s">
        <v>2104</v>
      </c>
      <c r="G414" s="25" t="s">
        <v>3586</v>
      </c>
      <c r="H414" s="51" t="n">
        <v>1</v>
      </c>
      <c r="I414" s="49" t="s">
        <v>3591</v>
      </c>
      <c r="J414" s="50" t="s">
        <v>3562</v>
      </c>
      <c r="K414" s="25" t="s">
        <v>1506</v>
      </c>
      <c r="L414" s="49" t="s">
        <v>3290</v>
      </c>
      <c r="M414" s="25" t="s">
        <v>3291</v>
      </c>
      <c r="N414" s="49" t="s">
        <v>3292</v>
      </c>
      <c r="O414" s="25"/>
      <c r="P414" s="49"/>
      <c r="Q414" s="49"/>
      <c r="R414" s="50" t="s">
        <v>49</v>
      </c>
      <c r="S414" s="52" t="s">
        <v>69</v>
      </c>
    </row>
    <row r="415" customFormat="false" ht="15" hidden="false" customHeight="true" outlineLevel="0" collapsed="false">
      <c r="A415" s="46" t="n">
        <v>424</v>
      </c>
      <c r="B415" s="24" t="s">
        <v>3565</v>
      </c>
      <c r="C415" s="47"/>
      <c r="D415" s="47" t="s">
        <v>3082</v>
      </c>
      <c r="E415" s="46" t="s">
        <v>19</v>
      </c>
      <c r="F415" s="46" t="s">
        <v>2104</v>
      </c>
      <c r="G415" s="24" t="s">
        <v>3472</v>
      </c>
      <c r="H415" s="48" t="n">
        <v>5</v>
      </c>
      <c r="I415" s="46" t="s">
        <v>3327</v>
      </c>
      <c r="J415" s="47" t="s">
        <v>3592</v>
      </c>
      <c r="K415" s="24" t="s">
        <v>3593</v>
      </c>
      <c r="L415" s="46" t="s">
        <v>3594</v>
      </c>
      <c r="M415" s="24" t="s">
        <v>2388</v>
      </c>
      <c r="N415" s="46" t="s">
        <v>2216</v>
      </c>
      <c r="O415" s="24" t="s">
        <v>3088</v>
      </c>
      <c r="P415" s="46" t="s">
        <v>3089</v>
      </c>
      <c r="Q415" s="46"/>
      <c r="R415" s="47" t="s">
        <v>49</v>
      </c>
      <c r="S415" s="47"/>
    </row>
    <row r="416" customFormat="false" ht="15" hidden="false" customHeight="true" outlineLevel="0" collapsed="false">
      <c r="A416" s="49" t="n">
        <v>425</v>
      </c>
      <c r="B416" s="25" t="s">
        <v>3263</v>
      </c>
      <c r="C416" s="50"/>
      <c r="D416" s="50" t="s">
        <v>3118</v>
      </c>
      <c r="E416" s="49" t="s">
        <v>19</v>
      </c>
      <c r="F416" s="49" t="s">
        <v>2104</v>
      </c>
      <c r="G416" s="25" t="s">
        <v>3472</v>
      </c>
      <c r="H416" s="51" t="n">
        <v>5</v>
      </c>
      <c r="I416" s="49" t="s">
        <v>3102</v>
      </c>
      <c r="J416" s="50" t="s">
        <v>3595</v>
      </c>
      <c r="K416" s="25" t="s">
        <v>3596</v>
      </c>
      <c r="L416" s="49" t="s">
        <v>3597</v>
      </c>
      <c r="M416" s="25" t="s">
        <v>3123</v>
      </c>
      <c r="N416" s="49" t="s">
        <v>3124</v>
      </c>
      <c r="O416" s="25"/>
      <c r="P416" s="49"/>
      <c r="Q416" s="49"/>
      <c r="R416" s="50" t="s">
        <v>49</v>
      </c>
      <c r="S416" s="52" t="s">
        <v>69</v>
      </c>
    </row>
    <row r="417" customFormat="false" ht="15" hidden="false" customHeight="true" outlineLevel="0" collapsed="false">
      <c r="A417" s="46" t="n">
        <v>426</v>
      </c>
      <c r="B417" s="24" t="s">
        <v>3565</v>
      </c>
      <c r="C417" s="47"/>
      <c r="D417" s="47" t="s">
        <v>3082</v>
      </c>
      <c r="E417" s="46" t="s">
        <v>19</v>
      </c>
      <c r="F417" s="46" t="s">
        <v>2104</v>
      </c>
      <c r="G417" s="24" t="s">
        <v>3472</v>
      </c>
      <c r="H417" s="48" t="n">
        <v>5</v>
      </c>
      <c r="I417" s="46" t="s">
        <v>3327</v>
      </c>
      <c r="J417" s="47" t="s">
        <v>3598</v>
      </c>
      <c r="K417" s="24" t="s">
        <v>3599</v>
      </c>
      <c r="L417" s="46" t="s">
        <v>3600</v>
      </c>
      <c r="M417" s="24" t="s">
        <v>2388</v>
      </c>
      <c r="N417" s="46" t="s">
        <v>2216</v>
      </c>
      <c r="O417" s="24" t="s">
        <v>3088</v>
      </c>
      <c r="P417" s="46" t="s">
        <v>3089</v>
      </c>
      <c r="Q417" s="46"/>
      <c r="R417" s="47" t="s">
        <v>49</v>
      </c>
      <c r="S417" s="47"/>
    </row>
    <row r="418" customFormat="false" ht="15" hidden="false" customHeight="true" outlineLevel="0" collapsed="false">
      <c r="A418" s="49" t="n">
        <v>427</v>
      </c>
      <c r="B418" s="25" t="s">
        <v>3601</v>
      </c>
      <c r="C418" s="50"/>
      <c r="D418" s="50" t="s">
        <v>3602</v>
      </c>
      <c r="E418" s="49" t="s">
        <v>19</v>
      </c>
      <c r="F418" s="49" t="s">
        <v>2104</v>
      </c>
      <c r="G418" s="25" t="s">
        <v>3603</v>
      </c>
      <c r="H418" s="51" t="n">
        <v>5</v>
      </c>
      <c r="I418" s="49" t="s">
        <v>3171</v>
      </c>
      <c r="J418" s="50" t="s">
        <v>3604</v>
      </c>
      <c r="K418" s="25" t="s">
        <v>3605</v>
      </c>
      <c r="L418" s="49" t="s">
        <v>3606</v>
      </c>
      <c r="M418" s="25" t="s">
        <v>3607</v>
      </c>
      <c r="N418" s="49" t="s">
        <v>3175</v>
      </c>
      <c r="O418" s="25" t="s">
        <v>3088</v>
      </c>
      <c r="P418" s="49" t="s">
        <v>3089</v>
      </c>
      <c r="Q418" s="49"/>
      <c r="R418" s="50" t="s">
        <v>50</v>
      </c>
      <c r="S418" s="50"/>
    </row>
    <row r="419" customFormat="false" ht="15" hidden="false" customHeight="true" outlineLevel="0" collapsed="false">
      <c r="A419" s="46" t="n">
        <v>428</v>
      </c>
      <c r="B419" s="24" t="s">
        <v>3608</v>
      </c>
      <c r="C419" s="47"/>
      <c r="D419" s="47" t="s">
        <v>3609</v>
      </c>
      <c r="E419" s="46" t="s">
        <v>19</v>
      </c>
      <c r="F419" s="46" t="s">
        <v>2104</v>
      </c>
      <c r="G419" s="24" t="s">
        <v>3194</v>
      </c>
      <c r="H419" s="48" t="n">
        <v>5</v>
      </c>
      <c r="I419" s="46" t="s">
        <v>3171</v>
      </c>
      <c r="J419" s="47" t="s">
        <v>3610</v>
      </c>
      <c r="K419" s="24" t="s">
        <v>3611</v>
      </c>
      <c r="L419" s="46" t="s">
        <v>3612</v>
      </c>
      <c r="M419" s="24" t="s">
        <v>3607</v>
      </c>
      <c r="N419" s="46" t="s">
        <v>3175</v>
      </c>
      <c r="O419" s="24" t="s">
        <v>3361</v>
      </c>
      <c r="P419" s="46" t="s">
        <v>3089</v>
      </c>
      <c r="Q419" s="46"/>
      <c r="R419" s="47" t="s">
        <v>50</v>
      </c>
      <c r="S419" s="47"/>
    </row>
    <row r="420" customFormat="false" ht="15" hidden="false" customHeight="true" outlineLevel="0" collapsed="false">
      <c r="A420" s="49" t="n">
        <v>429</v>
      </c>
      <c r="B420" s="25" t="s">
        <v>3263</v>
      </c>
      <c r="C420" s="50"/>
      <c r="D420" s="50" t="s">
        <v>3118</v>
      </c>
      <c r="E420" s="49" t="s">
        <v>19</v>
      </c>
      <c r="F420" s="49" t="s">
        <v>2104</v>
      </c>
      <c r="G420" s="25" t="s">
        <v>3472</v>
      </c>
      <c r="H420" s="51" t="n">
        <v>5</v>
      </c>
      <c r="I420" s="49" t="s">
        <v>3102</v>
      </c>
      <c r="J420" s="50" t="s">
        <v>3613</v>
      </c>
      <c r="K420" s="25" t="s">
        <v>3614</v>
      </c>
      <c r="L420" s="49" t="s">
        <v>3615</v>
      </c>
      <c r="M420" s="25" t="s">
        <v>3123</v>
      </c>
      <c r="N420" s="49" t="s">
        <v>3124</v>
      </c>
      <c r="O420" s="25"/>
      <c r="P420" s="49"/>
      <c r="Q420" s="49"/>
      <c r="R420" s="50" t="s">
        <v>49</v>
      </c>
      <c r="S420" s="52" t="s">
        <v>69</v>
      </c>
    </row>
    <row r="421" customFormat="false" ht="15" hidden="false" customHeight="true" outlineLevel="0" collapsed="false">
      <c r="A421" s="46" t="n">
        <v>430</v>
      </c>
      <c r="B421" s="24" t="s">
        <v>3263</v>
      </c>
      <c r="C421" s="47"/>
      <c r="D421" s="47" t="s">
        <v>3118</v>
      </c>
      <c r="E421" s="46" t="s">
        <v>19</v>
      </c>
      <c r="F421" s="46" t="s">
        <v>2104</v>
      </c>
      <c r="G421" s="24" t="s">
        <v>3194</v>
      </c>
      <c r="H421" s="48" t="n">
        <v>5</v>
      </c>
      <c r="I421" s="46" t="s">
        <v>3134</v>
      </c>
      <c r="J421" s="47" t="s">
        <v>3616</v>
      </c>
      <c r="K421" s="24" t="s">
        <v>3617</v>
      </c>
      <c r="L421" s="46" t="s">
        <v>3618</v>
      </c>
      <c r="M421" s="24" t="s">
        <v>3123</v>
      </c>
      <c r="N421" s="46" t="s">
        <v>3124</v>
      </c>
      <c r="O421" s="24"/>
      <c r="P421" s="46"/>
      <c r="Q421" s="46"/>
      <c r="R421" s="47" t="s">
        <v>50</v>
      </c>
      <c r="S421" s="52" t="s">
        <v>69</v>
      </c>
    </row>
    <row r="422" customFormat="false" ht="15" hidden="false" customHeight="true" outlineLevel="0" collapsed="false">
      <c r="A422" s="49" t="n">
        <v>431</v>
      </c>
      <c r="B422" s="25" t="s">
        <v>3168</v>
      </c>
      <c r="C422" s="50"/>
      <c r="D422" s="50" t="s">
        <v>3609</v>
      </c>
      <c r="E422" s="49" t="s">
        <v>19</v>
      </c>
      <c r="F422" s="49" t="s">
        <v>2104</v>
      </c>
      <c r="G422" s="25" t="s">
        <v>3194</v>
      </c>
      <c r="H422" s="51" t="n">
        <v>5</v>
      </c>
      <c r="I422" s="49" t="s">
        <v>3171</v>
      </c>
      <c r="J422" s="50" t="s">
        <v>3619</v>
      </c>
      <c r="K422" s="25" t="s">
        <v>3620</v>
      </c>
      <c r="L422" s="49" t="s">
        <v>3173</v>
      </c>
      <c r="M422" s="25" t="s">
        <v>3607</v>
      </c>
      <c r="N422" s="49" t="s">
        <v>3175</v>
      </c>
      <c r="O422" s="25" t="s">
        <v>3361</v>
      </c>
      <c r="P422" s="49" t="s">
        <v>3089</v>
      </c>
      <c r="Q422" s="49"/>
      <c r="R422" s="50" t="s">
        <v>50</v>
      </c>
      <c r="S422" s="50"/>
    </row>
    <row r="423" customFormat="false" ht="15" hidden="false" customHeight="true" outlineLevel="0" collapsed="false">
      <c r="A423" s="46" t="n">
        <v>432</v>
      </c>
      <c r="B423" s="24" t="s">
        <v>3168</v>
      </c>
      <c r="C423" s="47"/>
      <c r="D423" s="47" t="s">
        <v>3609</v>
      </c>
      <c r="E423" s="46" t="s">
        <v>19</v>
      </c>
      <c r="F423" s="46" t="s">
        <v>2104</v>
      </c>
      <c r="G423" s="24" t="s">
        <v>3194</v>
      </c>
      <c r="H423" s="48" t="n">
        <v>5</v>
      </c>
      <c r="I423" s="46" t="s">
        <v>3171</v>
      </c>
      <c r="J423" s="47" t="s">
        <v>3621</v>
      </c>
      <c r="K423" s="24" t="s">
        <v>3622</v>
      </c>
      <c r="L423" s="46" t="s">
        <v>3623</v>
      </c>
      <c r="M423" s="24" t="s">
        <v>3607</v>
      </c>
      <c r="N423" s="46" t="s">
        <v>3175</v>
      </c>
      <c r="O423" s="24" t="s">
        <v>3361</v>
      </c>
      <c r="P423" s="46" t="s">
        <v>3089</v>
      </c>
      <c r="Q423" s="46"/>
      <c r="R423" s="47" t="s">
        <v>50</v>
      </c>
      <c r="S423" s="47"/>
    </row>
    <row r="424" customFormat="false" ht="15" hidden="false" customHeight="true" outlineLevel="0" collapsed="false">
      <c r="A424" s="49" t="n">
        <v>433</v>
      </c>
      <c r="B424" s="25" t="s">
        <v>3168</v>
      </c>
      <c r="C424" s="50"/>
      <c r="D424" s="50" t="s">
        <v>3609</v>
      </c>
      <c r="E424" s="49" t="s">
        <v>19</v>
      </c>
      <c r="F424" s="49" t="s">
        <v>2104</v>
      </c>
      <c r="G424" s="25" t="s">
        <v>3194</v>
      </c>
      <c r="H424" s="51" t="n">
        <v>5</v>
      </c>
      <c r="I424" s="49" t="s">
        <v>3171</v>
      </c>
      <c r="J424" s="50" t="s">
        <v>3624</v>
      </c>
      <c r="K424" s="25" t="s">
        <v>3625</v>
      </c>
      <c r="L424" s="49" t="s">
        <v>3626</v>
      </c>
      <c r="M424" s="25" t="s">
        <v>3607</v>
      </c>
      <c r="N424" s="49" t="s">
        <v>3175</v>
      </c>
      <c r="O424" s="25" t="s">
        <v>3361</v>
      </c>
      <c r="P424" s="49" t="s">
        <v>3089</v>
      </c>
      <c r="Q424" s="49"/>
      <c r="R424" s="50" t="s">
        <v>50</v>
      </c>
      <c r="S424" s="50"/>
    </row>
    <row r="425" customFormat="false" ht="15" hidden="false" customHeight="true" outlineLevel="0" collapsed="false">
      <c r="A425" s="46" t="n">
        <v>434</v>
      </c>
      <c r="B425" s="24" t="s">
        <v>3168</v>
      </c>
      <c r="C425" s="47"/>
      <c r="D425" s="47" t="s">
        <v>3609</v>
      </c>
      <c r="E425" s="46" t="s">
        <v>19</v>
      </c>
      <c r="F425" s="46" t="s">
        <v>2104</v>
      </c>
      <c r="G425" s="24" t="s">
        <v>3194</v>
      </c>
      <c r="H425" s="48" t="n">
        <v>5</v>
      </c>
      <c r="I425" s="46" t="s">
        <v>3171</v>
      </c>
      <c r="J425" s="47" t="s">
        <v>3627</v>
      </c>
      <c r="K425" s="24" t="s">
        <v>3628</v>
      </c>
      <c r="L425" s="46" t="s">
        <v>3629</v>
      </c>
      <c r="M425" s="24" t="s">
        <v>3607</v>
      </c>
      <c r="N425" s="46" t="s">
        <v>3175</v>
      </c>
      <c r="O425" s="24" t="s">
        <v>3361</v>
      </c>
      <c r="P425" s="46" t="s">
        <v>3089</v>
      </c>
      <c r="Q425" s="46"/>
      <c r="R425" s="47" t="s">
        <v>50</v>
      </c>
      <c r="S425" s="47"/>
    </row>
    <row r="426" customFormat="false" ht="15" hidden="false" customHeight="true" outlineLevel="0" collapsed="false">
      <c r="A426" s="49" t="n">
        <v>435</v>
      </c>
      <c r="B426" s="25" t="s">
        <v>3507</v>
      </c>
      <c r="C426" s="50"/>
      <c r="D426" s="50" t="s">
        <v>3082</v>
      </c>
      <c r="E426" s="49" t="s">
        <v>19</v>
      </c>
      <c r="F426" s="49" t="s">
        <v>2104</v>
      </c>
      <c r="G426" s="25" t="s">
        <v>3472</v>
      </c>
      <c r="H426" s="51" t="n">
        <v>5</v>
      </c>
      <c r="I426" s="49" t="s">
        <v>3084</v>
      </c>
      <c r="J426" s="50" t="s">
        <v>3103</v>
      </c>
      <c r="K426" s="25" t="s">
        <v>3630</v>
      </c>
      <c r="L426" s="49" t="s">
        <v>3631</v>
      </c>
      <c r="M426" s="25" t="s">
        <v>2388</v>
      </c>
      <c r="N426" s="49" t="s">
        <v>2216</v>
      </c>
      <c r="O426" s="25" t="s">
        <v>3088</v>
      </c>
      <c r="P426" s="49" t="s">
        <v>3089</v>
      </c>
      <c r="Q426" s="49"/>
      <c r="R426" s="50" t="s">
        <v>49</v>
      </c>
      <c r="S426" s="52" t="s">
        <v>65</v>
      </c>
    </row>
    <row r="427" customFormat="false" ht="15" hidden="false" customHeight="true" outlineLevel="0" collapsed="false">
      <c r="A427" s="46" t="n">
        <v>436</v>
      </c>
      <c r="B427" s="24" t="s">
        <v>3507</v>
      </c>
      <c r="C427" s="47"/>
      <c r="D427" s="47" t="s">
        <v>3082</v>
      </c>
      <c r="E427" s="46" t="s">
        <v>19</v>
      </c>
      <c r="F427" s="46" t="s">
        <v>2104</v>
      </c>
      <c r="G427" s="24" t="s">
        <v>3472</v>
      </c>
      <c r="H427" s="48" t="n">
        <v>5</v>
      </c>
      <c r="I427" s="46" t="s">
        <v>3084</v>
      </c>
      <c r="J427" s="47" t="s">
        <v>3632</v>
      </c>
      <c r="K427" s="24" t="s">
        <v>3633</v>
      </c>
      <c r="L427" s="46" t="s">
        <v>3634</v>
      </c>
      <c r="M427" s="24" t="s">
        <v>2388</v>
      </c>
      <c r="N427" s="46" t="s">
        <v>2216</v>
      </c>
      <c r="O427" s="24" t="s">
        <v>3088</v>
      </c>
      <c r="P427" s="46" t="s">
        <v>3089</v>
      </c>
      <c r="Q427" s="46"/>
      <c r="R427" s="47" t="s">
        <v>49</v>
      </c>
      <c r="S427" s="47"/>
    </row>
    <row r="428" customFormat="false" ht="15" hidden="false" customHeight="true" outlineLevel="0" collapsed="false">
      <c r="A428" s="49" t="n">
        <v>437</v>
      </c>
      <c r="B428" s="25" t="s">
        <v>3635</v>
      </c>
      <c r="C428" s="50"/>
      <c r="D428" s="50" t="s">
        <v>3118</v>
      </c>
      <c r="E428" s="49" t="s">
        <v>19</v>
      </c>
      <c r="F428" s="49" t="s">
        <v>2104</v>
      </c>
      <c r="G428" s="25" t="s">
        <v>3194</v>
      </c>
      <c r="H428" s="51" t="n">
        <v>5</v>
      </c>
      <c r="I428" s="49" t="s">
        <v>3134</v>
      </c>
      <c r="J428" s="50" t="s">
        <v>3636</v>
      </c>
      <c r="K428" s="25" t="s">
        <v>3637</v>
      </c>
      <c r="L428" s="49" t="s">
        <v>3638</v>
      </c>
      <c r="M428" s="25" t="s">
        <v>3123</v>
      </c>
      <c r="N428" s="49" t="s">
        <v>3124</v>
      </c>
      <c r="O428" s="25"/>
      <c r="P428" s="49"/>
      <c r="Q428" s="49"/>
      <c r="R428" s="50" t="s">
        <v>50</v>
      </c>
      <c r="S428" s="52" t="s">
        <v>69</v>
      </c>
    </row>
    <row r="429" customFormat="false" ht="15" hidden="false" customHeight="true" outlineLevel="0" collapsed="false">
      <c r="A429" s="46" t="n">
        <v>438</v>
      </c>
      <c r="B429" s="24" t="s">
        <v>3635</v>
      </c>
      <c r="C429" s="47"/>
      <c r="D429" s="47" t="s">
        <v>3118</v>
      </c>
      <c r="E429" s="46" t="s">
        <v>19</v>
      </c>
      <c r="F429" s="46" t="s">
        <v>2104</v>
      </c>
      <c r="G429" s="24" t="s">
        <v>3472</v>
      </c>
      <c r="H429" s="48" t="n">
        <v>5</v>
      </c>
      <c r="I429" s="46" t="s">
        <v>3134</v>
      </c>
      <c r="J429" s="47" t="s">
        <v>3639</v>
      </c>
      <c r="K429" s="24" t="s">
        <v>3640</v>
      </c>
      <c r="L429" s="46" t="s">
        <v>3641</v>
      </c>
      <c r="M429" s="24" t="s">
        <v>3123</v>
      </c>
      <c r="N429" s="46" t="s">
        <v>3124</v>
      </c>
      <c r="O429" s="24"/>
      <c r="P429" s="46"/>
      <c r="Q429" s="46"/>
      <c r="R429" s="47" t="s">
        <v>49</v>
      </c>
      <c r="S429" s="52" t="s">
        <v>69</v>
      </c>
    </row>
    <row r="430" customFormat="false" ht="15" hidden="false" customHeight="true" outlineLevel="0" collapsed="false">
      <c r="A430" s="49" t="n">
        <v>439</v>
      </c>
      <c r="B430" s="25" t="s">
        <v>3507</v>
      </c>
      <c r="C430" s="50"/>
      <c r="D430" s="50" t="s">
        <v>3082</v>
      </c>
      <c r="E430" s="49" t="s">
        <v>19</v>
      </c>
      <c r="F430" s="49" t="s">
        <v>2104</v>
      </c>
      <c r="G430" s="25" t="s">
        <v>3472</v>
      </c>
      <c r="H430" s="51" t="n">
        <v>5</v>
      </c>
      <c r="I430" s="49" t="s">
        <v>3354</v>
      </c>
      <c r="J430" s="50" t="s">
        <v>3642</v>
      </c>
      <c r="K430" s="25" t="s">
        <v>3643</v>
      </c>
      <c r="L430" s="49" t="s">
        <v>3644</v>
      </c>
      <c r="M430" s="25" t="s">
        <v>2388</v>
      </c>
      <c r="N430" s="49" t="s">
        <v>2216</v>
      </c>
      <c r="O430" s="25" t="s">
        <v>3088</v>
      </c>
      <c r="P430" s="49" t="s">
        <v>3089</v>
      </c>
      <c r="Q430" s="49"/>
      <c r="R430" s="50" t="s">
        <v>49</v>
      </c>
      <c r="S430" s="50"/>
    </row>
    <row r="431" customFormat="false" ht="15" hidden="false" customHeight="true" outlineLevel="0" collapsed="false">
      <c r="A431" s="46" t="n">
        <v>440</v>
      </c>
      <c r="B431" s="24" t="s">
        <v>3507</v>
      </c>
      <c r="C431" s="47"/>
      <c r="D431" s="47" t="s">
        <v>3082</v>
      </c>
      <c r="E431" s="46" t="s">
        <v>19</v>
      </c>
      <c r="F431" s="46" t="s">
        <v>2104</v>
      </c>
      <c r="G431" s="24" t="s">
        <v>3472</v>
      </c>
      <c r="H431" s="48" t="n">
        <v>5</v>
      </c>
      <c r="I431" s="46" t="s">
        <v>3354</v>
      </c>
      <c r="J431" s="47" t="s">
        <v>3645</v>
      </c>
      <c r="K431" s="24" t="s">
        <v>3510</v>
      </c>
      <c r="L431" s="46" t="s">
        <v>3511</v>
      </c>
      <c r="M431" s="24" t="s">
        <v>2388</v>
      </c>
      <c r="N431" s="46" t="s">
        <v>2216</v>
      </c>
      <c r="O431" s="24" t="s">
        <v>3088</v>
      </c>
      <c r="P431" s="46" t="s">
        <v>3089</v>
      </c>
      <c r="Q431" s="46"/>
      <c r="R431" s="47" t="s">
        <v>49</v>
      </c>
      <c r="S431" s="47"/>
    </row>
    <row r="432" customFormat="false" ht="15" hidden="false" customHeight="true" outlineLevel="0" collapsed="false">
      <c r="A432" s="49" t="n">
        <v>441</v>
      </c>
      <c r="B432" s="25" t="s">
        <v>3646</v>
      </c>
      <c r="C432" s="50"/>
      <c r="D432" s="50" t="s">
        <v>3082</v>
      </c>
      <c r="E432" s="49" t="s">
        <v>19</v>
      </c>
      <c r="F432" s="49" t="s">
        <v>2104</v>
      </c>
      <c r="G432" s="25" t="s">
        <v>3647</v>
      </c>
      <c r="H432" s="51" t="n">
        <v>1</v>
      </c>
      <c r="I432" s="49" t="s">
        <v>3354</v>
      </c>
      <c r="J432" s="50" t="s">
        <v>3648</v>
      </c>
      <c r="K432" s="25" t="s">
        <v>3649</v>
      </c>
      <c r="L432" s="49" t="s">
        <v>3650</v>
      </c>
      <c r="M432" s="25" t="s">
        <v>2388</v>
      </c>
      <c r="N432" s="49" t="s">
        <v>2216</v>
      </c>
      <c r="O432" s="25" t="s">
        <v>3088</v>
      </c>
      <c r="P432" s="49" t="s">
        <v>3089</v>
      </c>
      <c r="Q432" s="49"/>
      <c r="R432" s="50" t="s">
        <v>49</v>
      </c>
      <c r="S432" s="50"/>
    </row>
    <row r="433" customFormat="false" ht="15" hidden="false" customHeight="true" outlineLevel="0" collapsed="false">
      <c r="A433" s="46" t="n">
        <v>442</v>
      </c>
      <c r="B433" s="24" t="s">
        <v>3651</v>
      </c>
      <c r="C433" s="47"/>
      <c r="D433" s="47" t="s">
        <v>3082</v>
      </c>
      <c r="E433" s="46" t="s">
        <v>19</v>
      </c>
      <c r="F433" s="46" t="s">
        <v>2104</v>
      </c>
      <c r="G433" s="24" t="s">
        <v>3472</v>
      </c>
      <c r="H433" s="48" t="n">
        <v>5</v>
      </c>
      <c r="I433" s="46" t="s">
        <v>3354</v>
      </c>
      <c r="J433" s="47" t="s">
        <v>3652</v>
      </c>
      <c r="K433" s="24" t="s">
        <v>3653</v>
      </c>
      <c r="L433" s="46" t="s">
        <v>3654</v>
      </c>
      <c r="M433" s="24" t="s">
        <v>2388</v>
      </c>
      <c r="N433" s="46" t="s">
        <v>2216</v>
      </c>
      <c r="O433" s="24" t="s">
        <v>3088</v>
      </c>
      <c r="P433" s="46" t="s">
        <v>3089</v>
      </c>
      <c r="Q433" s="46"/>
      <c r="R433" s="47" t="s">
        <v>49</v>
      </c>
      <c r="S433" s="47"/>
    </row>
    <row r="434" customFormat="false" ht="15" hidden="false" customHeight="true" outlineLevel="0" collapsed="false">
      <c r="A434" s="49" t="n">
        <v>443</v>
      </c>
      <c r="B434" s="25" t="s">
        <v>3655</v>
      </c>
      <c r="C434" s="50"/>
      <c r="D434" s="50" t="s">
        <v>3110</v>
      </c>
      <c r="E434" s="49" t="s">
        <v>19</v>
      </c>
      <c r="F434" s="49" t="s">
        <v>2104</v>
      </c>
      <c r="G434" s="25" t="s">
        <v>3656</v>
      </c>
      <c r="H434" s="51" t="n">
        <v>5</v>
      </c>
      <c r="I434" s="49" t="s">
        <v>3354</v>
      </c>
      <c r="J434" s="50" t="s">
        <v>3657</v>
      </c>
      <c r="K434" s="25" t="s">
        <v>3658</v>
      </c>
      <c r="L434" s="49" t="s">
        <v>3659</v>
      </c>
      <c r="M434" s="25" t="s">
        <v>3159</v>
      </c>
      <c r="N434" s="49" t="s">
        <v>3160</v>
      </c>
      <c r="O434" s="25"/>
      <c r="P434" s="49"/>
      <c r="Q434" s="49"/>
      <c r="R434" s="50" t="s">
        <v>50</v>
      </c>
      <c r="S434" s="52" t="s">
        <v>69</v>
      </c>
    </row>
    <row r="435" customFormat="false" ht="15" hidden="false" customHeight="true" outlineLevel="0" collapsed="false">
      <c r="A435" s="46" t="n">
        <v>444</v>
      </c>
      <c r="B435" s="24" t="s">
        <v>3660</v>
      </c>
      <c r="C435" s="47"/>
      <c r="D435" s="47" t="s">
        <v>3226</v>
      </c>
      <c r="E435" s="46" t="s">
        <v>19</v>
      </c>
      <c r="F435" s="46" t="s">
        <v>2104</v>
      </c>
      <c r="G435" s="24" t="s">
        <v>3476</v>
      </c>
      <c r="H435" s="48" t="n">
        <v>1</v>
      </c>
      <c r="I435" s="46"/>
      <c r="J435" s="47" t="s">
        <v>3661</v>
      </c>
      <c r="K435" s="24" t="s">
        <v>3662</v>
      </c>
      <c r="L435" s="46" t="s">
        <v>3663</v>
      </c>
      <c r="M435" s="24" t="s">
        <v>3193</v>
      </c>
      <c r="N435" s="46" t="s">
        <v>3664</v>
      </c>
      <c r="O435" s="24" t="s">
        <v>3088</v>
      </c>
      <c r="P435" s="46" t="s">
        <v>3089</v>
      </c>
      <c r="Q435" s="46"/>
      <c r="R435" s="47" t="s">
        <v>48</v>
      </c>
      <c r="S435" s="52" t="s">
        <v>67</v>
      </c>
    </row>
    <row r="436" customFormat="false" ht="15" hidden="false" customHeight="true" outlineLevel="0" collapsed="false">
      <c r="A436" s="49" t="n">
        <v>445</v>
      </c>
      <c r="B436" s="25" t="s">
        <v>3665</v>
      </c>
      <c r="C436" s="50"/>
      <c r="D436" s="50" t="s">
        <v>3082</v>
      </c>
      <c r="E436" s="49" t="s">
        <v>19</v>
      </c>
      <c r="F436" s="49" t="s">
        <v>2104</v>
      </c>
      <c r="G436" s="25" t="s">
        <v>3472</v>
      </c>
      <c r="H436" s="51" t="n">
        <v>5</v>
      </c>
      <c r="I436" s="49" t="s">
        <v>3327</v>
      </c>
      <c r="J436" s="50" t="s">
        <v>3666</v>
      </c>
      <c r="K436" s="25" t="s">
        <v>3667</v>
      </c>
      <c r="L436" s="49" t="s">
        <v>3668</v>
      </c>
      <c r="M436" s="25" t="s">
        <v>2388</v>
      </c>
      <c r="N436" s="49" t="s">
        <v>2216</v>
      </c>
      <c r="O436" s="25" t="s">
        <v>3088</v>
      </c>
      <c r="P436" s="49" t="s">
        <v>3089</v>
      </c>
      <c r="Q436" s="49"/>
      <c r="R436" s="50" t="s">
        <v>49</v>
      </c>
      <c r="S436" s="50"/>
    </row>
    <row r="437" customFormat="false" ht="15" hidden="false" customHeight="true" outlineLevel="0" collapsed="false">
      <c r="A437" s="46" t="n">
        <v>446</v>
      </c>
      <c r="B437" s="24" t="s">
        <v>3665</v>
      </c>
      <c r="C437" s="47"/>
      <c r="D437" s="47" t="s">
        <v>3082</v>
      </c>
      <c r="E437" s="46" t="s">
        <v>19</v>
      </c>
      <c r="F437" s="46" t="s">
        <v>2104</v>
      </c>
      <c r="G437" s="24" t="s">
        <v>3472</v>
      </c>
      <c r="H437" s="48" t="n">
        <v>1</v>
      </c>
      <c r="I437" s="46" t="s">
        <v>3327</v>
      </c>
      <c r="J437" s="47" t="s">
        <v>3669</v>
      </c>
      <c r="K437" s="24" t="s">
        <v>3670</v>
      </c>
      <c r="L437" s="46" t="s">
        <v>3671</v>
      </c>
      <c r="M437" s="24" t="s">
        <v>2388</v>
      </c>
      <c r="N437" s="46" t="s">
        <v>2216</v>
      </c>
      <c r="O437" s="24" t="s">
        <v>3088</v>
      </c>
      <c r="P437" s="46" t="s">
        <v>3089</v>
      </c>
      <c r="Q437" s="46"/>
      <c r="R437" s="47" t="s">
        <v>49</v>
      </c>
      <c r="S437" s="47"/>
    </row>
    <row r="438" customFormat="false" ht="15" hidden="false" customHeight="true" outlineLevel="0" collapsed="false">
      <c r="A438" s="49" t="n">
        <v>447</v>
      </c>
      <c r="B438" s="25" t="s">
        <v>3665</v>
      </c>
      <c r="C438" s="50"/>
      <c r="D438" s="50" t="s">
        <v>3082</v>
      </c>
      <c r="E438" s="49" t="s">
        <v>19</v>
      </c>
      <c r="F438" s="49" t="s">
        <v>2104</v>
      </c>
      <c r="G438" s="25" t="s">
        <v>3472</v>
      </c>
      <c r="H438" s="51" t="n">
        <v>5</v>
      </c>
      <c r="I438" s="49" t="s">
        <v>3309</v>
      </c>
      <c r="J438" s="50" t="s">
        <v>3672</v>
      </c>
      <c r="K438" s="25" t="s">
        <v>3673</v>
      </c>
      <c r="L438" s="49" t="s">
        <v>3671</v>
      </c>
      <c r="M438" s="25" t="s">
        <v>2388</v>
      </c>
      <c r="N438" s="49" t="s">
        <v>2216</v>
      </c>
      <c r="O438" s="25" t="s">
        <v>3088</v>
      </c>
      <c r="P438" s="49" t="s">
        <v>3089</v>
      </c>
      <c r="Q438" s="49"/>
      <c r="R438" s="50" t="s">
        <v>49</v>
      </c>
      <c r="S438" s="50"/>
    </row>
    <row r="439" customFormat="false" ht="15" hidden="false" customHeight="true" outlineLevel="0" collapsed="false">
      <c r="A439" s="46" t="n">
        <v>448</v>
      </c>
      <c r="B439" s="24" t="s">
        <v>3665</v>
      </c>
      <c r="C439" s="47"/>
      <c r="D439" s="47" t="s">
        <v>3082</v>
      </c>
      <c r="E439" s="46" t="s">
        <v>19</v>
      </c>
      <c r="F439" s="46" t="s">
        <v>2104</v>
      </c>
      <c r="G439" s="24" t="s">
        <v>3472</v>
      </c>
      <c r="H439" s="48" t="n">
        <v>5</v>
      </c>
      <c r="I439" s="46" t="s">
        <v>3309</v>
      </c>
      <c r="J439" s="47" t="s">
        <v>3674</v>
      </c>
      <c r="K439" s="24" t="s">
        <v>3675</v>
      </c>
      <c r="L439" s="46" t="s">
        <v>3676</v>
      </c>
      <c r="M439" s="24" t="s">
        <v>2388</v>
      </c>
      <c r="N439" s="46" t="s">
        <v>2216</v>
      </c>
      <c r="O439" s="24" t="s">
        <v>3088</v>
      </c>
      <c r="P439" s="46" t="s">
        <v>3089</v>
      </c>
      <c r="Q439" s="46"/>
      <c r="R439" s="47" t="s">
        <v>49</v>
      </c>
      <c r="S439" s="47"/>
    </row>
    <row r="440" customFormat="false" ht="15" hidden="false" customHeight="true" outlineLevel="0" collapsed="false">
      <c r="A440" s="49" t="n">
        <v>449</v>
      </c>
      <c r="B440" s="25" t="s">
        <v>3665</v>
      </c>
      <c r="C440" s="50"/>
      <c r="D440" s="50" t="s">
        <v>3082</v>
      </c>
      <c r="E440" s="49" t="s">
        <v>19</v>
      </c>
      <c r="F440" s="49" t="s">
        <v>2104</v>
      </c>
      <c r="G440" s="25" t="s">
        <v>3472</v>
      </c>
      <c r="H440" s="51" t="n">
        <v>5</v>
      </c>
      <c r="I440" s="49" t="s">
        <v>3354</v>
      </c>
      <c r="J440" s="50" t="s">
        <v>3677</v>
      </c>
      <c r="K440" s="25" t="s">
        <v>3678</v>
      </c>
      <c r="L440" s="49" t="s">
        <v>3679</v>
      </c>
      <c r="M440" s="25" t="s">
        <v>2388</v>
      </c>
      <c r="N440" s="49" t="s">
        <v>2216</v>
      </c>
      <c r="O440" s="25" t="s">
        <v>3088</v>
      </c>
      <c r="P440" s="49" t="s">
        <v>3089</v>
      </c>
      <c r="Q440" s="49"/>
      <c r="R440" s="50" t="s">
        <v>49</v>
      </c>
      <c r="S440" s="50"/>
    </row>
    <row r="441" customFormat="false" ht="15" hidden="false" customHeight="true" outlineLevel="0" collapsed="false">
      <c r="A441" s="46" t="n">
        <v>450</v>
      </c>
      <c r="B441" s="24" t="s">
        <v>3665</v>
      </c>
      <c r="C441" s="47"/>
      <c r="D441" s="47" t="s">
        <v>3082</v>
      </c>
      <c r="E441" s="46" t="s">
        <v>19</v>
      </c>
      <c r="F441" s="46" t="s">
        <v>2104</v>
      </c>
      <c r="G441" s="24" t="s">
        <v>3194</v>
      </c>
      <c r="H441" s="48" t="n">
        <v>5</v>
      </c>
      <c r="I441" s="46" t="s">
        <v>3354</v>
      </c>
      <c r="J441" s="47" t="s">
        <v>3680</v>
      </c>
      <c r="K441" s="24" t="s">
        <v>3681</v>
      </c>
      <c r="L441" s="46" t="s">
        <v>3682</v>
      </c>
      <c r="M441" s="24" t="s">
        <v>2388</v>
      </c>
      <c r="N441" s="46" t="s">
        <v>2216</v>
      </c>
      <c r="O441" s="24" t="s">
        <v>3088</v>
      </c>
      <c r="P441" s="46" t="s">
        <v>3089</v>
      </c>
      <c r="Q441" s="46"/>
      <c r="R441" s="47" t="s">
        <v>50</v>
      </c>
      <c r="S441" s="47"/>
    </row>
    <row r="442" customFormat="false" ht="15" hidden="false" customHeight="true" outlineLevel="0" collapsed="false">
      <c r="A442" s="49" t="n">
        <v>451</v>
      </c>
      <c r="B442" s="25" t="s">
        <v>3683</v>
      </c>
      <c r="C442" s="50"/>
      <c r="D442" s="50" t="s">
        <v>3082</v>
      </c>
      <c r="E442" s="49" t="s">
        <v>19</v>
      </c>
      <c r="F442" s="49" t="s">
        <v>2104</v>
      </c>
      <c r="G442" s="25" t="s">
        <v>3472</v>
      </c>
      <c r="H442" s="51" t="n">
        <v>5</v>
      </c>
      <c r="I442" s="49" t="s">
        <v>3084</v>
      </c>
      <c r="J442" s="50" t="s">
        <v>3684</v>
      </c>
      <c r="K442" s="25" t="s">
        <v>1509</v>
      </c>
      <c r="L442" s="49" t="s">
        <v>3685</v>
      </c>
      <c r="M442" s="25" t="s">
        <v>2388</v>
      </c>
      <c r="N442" s="49" t="s">
        <v>2216</v>
      </c>
      <c r="O442" s="25" t="s">
        <v>3088</v>
      </c>
      <c r="P442" s="49" t="s">
        <v>3089</v>
      </c>
      <c r="Q442" s="49"/>
      <c r="R442" s="50" t="s">
        <v>49</v>
      </c>
      <c r="S442" s="50"/>
    </row>
    <row r="443" customFormat="false" ht="15" hidden="false" customHeight="true" outlineLevel="0" collapsed="false">
      <c r="A443" s="46" t="n">
        <v>452</v>
      </c>
      <c r="B443" s="24" t="s">
        <v>3686</v>
      </c>
      <c r="C443" s="47"/>
      <c r="D443" s="47" t="s">
        <v>2201</v>
      </c>
      <c r="E443" s="46" t="s">
        <v>19</v>
      </c>
      <c r="F443" s="46" t="s">
        <v>2104</v>
      </c>
      <c r="G443" s="24" t="s">
        <v>3194</v>
      </c>
      <c r="H443" s="48" t="n">
        <v>1</v>
      </c>
      <c r="I443" s="46" t="s">
        <v>3171</v>
      </c>
      <c r="J443" s="47" t="s">
        <v>3687</v>
      </c>
      <c r="K443" s="24" t="s">
        <v>3688</v>
      </c>
      <c r="L443" s="46" t="s">
        <v>3689</v>
      </c>
      <c r="M443" s="24" t="s">
        <v>3607</v>
      </c>
      <c r="N443" s="46" t="s">
        <v>3175</v>
      </c>
      <c r="O443" s="24" t="s">
        <v>3690</v>
      </c>
      <c r="P443" s="46" t="s">
        <v>3089</v>
      </c>
      <c r="Q443" s="46"/>
      <c r="R443" s="47" t="s">
        <v>50</v>
      </c>
      <c r="S443" s="47"/>
    </row>
    <row r="444" customFormat="false" ht="15" hidden="false" customHeight="true" outlineLevel="0" collapsed="false">
      <c r="A444" s="49" t="n">
        <v>453</v>
      </c>
      <c r="B444" s="25" t="s">
        <v>3683</v>
      </c>
      <c r="C444" s="50"/>
      <c r="D444" s="50" t="s">
        <v>3082</v>
      </c>
      <c r="E444" s="49" t="s">
        <v>19</v>
      </c>
      <c r="F444" s="49" t="s">
        <v>2104</v>
      </c>
      <c r="G444" s="25" t="s">
        <v>3472</v>
      </c>
      <c r="H444" s="51" t="n">
        <v>5</v>
      </c>
      <c r="I444" s="49" t="s">
        <v>3309</v>
      </c>
      <c r="J444" s="50" t="s">
        <v>3691</v>
      </c>
      <c r="K444" s="25" t="s">
        <v>3141</v>
      </c>
      <c r="L444" s="49" t="s">
        <v>3692</v>
      </c>
      <c r="M444" s="25" t="s">
        <v>2388</v>
      </c>
      <c r="N444" s="49" t="s">
        <v>2216</v>
      </c>
      <c r="O444" s="25" t="s">
        <v>3088</v>
      </c>
      <c r="P444" s="49" t="s">
        <v>3089</v>
      </c>
      <c r="Q444" s="49"/>
      <c r="R444" s="50" t="s">
        <v>49</v>
      </c>
      <c r="S444" s="50"/>
    </row>
    <row r="445" customFormat="false" ht="15" hidden="false" customHeight="true" outlineLevel="0" collapsed="false">
      <c r="A445" s="46" t="n">
        <v>454</v>
      </c>
      <c r="B445" s="24" t="s">
        <v>3693</v>
      </c>
      <c r="C445" s="47"/>
      <c r="D445" s="47" t="s">
        <v>2152</v>
      </c>
      <c r="E445" s="46" t="s">
        <v>16</v>
      </c>
      <c r="F445" s="46" t="s">
        <v>2104</v>
      </c>
      <c r="G445" s="24" t="s">
        <v>3260</v>
      </c>
      <c r="H445" s="48" t="n">
        <v>5</v>
      </c>
      <c r="I445" s="46"/>
      <c r="J445" s="47" t="s">
        <v>1210</v>
      </c>
      <c r="K445" s="24" t="s">
        <v>3694</v>
      </c>
      <c r="L445" s="46" t="s">
        <v>3695</v>
      </c>
      <c r="M445" s="24" t="s">
        <v>3696</v>
      </c>
      <c r="N445" s="46" t="s">
        <v>3697</v>
      </c>
      <c r="O445" s="24" t="s">
        <v>3698</v>
      </c>
      <c r="P445" s="46" t="s">
        <v>3699</v>
      </c>
      <c r="Q445" s="46"/>
      <c r="R445" s="47" t="s">
        <v>48</v>
      </c>
      <c r="S445" s="52" t="s">
        <v>67</v>
      </c>
    </row>
    <row r="446" customFormat="false" ht="15" hidden="false" customHeight="true" outlineLevel="0" collapsed="false">
      <c r="A446" s="49" t="n">
        <v>455</v>
      </c>
      <c r="B446" s="25" t="s">
        <v>3693</v>
      </c>
      <c r="C446" s="50"/>
      <c r="D446" s="50" t="s">
        <v>2152</v>
      </c>
      <c r="E446" s="49" t="s">
        <v>16</v>
      </c>
      <c r="F446" s="49" t="s">
        <v>2104</v>
      </c>
      <c r="G446" s="25" t="s">
        <v>3700</v>
      </c>
      <c r="H446" s="51" t="n">
        <v>5</v>
      </c>
      <c r="I446" s="49"/>
      <c r="J446" s="50" t="s">
        <v>1214</v>
      </c>
      <c r="K446" s="25" t="s">
        <v>3701</v>
      </c>
      <c r="L446" s="49" t="s">
        <v>3702</v>
      </c>
      <c r="M446" s="25" t="s">
        <v>3696</v>
      </c>
      <c r="N446" s="49" t="s">
        <v>3697</v>
      </c>
      <c r="O446" s="25" t="s">
        <v>3698</v>
      </c>
      <c r="P446" s="49" t="s">
        <v>3699</v>
      </c>
      <c r="Q446" s="49"/>
      <c r="R446" s="50" t="s">
        <v>48</v>
      </c>
      <c r="S446" s="52" t="s">
        <v>67</v>
      </c>
    </row>
    <row r="447" customFormat="false" ht="15" hidden="false" customHeight="true" outlineLevel="0" collapsed="false">
      <c r="A447" s="46" t="n">
        <v>456</v>
      </c>
      <c r="B447" s="24" t="s">
        <v>3693</v>
      </c>
      <c r="C447" s="47"/>
      <c r="D447" s="47" t="s">
        <v>2152</v>
      </c>
      <c r="E447" s="46" t="s">
        <v>16</v>
      </c>
      <c r="F447" s="46" t="s">
        <v>2104</v>
      </c>
      <c r="G447" s="24" t="s">
        <v>3703</v>
      </c>
      <c r="H447" s="48" t="n">
        <v>5</v>
      </c>
      <c r="I447" s="46"/>
      <c r="J447" s="47" t="s">
        <v>3704</v>
      </c>
      <c r="K447" s="24" t="s">
        <v>3705</v>
      </c>
      <c r="L447" s="46" t="s">
        <v>3706</v>
      </c>
      <c r="M447" s="24" t="s">
        <v>3696</v>
      </c>
      <c r="N447" s="46" t="s">
        <v>3697</v>
      </c>
      <c r="O447" s="24" t="s">
        <v>3698</v>
      </c>
      <c r="P447" s="46" t="s">
        <v>3699</v>
      </c>
      <c r="Q447" s="46"/>
      <c r="R447" s="47" t="s">
        <v>48</v>
      </c>
      <c r="S447" s="52" t="s">
        <v>67</v>
      </c>
    </row>
    <row r="448" customFormat="false" ht="15" hidden="false" customHeight="true" outlineLevel="0" collapsed="false">
      <c r="A448" s="49" t="n">
        <v>457</v>
      </c>
      <c r="B448" s="25" t="s">
        <v>3693</v>
      </c>
      <c r="C448" s="50"/>
      <c r="D448" s="50" t="s">
        <v>2152</v>
      </c>
      <c r="E448" s="49" t="s">
        <v>16</v>
      </c>
      <c r="F448" s="49" t="s">
        <v>2104</v>
      </c>
      <c r="G448" s="25" t="s">
        <v>3707</v>
      </c>
      <c r="H448" s="51" t="n">
        <v>5</v>
      </c>
      <c r="I448" s="49"/>
      <c r="J448" s="50" t="s">
        <v>3708</v>
      </c>
      <c r="K448" s="25" t="s">
        <v>3709</v>
      </c>
      <c r="L448" s="49" t="s">
        <v>3710</v>
      </c>
      <c r="M448" s="25" t="s">
        <v>3696</v>
      </c>
      <c r="N448" s="49" t="s">
        <v>3697</v>
      </c>
      <c r="O448" s="25" t="s">
        <v>3698</v>
      </c>
      <c r="P448" s="49" t="s">
        <v>3699</v>
      </c>
      <c r="Q448" s="49"/>
      <c r="R448" s="50" t="s">
        <v>48</v>
      </c>
      <c r="S448" s="52" t="s">
        <v>67</v>
      </c>
    </row>
    <row r="449" customFormat="false" ht="15" hidden="false" customHeight="true" outlineLevel="0" collapsed="false">
      <c r="A449" s="46" t="n">
        <v>458</v>
      </c>
      <c r="B449" s="24" t="s">
        <v>3693</v>
      </c>
      <c r="C449" s="47"/>
      <c r="D449" s="47" t="s">
        <v>2152</v>
      </c>
      <c r="E449" s="46" t="s">
        <v>16</v>
      </c>
      <c r="F449" s="46" t="s">
        <v>2104</v>
      </c>
      <c r="G449" s="24" t="s">
        <v>3711</v>
      </c>
      <c r="H449" s="48" t="n">
        <v>5</v>
      </c>
      <c r="I449" s="46"/>
      <c r="J449" s="47" t="s">
        <v>1220</v>
      </c>
      <c r="K449" s="24" t="s">
        <v>3712</v>
      </c>
      <c r="L449" s="46" t="s">
        <v>3713</v>
      </c>
      <c r="M449" s="24" t="s">
        <v>3696</v>
      </c>
      <c r="N449" s="46" t="s">
        <v>3697</v>
      </c>
      <c r="O449" s="24" t="s">
        <v>3698</v>
      </c>
      <c r="P449" s="46" t="s">
        <v>3699</v>
      </c>
      <c r="Q449" s="46"/>
      <c r="R449" s="47" t="s">
        <v>48</v>
      </c>
      <c r="S449" s="52" t="s">
        <v>67</v>
      </c>
    </row>
    <row r="450" customFormat="false" ht="15" hidden="false" customHeight="true" outlineLevel="0" collapsed="false">
      <c r="A450" s="49" t="n">
        <v>459</v>
      </c>
      <c r="B450" s="25" t="s">
        <v>3693</v>
      </c>
      <c r="C450" s="50"/>
      <c r="D450" s="50" t="s">
        <v>2152</v>
      </c>
      <c r="E450" s="49" t="s">
        <v>16</v>
      </c>
      <c r="F450" s="49" t="s">
        <v>2104</v>
      </c>
      <c r="G450" s="25" t="s">
        <v>3714</v>
      </c>
      <c r="H450" s="51" t="n">
        <v>5</v>
      </c>
      <c r="I450" s="49"/>
      <c r="J450" s="50" t="s">
        <v>1222</v>
      </c>
      <c r="K450" s="25" t="s">
        <v>2407</v>
      </c>
      <c r="L450" s="49" t="s">
        <v>3715</v>
      </c>
      <c r="M450" s="25" t="s">
        <v>3696</v>
      </c>
      <c r="N450" s="49" t="s">
        <v>3697</v>
      </c>
      <c r="O450" s="25" t="s">
        <v>3698</v>
      </c>
      <c r="P450" s="49" t="s">
        <v>3699</v>
      </c>
      <c r="Q450" s="49"/>
      <c r="R450" s="50" t="s">
        <v>48</v>
      </c>
      <c r="S450" s="52" t="s">
        <v>67</v>
      </c>
    </row>
    <row r="451" customFormat="false" ht="15" hidden="false" customHeight="true" outlineLevel="0" collapsed="false">
      <c r="A451" s="46" t="n">
        <v>460</v>
      </c>
      <c r="B451" s="24" t="s">
        <v>3693</v>
      </c>
      <c r="C451" s="47"/>
      <c r="D451" s="47" t="s">
        <v>2152</v>
      </c>
      <c r="E451" s="46" t="s">
        <v>16</v>
      </c>
      <c r="F451" s="46" t="s">
        <v>2104</v>
      </c>
      <c r="G451" s="24" t="s">
        <v>3716</v>
      </c>
      <c r="H451" s="48" t="n">
        <v>5</v>
      </c>
      <c r="I451" s="46"/>
      <c r="J451" s="47" t="s">
        <v>1224</v>
      </c>
      <c r="K451" s="24" t="s">
        <v>3717</v>
      </c>
      <c r="L451" s="46" t="s">
        <v>3718</v>
      </c>
      <c r="M451" s="24" t="s">
        <v>3696</v>
      </c>
      <c r="N451" s="46" t="s">
        <v>3697</v>
      </c>
      <c r="O451" s="24" t="s">
        <v>3698</v>
      </c>
      <c r="P451" s="46" t="s">
        <v>3699</v>
      </c>
      <c r="Q451" s="46"/>
      <c r="R451" s="47" t="s">
        <v>48</v>
      </c>
      <c r="S451" s="52" t="s">
        <v>67</v>
      </c>
    </row>
    <row r="452" customFormat="false" ht="15" hidden="false" customHeight="true" outlineLevel="0" collapsed="false">
      <c r="A452" s="49" t="n">
        <v>461</v>
      </c>
      <c r="B452" s="25" t="s">
        <v>3693</v>
      </c>
      <c r="C452" s="50"/>
      <c r="D452" s="50" t="s">
        <v>2152</v>
      </c>
      <c r="E452" s="49" t="s">
        <v>16</v>
      </c>
      <c r="F452" s="49" t="s">
        <v>2104</v>
      </c>
      <c r="G452" s="25" t="s">
        <v>3719</v>
      </c>
      <c r="H452" s="51" t="n">
        <v>5</v>
      </c>
      <c r="I452" s="49"/>
      <c r="J452" s="50" t="s">
        <v>3720</v>
      </c>
      <c r="K452" s="25" t="s">
        <v>3721</v>
      </c>
      <c r="L452" s="49" t="s">
        <v>3722</v>
      </c>
      <c r="M452" s="25" t="s">
        <v>3696</v>
      </c>
      <c r="N452" s="49" t="s">
        <v>3697</v>
      </c>
      <c r="O452" s="25" t="s">
        <v>3698</v>
      </c>
      <c r="P452" s="49" t="s">
        <v>3699</v>
      </c>
      <c r="Q452" s="49"/>
      <c r="R452" s="50" t="s">
        <v>48</v>
      </c>
      <c r="S452" s="52" t="s">
        <v>67</v>
      </c>
    </row>
    <row r="453" customFormat="false" ht="15" hidden="false" customHeight="true" outlineLevel="0" collapsed="false">
      <c r="A453" s="46" t="n">
        <v>462</v>
      </c>
      <c r="B453" s="24" t="s">
        <v>3693</v>
      </c>
      <c r="C453" s="47"/>
      <c r="D453" s="47" t="s">
        <v>2152</v>
      </c>
      <c r="E453" s="46" t="s">
        <v>16</v>
      </c>
      <c r="F453" s="46" t="s">
        <v>2104</v>
      </c>
      <c r="G453" s="24" t="s">
        <v>3723</v>
      </c>
      <c r="H453" s="48" t="n">
        <v>5</v>
      </c>
      <c r="I453" s="46"/>
      <c r="J453" s="47" t="s">
        <v>3724</v>
      </c>
      <c r="K453" s="24" t="s">
        <v>3725</v>
      </c>
      <c r="L453" s="46" t="s">
        <v>3726</v>
      </c>
      <c r="M453" s="24" t="s">
        <v>3696</v>
      </c>
      <c r="N453" s="46" t="s">
        <v>3697</v>
      </c>
      <c r="O453" s="24" t="s">
        <v>3698</v>
      </c>
      <c r="P453" s="46" t="s">
        <v>3699</v>
      </c>
      <c r="Q453" s="46"/>
      <c r="R453" s="47" t="s">
        <v>48</v>
      </c>
      <c r="S453" s="52" t="s">
        <v>67</v>
      </c>
    </row>
    <row r="454" customFormat="false" ht="15" hidden="false" customHeight="true" outlineLevel="0" collapsed="false">
      <c r="A454" s="49" t="n">
        <v>463</v>
      </c>
      <c r="B454" s="25" t="s">
        <v>3693</v>
      </c>
      <c r="C454" s="50"/>
      <c r="D454" s="50" t="s">
        <v>2152</v>
      </c>
      <c r="E454" s="49" t="s">
        <v>16</v>
      </c>
      <c r="F454" s="49" t="s">
        <v>2104</v>
      </c>
      <c r="G454" s="25" t="s">
        <v>3727</v>
      </c>
      <c r="H454" s="51" t="n">
        <v>5</v>
      </c>
      <c r="I454" s="49"/>
      <c r="J454" s="50" t="s">
        <v>3728</v>
      </c>
      <c r="K454" s="25" t="s">
        <v>3729</v>
      </c>
      <c r="L454" s="49" t="s">
        <v>3730</v>
      </c>
      <c r="M454" s="25" t="s">
        <v>3696</v>
      </c>
      <c r="N454" s="49" t="s">
        <v>3697</v>
      </c>
      <c r="O454" s="25" t="s">
        <v>3698</v>
      </c>
      <c r="P454" s="49" t="s">
        <v>3699</v>
      </c>
      <c r="Q454" s="49"/>
      <c r="R454" s="50" t="s">
        <v>48</v>
      </c>
      <c r="S454" s="52" t="s">
        <v>67</v>
      </c>
    </row>
    <row r="455" customFormat="false" ht="15" hidden="false" customHeight="true" outlineLevel="0" collapsed="false">
      <c r="A455" s="46" t="n">
        <v>464</v>
      </c>
      <c r="B455" s="24" t="s">
        <v>3693</v>
      </c>
      <c r="C455" s="47"/>
      <c r="D455" s="47" t="s">
        <v>2152</v>
      </c>
      <c r="E455" s="46" t="s">
        <v>16</v>
      </c>
      <c r="F455" s="46" t="s">
        <v>2104</v>
      </c>
      <c r="G455" s="24" t="s">
        <v>3731</v>
      </c>
      <c r="H455" s="48" t="n">
        <v>5</v>
      </c>
      <c r="I455" s="46"/>
      <c r="J455" s="47" t="s">
        <v>1232</v>
      </c>
      <c r="K455" s="24" t="s">
        <v>3732</v>
      </c>
      <c r="L455" s="46" t="s">
        <v>3733</v>
      </c>
      <c r="M455" s="24" t="s">
        <v>3696</v>
      </c>
      <c r="N455" s="46" t="s">
        <v>3697</v>
      </c>
      <c r="O455" s="24" t="s">
        <v>3698</v>
      </c>
      <c r="P455" s="46" t="s">
        <v>3699</v>
      </c>
      <c r="Q455" s="46"/>
      <c r="R455" s="47" t="s">
        <v>48</v>
      </c>
      <c r="S455" s="52" t="s">
        <v>67</v>
      </c>
    </row>
    <row r="456" customFormat="false" ht="15" hidden="false" customHeight="true" outlineLevel="0" collapsed="false">
      <c r="A456" s="49" t="n">
        <v>465</v>
      </c>
      <c r="B456" s="25" t="s">
        <v>3693</v>
      </c>
      <c r="C456" s="50"/>
      <c r="D456" s="50" t="s">
        <v>2152</v>
      </c>
      <c r="E456" s="49" t="s">
        <v>16</v>
      </c>
      <c r="F456" s="49" t="s">
        <v>2104</v>
      </c>
      <c r="G456" s="25" t="s">
        <v>3734</v>
      </c>
      <c r="H456" s="51" t="n">
        <v>5</v>
      </c>
      <c r="I456" s="49"/>
      <c r="J456" s="50" t="s">
        <v>1234</v>
      </c>
      <c r="K456" s="25" t="s">
        <v>3735</v>
      </c>
      <c r="L456" s="49" t="s">
        <v>3736</v>
      </c>
      <c r="M456" s="25" t="s">
        <v>3696</v>
      </c>
      <c r="N456" s="49" t="s">
        <v>3697</v>
      </c>
      <c r="O456" s="25" t="s">
        <v>3698</v>
      </c>
      <c r="P456" s="49" t="s">
        <v>3699</v>
      </c>
      <c r="Q456" s="49"/>
      <c r="R456" s="50" t="s">
        <v>48</v>
      </c>
      <c r="S456" s="52" t="s">
        <v>67</v>
      </c>
    </row>
    <row r="457" customFormat="false" ht="15" hidden="false" customHeight="true" outlineLevel="0" collapsed="false">
      <c r="A457" s="46" t="n">
        <v>466</v>
      </c>
      <c r="B457" s="24" t="s">
        <v>3693</v>
      </c>
      <c r="C457" s="47"/>
      <c r="D457" s="47" t="s">
        <v>2152</v>
      </c>
      <c r="E457" s="46" t="s">
        <v>16</v>
      </c>
      <c r="F457" s="46" t="s">
        <v>2104</v>
      </c>
      <c r="G457" s="24" t="s">
        <v>3737</v>
      </c>
      <c r="H457" s="48" t="n">
        <v>5</v>
      </c>
      <c r="I457" s="46"/>
      <c r="J457" s="47" t="s">
        <v>3738</v>
      </c>
      <c r="K457" s="24" t="s">
        <v>3739</v>
      </c>
      <c r="L457" s="46" t="s">
        <v>3740</v>
      </c>
      <c r="M457" s="24" t="s">
        <v>3696</v>
      </c>
      <c r="N457" s="46" t="s">
        <v>3697</v>
      </c>
      <c r="O457" s="24" t="s">
        <v>3698</v>
      </c>
      <c r="P457" s="46" t="s">
        <v>3699</v>
      </c>
      <c r="Q457" s="46"/>
      <c r="R457" s="47" t="s">
        <v>48</v>
      </c>
      <c r="S457" s="52" t="s">
        <v>67</v>
      </c>
    </row>
    <row r="458" customFormat="false" ht="15" hidden="false" customHeight="true" outlineLevel="0" collapsed="false">
      <c r="A458" s="49" t="n">
        <v>467</v>
      </c>
      <c r="B458" s="25" t="s">
        <v>3693</v>
      </c>
      <c r="C458" s="50"/>
      <c r="D458" s="50" t="s">
        <v>2152</v>
      </c>
      <c r="E458" s="49" t="s">
        <v>16</v>
      </c>
      <c r="F458" s="49" t="s">
        <v>2104</v>
      </c>
      <c r="G458" s="25" t="s">
        <v>3741</v>
      </c>
      <c r="H458" s="51" t="n">
        <v>5</v>
      </c>
      <c r="I458" s="49"/>
      <c r="J458" s="50" t="s">
        <v>1238</v>
      </c>
      <c r="K458" s="25" t="s">
        <v>3742</v>
      </c>
      <c r="L458" s="49" t="s">
        <v>3743</v>
      </c>
      <c r="M458" s="25" t="s">
        <v>3696</v>
      </c>
      <c r="N458" s="49" t="s">
        <v>3697</v>
      </c>
      <c r="O458" s="25" t="s">
        <v>3698</v>
      </c>
      <c r="P458" s="49" t="s">
        <v>3699</v>
      </c>
      <c r="Q458" s="49"/>
      <c r="R458" s="50" t="s">
        <v>48</v>
      </c>
      <c r="S458" s="52" t="s">
        <v>67</v>
      </c>
    </row>
    <row r="459" customFormat="false" ht="15" hidden="false" customHeight="true" outlineLevel="0" collapsed="false">
      <c r="A459" s="46" t="n">
        <v>468</v>
      </c>
      <c r="B459" s="24" t="s">
        <v>3693</v>
      </c>
      <c r="C459" s="47"/>
      <c r="D459" s="47" t="s">
        <v>2152</v>
      </c>
      <c r="E459" s="46" t="s">
        <v>16</v>
      </c>
      <c r="F459" s="46" t="s">
        <v>2104</v>
      </c>
      <c r="G459" s="24" t="s">
        <v>3744</v>
      </c>
      <c r="H459" s="48" t="n">
        <v>5</v>
      </c>
      <c r="I459" s="46"/>
      <c r="J459" s="47" t="s">
        <v>1240</v>
      </c>
      <c r="K459" s="24" t="s">
        <v>3745</v>
      </c>
      <c r="L459" s="46" t="s">
        <v>3746</v>
      </c>
      <c r="M459" s="24" t="s">
        <v>3696</v>
      </c>
      <c r="N459" s="46" t="s">
        <v>3697</v>
      </c>
      <c r="O459" s="24" t="s">
        <v>3698</v>
      </c>
      <c r="P459" s="46" t="s">
        <v>3699</v>
      </c>
      <c r="Q459" s="46"/>
      <c r="R459" s="47" t="s">
        <v>48</v>
      </c>
      <c r="S459" s="52" t="s">
        <v>67</v>
      </c>
    </row>
    <row r="460" customFormat="false" ht="15" hidden="false" customHeight="true" outlineLevel="0" collapsed="false">
      <c r="A460" s="49" t="n">
        <v>469</v>
      </c>
      <c r="B460" s="25" t="s">
        <v>3693</v>
      </c>
      <c r="C460" s="50"/>
      <c r="D460" s="50" t="s">
        <v>2152</v>
      </c>
      <c r="E460" s="49" t="s">
        <v>16</v>
      </c>
      <c r="F460" s="49" t="s">
        <v>2104</v>
      </c>
      <c r="G460" s="25" t="s">
        <v>3747</v>
      </c>
      <c r="H460" s="51" t="n">
        <v>5</v>
      </c>
      <c r="I460" s="49"/>
      <c r="J460" s="50" t="s">
        <v>1242</v>
      </c>
      <c r="K460" s="25" t="s">
        <v>3748</v>
      </c>
      <c r="L460" s="49" t="s">
        <v>3749</v>
      </c>
      <c r="M460" s="25" t="s">
        <v>3696</v>
      </c>
      <c r="N460" s="49" t="s">
        <v>3697</v>
      </c>
      <c r="O460" s="25" t="s">
        <v>3698</v>
      </c>
      <c r="P460" s="49" t="s">
        <v>3699</v>
      </c>
      <c r="Q460" s="49"/>
      <c r="R460" s="50" t="s">
        <v>48</v>
      </c>
      <c r="S460" s="52" t="s">
        <v>67</v>
      </c>
    </row>
    <row r="461" customFormat="false" ht="15" hidden="false" customHeight="true" outlineLevel="0" collapsed="false">
      <c r="A461" s="46" t="n">
        <v>470</v>
      </c>
      <c r="B461" s="24" t="s">
        <v>3693</v>
      </c>
      <c r="C461" s="47"/>
      <c r="D461" s="47" t="s">
        <v>2152</v>
      </c>
      <c r="E461" s="46" t="s">
        <v>16</v>
      </c>
      <c r="F461" s="46" t="s">
        <v>2104</v>
      </c>
      <c r="G461" s="24" t="s">
        <v>3750</v>
      </c>
      <c r="H461" s="48" t="n">
        <v>5</v>
      </c>
      <c r="I461" s="46"/>
      <c r="J461" s="47" t="s">
        <v>3751</v>
      </c>
      <c r="K461" s="24" t="s">
        <v>3752</v>
      </c>
      <c r="L461" s="46" t="s">
        <v>3753</v>
      </c>
      <c r="M461" s="24" t="s">
        <v>3696</v>
      </c>
      <c r="N461" s="46" t="s">
        <v>3697</v>
      </c>
      <c r="O461" s="24" t="s">
        <v>3698</v>
      </c>
      <c r="P461" s="46" t="s">
        <v>3699</v>
      </c>
      <c r="Q461" s="46"/>
      <c r="R461" s="47" t="s">
        <v>48</v>
      </c>
      <c r="S461" s="52" t="s">
        <v>67</v>
      </c>
    </row>
    <row r="462" customFormat="false" ht="15" hidden="false" customHeight="true" outlineLevel="0" collapsed="false">
      <c r="A462" s="49" t="n">
        <v>471</v>
      </c>
      <c r="B462" s="25" t="s">
        <v>3693</v>
      </c>
      <c r="C462" s="50"/>
      <c r="D462" s="50" t="s">
        <v>2152</v>
      </c>
      <c r="E462" s="49" t="s">
        <v>16</v>
      </c>
      <c r="F462" s="49" t="s">
        <v>2104</v>
      </c>
      <c r="G462" s="25" t="s">
        <v>3754</v>
      </c>
      <c r="H462" s="51" t="n">
        <v>5</v>
      </c>
      <c r="I462" s="49"/>
      <c r="J462" s="50" t="s">
        <v>3755</v>
      </c>
      <c r="K462" s="25" t="s">
        <v>3756</v>
      </c>
      <c r="L462" s="49" t="s">
        <v>3757</v>
      </c>
      <c r="M462" s="25" t="s">
        <v>3696</v>
      </c>
      <c r="N462" s="49" t="s">
        <v>3697</v>
      </c>
      <c r="O462" s="25" t="s">
        <v>3698</v>
      </c>
      <c r="P462" s="49" t="s">
        <v>3699</v>
      </c>
      <c r="Q462" s="49"/>
      <c r="R462" s="50" t="s">
        <v>48</v>
      </c>
      <c r="S462" s="52" t="s">
        <v>67</v>
      </c>
    </row>
    <row r="463" customFormat="false" ht="15" hidden="false" customHeight="true" outlineLevel="0" collapsed="false">
      <c r="A463" s="46" t="n">
        <v>472</v>
      </c>
      <c r="B463" s="24" t="s">
        <v>2152</v>
      </c>
      <c r="C463" s="47"/>
      <c r="D463" s="47" t="s">
        <v>2152</v>
      </c>
      <c r="E463" s="46" t="s">
        <v>16</v>
      </c>
      <c r="F463" s="46" t="s">
        <v>2104</v>
      </c>
      <c r="G463" s="24" t="s">
        <v>3758</v>
      </c>
      <c r="H463" s="48" t="n">
        <v>5</v>
      </c>
      <c r="I463" s="46"/>
      <c r="J463" s="47" t="s">
        <v>1249</v>
      </c>
      <c r="K463" s="24" t="s">
        <v>3759</v>
      </c>
      <c r="L463" s="46" t="s">
        <v>3760</v>
      </c>
      <c r="M463" s="24" t="s">
        <v>3696</v>
      </c>
      <c r="N463" s="46" t="s">
        <v>3697</v>
      </c>
      <c r="O463" s="24" t="s">
        <v>3698</v>
      </c>
      <c r="P463" s="46" t="s">
        <v>3699</v>
      </c>
      <c r="Q463" s="46"/>
      <c r="R463" s="47" t="s">
        <v>48</v>
      </c>
      <c r="S463" s="52" t="s">
        <v>67</v>
      </c>
    </row>
    <row r="464" customFormat="false" ht="15" hidden="false" customHeight="true" outlineLevel="0" collapsed="false">
      <c r="A464" s="49" t="n">
        <v>473</v>
      </c>
      <c r="B464" s="25" t="s">
        <v>2152</v>
      </c>
      <c r="C464" s="50"/>
      <c r="D464" s="50" t="s">
        <v>2152</v>
      </c>
      <c r="E464" s="49" t="s">
        <v>16</v>
      </c>
      <c r="F464" s="49" t="s">
        <v>2104</v>
      </c>
      <c r="G464" s="25" t="s">
        <v>3761</v>
      </c>
      <c r="H464" s="51" t="n">
        <v>5</v>
      </c>
      <c r="I464" s="49"/>
      <c r="J464" s="50" t="s">
        <v>1251</v>
      </c>
      <c r="K464" s="25" t="s">
        <v>3762</v>
      </c>
      <c r="L464" s="49" t="s">
        <v>3763</v>
      </c>
      <c r="M464" s="25" t="s">
        <v>3696</v>
      </c>
      <c r="N464" s="49" t="s">
        <v>3697</v>
      </c>
      <c r="O464" s="25" t="s">
        <v>3698</v>
      </c>
      <c r="P464" s="49" t="s">
        <v>3699</v>
      </c>
      <c r="Q464" s="49"/>
      <c r="R464" s="50" t="s">
        <v>48</v>
      </c>
      <c r="S464" s="52" t="s">
        <v>67</v>
      </c>
    </row>
    <row r="465" customFormat="false" ht="15" hidden="false" customHeight="true" outlineLevel="0" collapsed="false">
      <c r="A465" s="46" t="n">
        <v>474</v>
      </c>
      <c r="B465" s="24" t="s">
        <v>2152</v>
      </c>
      <c r="C465" s="47"/>
      <c r="D465" s="47" t="s">
        <v>2152</v>
      </c>
      <c r="E465" s="46" t="s">
        <v>16</v>
      </c>
      <c r="F465" s="46" t="s">
        <v>2104</v>
      </c>
      <c r="G465" s="24" t="s">
        <v>3764</v>
      </c>
      <c r="H465" s="48" t="n">
        <v>5</v>
      </c>
      <c r="I465" s="46"/>
      <c r="J465" s="47" t="s">
        <v>1253</v>
      </c>
      <c r="K465" s="24" t="s">
        <v>3765</v>
      </c>
      <c r="L465" s="46" t="s">
        <v>3766</v>
      </c>
      <c r="M465" s="24" t="s">
        <v>3696</v>
      </c>
      <c r="N465" s="46" t="s">
        <v>3697</v>
      </c>
      <c r="O465" s="24" t="s">
        <v>3698</v>
      </c>
      <c r="P465" s="46" t="s">
        <v>3699</v>
      </c>
      <c r="Q465" s="46"/>
      <c r="R465" s="47" t="s">
        <v>48</v>
      </c>
      <c r="S465" s="52" t="s">
        <v>67</v>
      </c>
    </row>
    <row r="466" customFormat="false" ht="15" hidden="false" customHeight="true" outlineLevel="0" collapsed="false">
      <c r="A466" s="49" t="n">
        <v>475</v>
      </c>
      <c r="B466" s="25" t="s">
        <v>2152</v>
      </c>
      <c r="C466" s="50"/>
      <c r="D466" s="50" t="s">
        <v>2152</v>
      </c>
      <c r="E466" s="49" t="s">
        <v>16</v>
      </c>
      <c r="F466" s="49" t="s">
        <v>2104</v>
      </c>
      <c r="G466" s="25" t="s">
        <v>3767</v>
      </c>
      <c r="H466" s="51" t="n">
        <v>5</v>
      </c>
      <c r="I466" s="49"/>
      <c r="J466" s="50" t="s">
        <v>1255</v>
      </c>
      <c r="K466" s="25" t="s">
        <v>3768</v>
      </c>
      <c r="L466" s="49" t="s">
        <v>3769</v>
      </c>
      <c r="M466" s="25" t="s">
        <v>3696</v>
      </c>
      <c r="N466" s="49" t="s">
        <v>3697</v>
      </c>
      <c r="O466" s="25" t="s">
        <v>3698</v>
      </c>
      <c r="P466" s="49" t="s">
        <v>3699</v>
      </c>
      <c r="Q466" s="49"/>
      <c r="R466" s="50" t="s">
        <v>48</v>
      </c>
      <c r="S466" s="52" t="s">
        <v>67</v>
      </c>
    </row>
    <row r="467" customFormat="false" ht="15" hidden="false" customHeight="true" outlineLevel="0" collapsed="false">
      <c r="A467" s="46" t="n">
        <v>476</v>
      </c>
      <c r="B467" s="24" t="s">
        <v>2152</v>
      </c>
      <c r="C467" s="47"/>
      <c r="D467" s="47" t="s">
        <v>2152</v>
      </c>
      <c r="E467" s="46" t="s">
        <v>16</v>
      </c>
      <c r="F467" s="46" t="s">
        <v>2104</v>
      </c>
      <c r="G467" s="24" t="s">
        <v>3770</v>
      </c>
      <c r="H467" s="48" t="n">
        <v>5</v>
      </c>
      <c r="I467" s="46"/>
      <c r="J467" s="47" t="s">
        <v>1257</v>
      </c>
      <c r="K467" s="24" t="s">
        <v>3771</v>
      </c>
      <c r="L467" s="46" t="s">
        <v>3772</v>
      </c>
      <c r="M467" s="24" t="s">
        <v>3696</v>
      </c>
      <c r="N467" s="46" t="s">
        <v>3697</v>
      </c>
      <c r="O467" s="24" t="s">
        <v>3698</v>
      </c>
      <c r="P467" s="46" t="s">
        <v>3699</v>
      </c>
      <c r="Q467" s="46"/>
      <c r="R467" s="47" t="s">
        <v>48</v>
      </c>
      <c r="S467" s="52" t="s">
        <v>67</v>
      </c>
    </row>
    <row r="468" customFormat="false" ht="15" hidden="false" customHeight="true" outlineLevel="0" collapsed="false">
      <c r="A468" s="49" t="n">
        <v>477</v>
      </c>
      <c r="B468" s="25" t="s">
        <v>2152</v>
      </c>
      <c r="C468" s="50"/>
      <c r="D468" s="50" t="s">
        <v>2152</v>
      </c>
      <c r="E468" s="49" t="s">
        <v>16</v>
      </c>
      <c r="F468" s="49" t="s">
        <v>2104</v>
      </c>
      <c r="G468" s="25" t="s">
        <v>3773</v>
      </c>
      <c r="H468" s="51" t="n">
        <v>5</v>
      </c>
      <c r="I468" s="49"/>
      <c r="J468" s="50" t="s">
        <v>1259</v>
      </c>
      <c r="K468" s="25" t="s">
        <v>3774</v>
      </c>
      <c r="L468" s="49" t="s">
        <v>3775</v>
      </c>
      <c r="M468" s="25" t="s">
        <v>3696</v>
      </c>
      <c r="N468" s="49" t="s">
        <v>3697</v>
      </c>
      <c r="O468" s="25" t="s">
        <v>3698</v>
      </c>
      <c r="P468" s="49" t="s">
        <v>3699</v>
      </c>
      <c r="Q468" s="49"/>
      <c r="R468" s="50" t="s">
        <v>48</v>
      </c>
      <c r="S468" s="52" t="s">
        <v>67</v>
      </c>
    </row>
    <row r="469" customFormat="false" ht="15" hidden="false" customHeight="true" outlineLevel="0" collapsed="false">
      <c r="A469" s="46" t="n">
        <v>478</v>
      </c>
      <c r="B469" s="24" t="s">
        <v>3776</v>
      </c>
      <c r="C469" s="47"/>
      <c r="D469" s="47" t="s">
        <v>2152</v>
      </c>
      <c r="E469" s="46" t="s">
        <v>16</v>
      </c>
      <c r="F469" s="46" t="s">
        <v>2104</v>
      </c>
      <c r="G469" s="24" t="s">
        <v>3777</v>
      </c>
      <c r="H469" s="48" t="n">
        <v>5</v>
      </c>
      <c r="I469" s="46"/>
      <c r="J469" s="47" t="s">
        <v>3778</v>
      </c>
      <c r="K469" s="24" t="s">
        <v>3779</v>
      </c>
      <c r="L469" s="46" t="s">
        <v>3780</v>
      </c>
      <c r="M469" s="24" t="s">
        <v>3696</v>
      </c>
      <c r="N469" s="46" t="s">
        <v>3697</v>
      </c>
      <c r="O469" s="24" t="s">
        <v>3698</v>
      </c>
      <c r="P469" s="46" t="s">
        <v>3699</v>
      </c>
      <c r="Q469" s="46"/>
      <c r="R469" s="47" t="s">
        <v>48</v>
      </c>
      <c r="S469" s="52" t="s">
        <v>67</v>
      </c>
    </row>
    <row r="470" customFormat="false" ht="15" hidden="false" customHeight="true" outlineLevel="0" collapsed="false">
      <c r="A470" s="49" t="n">
        <v>479</v>
      </c>
      <c r="B470" s="25" t="s">
        <v>3781</v>
      </c>
      <c r="C470" s="50"/>
      <c r="D470" s="50" t="s">
        <v>2152</v>
      </c>
      <c r="E470" s="49" t="s">
        <v>16</v>
      </c>
      <c r="F470" s="49" t="s">
        <v>2104</v>
      </c>
      <c r="G470" s="25" t="s">
        <v>3782</v>
      </c>
      <c r="H470" s="51" t="n">
        <v>5</v>
      </c>
      <c r="I470" s="49"/>
      <c r="J470" s="50" t="s">
        <v>1265</v>
      </c>
      <c r="K470" s="25" t="s">
        <v>3783</v>
      </c>
      <c r="L470" s="49" t="s">
        <v>3784</v>
      </c>
      <c r="M470" s="25" t="s">
        <v>3785</v>
      </c>
      <c r="N470" s="49" t="s">
        <v>3786</v>
      </c>
      <c r="O470" s="25" t="s">
        <v>3698</v>
      </c>
      <c r="P470" s="49" t="s">
        <v>3699</v>
      </c>
      <c r="Q470" s="49"/>
      <c r="R470" s="50" t="s">
        <v>48</v>
      </c>
      <c r="S470" s="52" t="s">
        <v>67</v>
      </c>
    </row>
    <row r="471" customFormat="false" ht="15" hidden="false" customHeight="true" outlineLevel="0" collapsed="false">
      <c r="A471" s="46" t="n">
        <v>480</v>
      </c>
      <c r="B471" s="24" t="s">
        <v>2152</v>
      </c>
      <c r="C471" s="47"/>
      <c r="D471" s="47" t="s">
        <v>2152</v>
      </c>
      <c r="E471" s="46" t="s">
        <v>16</v>
      </c>
      <c r="F471" s="46" t="s">
        <v>2104</v>
      </c>
      <c r="G471" s="24" t="s">
        <v>3787</v>
      </c>
      <c r="H471" s="48" t="n">
        <v>5</v>
      </c>
      <c r="I471" s="46"/>
      <c r="J471" s="47" t="s">
        <v>1269</v>
      </c>
      <c r="K471" s="24" t="s">
        <v>3788</v>
      </c>
      <c r="L471" s="46" t="s">
        <v>3789</v>
      </c>
      <c r="M471" s="24" t="s">
        <v>3696</v>
      </c>
      <c r="N471" s="46" t="s">
        <v>3697</v>
      </c>
      <c r="O471" s="24" t="s">
        <v>3698</v>
      </c>
      <c r="P471" s="46" t="s">
        <v>3699</v>
      </c>
      <c r="Q471" s="46"/>
      <c r="R471" s="47" t="s">
        <v>48</v>
      </c>
      <c r="S471" s="52" t="s">
        <v>67</v>
      </c>
    </row>
    <row r="472" customFormat="false" ht="15" hidden="false" customHeight="true" outlineLevel="0" collapsed="false">
      <c r="A472" s="49" t="n">
        <v>481</v>
      </c>
      <c r="B472" s="25" t="s">
        <v>3776</v>
      </c>
      <c r="C472" s="50"/>
      <c r="D472" s="50" t="s">
        <v>2152</v>
      </c>
      <c r="E472" s="49" t="s">
        <v>16</v>
      </c>
      <c r="F472" s="49" t="s">
        <v>2104</v>
      </c>
      <c r="G472" s="25" t="s">
        <v>3790</v>
      </c>
      <c r="H472" s="51" t="n">
        <v>5</v>
      </c>
      <c r="I472" s="49"/>
      <c r="J472" s="50" t="s">
        <v>1272</v>
      </c>
      <c r="K472" s="25" t="s">
        <v>3791</v>
      </c>
      <c r="L472" s="49" t="s">
        <v>3792</v>
      </c>
      <c r="M472" s="25" t="s">
        <v>3785</v>
      </c>
      <c r="N472" s="49" t="s">
        <v>3786</v>
      </c>
      <c r="O472" s="25" t="s">
        <v>3698</v>
      </c>
      <c r="P472" s="49" t="s">
        <v>3699</v>
      </c>
      <c r="Q472" s="49"/>
      <c r="R472" s="50" t="s">
        <v>48</v>
      </c>
      <c r="S472" s="52" t="s">
        <v>67</v>
      </c>
    </row>
    <row r="473" customFormat="false" ht="15" hidden="false" customHeight="true" outlineLevel="0" collapsed="false">
      <c r="A473" s="46" t="n">
        <v>482</v>
      </c>
      <c r="B473" s="24" t="s">
        <v>3693</v>
      </c>
      <c r="C473" s="47"/>
      <c r="D473" s="47" t="s">
        <v>2152</v>
      </c>
      <c r="E473" s="46" t="s">
        <v>16</v>
      </c>
      <c r="F473" s="46" t="s">
        <v>2104</v>
      </c>
      <c r="G473" s="24" t="s">
        <v>3793</v>
      </c>
      <c r="H473" s="48" t="n">
        <v>5</v>
      </c>
      <c r="I473" s="46"/>
      <c r="J473" s="47" t="s">
        <v>3794</v>
      </c>
      <c r="K473" s="24" t="s">
        <v>3795</v>
      </c>
      <c r="L473" s="46" t="s">
        <v>3796</v>
      </c>
      <c r="M473" s="24" t="s">
        <v>3696</v>
      </c>
      <c r="N473" s="46" t="s">
        <v>3697</v>
      </c>
      <c r="O473" s="24" t="s">
        <v>3698</v>
      </c>
      <c r="P473" s="46" t="s">
        <v>3699</v>
      </c>
      <c r="Q473" s="46"/>
      <c r="R473" s="47" t="s">
        <v>48</v>
      </c>
      <c r="S473" s="52" t="s">
        <v>67</v>
      </c>
    </row>
    <row r="474" customFormat="false" ht="15" hidden="false" customHeight="true" outlineLevel="0" collapsed="false">
      <c r="A474" s="49" t="n">
        <v>483</v>
      </c>
      <c r="B474" s="25" t="s">
        <v>3693</v>
      </c>
      <c r="C474" s="50"/>
      <c r="D474" s="50" t="s">
        <v>2152</v>
      </c>
      <c r="E474" s="49" t="s">
        <v>16</v>
      </c>
      <c r="F474" s="49" t="s">
        <v>2104</v>
      </c>
      <c r="G474" s="25" t="s">
        <v>3797</v>
      </c>
      <c r="H474" s="51" t="n">
        <v>5</v>
      </c>
      <c r="I474" s="49"/>
      <c r="J474" s="50" t="s">
        <v>1277</v>
      </c>
      <c r="K474" s="25" t="s">
        <v>3798</v>
      </c>
      <c r="L474" s="49" t="s">
        <v>3799</v>
      </c>
      <c r="M474" s="25" t="s">
        <v>3696</v>
      </c>
      <c r="N474" s="49" t="s">
        <v>3697</v>
      </c>
      <c r="O474" s="25" t="s">
        <v>3698</v>
      </c>
      <c r="P474" s="49" t="s">
        <v>3699</v>
      </c>
      <c r="Q474" s="49"/>
      <c r="R474" s="50" t="s">
        <v>48</v>
      </c>
      <c r="S474" s="52" t="s">
        <v>67</v>
      </c>
    </row>
    <row r="475" customFormat="false" ht="15" hidden="false" customHeight="true" outlineLevel="0" collapsed="false">
      <c r="A475" s="46" t="n">
        <v>484</v>
      </c>
      <c r="B475" s="24" t="s">
        <v>3781</v>
      </c>
      <c r="C475" s="47"/>
      <c r="D475" s="47" t="s">
        <v>2152</v>
      </c>
      <c r="E475" s="46" t="s">
        <v>16</v>
      </c>
      <c r="F475" s="46" t="s">
        <v>2104</v>
      </c>
      <c r="G475" s="24" t="s">
        <v>3800</v>
      </c>
      <c r="H475" s="48" t="n">
        <v>5</v>
      </c>
      <c r="I475" s="46"/>
      <c r="J475" s="47" t="s">
        <v>1279</v>
      </c>
      <c r="K475" s="24" t="s">
        <v>3801</v>
      </c>
      <c r="L475" s="46" t="s">
        <v>3802</v>
      </c>
      <c r="M475" s="24" t="s">
        <v>3785</v>
      </c>
      <c r="N475" s="46" t="s">
        <v>3786</v>
      </c>
      <c r="O475" s="24" t="s">
        <v>3698</v>
      </c>
      <c r="P475" s="46" t="s">
        <v>3699</v>
      </c>
      <c r="Q475" s="46"/>
      <c r="R475" s="47" t="s">
        <v>48</v>
      </c>
      <c r="S475" s="52" t="s">
        <v>67</v>
      </c>
    </row>
    <row r="476" customFormat="false" ht="15" hidden="false" customHeight="true" outlineLevel="0" collapsed="false">
      <c r="A476" s="49" t="n">
        <v>485</v>
      </c>
      <c r="B476" s="25" t="s">
        <v>3781</v>
      </c>
      <c r="C476" s="50"/>
      <c r="D476" s="50" t="s">
        <v>2152</v>
      </c>
      <c r="E476" s="49" t="s">
        <v>16</v>
      </c>
      <c r="F476" s="49" t="s">
        <v>2104</v>
      </c>
      <c r="G476" s="25" t="s">
        <v>3803</v>
      </c>
      <c r="H476" s="51" t="n">
        <v>5</v>
      </c>
      <c r="I476" s="49"/>
      <c r="J476" s="50" t="s">
        <v>1281</v>
      </c>
      <c r="K476" s="25" t="s">
        <v>3804</v>
      </c>
      <c r="L476" s="49" t="s">
        <v>3805</v>
      </c>
      <c r="M476" s="25" t="s">
        <v>3785</v>
      </c>
      <c r="N476" s="49" t="s">
        <v>3786</v>
      </c>
      <c r="O476" s="25" t="s">
        <v>3698</v>
      </c>
      <c r="P476" s="49" t="s">
        <v>3699</v>
      </c>
      <c r="Q476" s="49"/>
      <c r="R476" s="50" t="s">
        <v>48</v>
      </c>
      <c r="S476" s="52" t="s">
        <v>67</v>
      </c>
    </row>
    <row r="477" customFormat="false" ht="15" hidden="false" customHeight="true" outlineLevel="0" collapsed="false">
      <c r="A477" s="46" t="n">
        <v>486</v>
      </c>
      <c r="B477" s="24" t="s">
        <v>3781</v>
      </c>
      <c r="C477" s="47"/>
      <c r="D477" s="47" t="s">
        <v>2152</v>
      </c>
      <c r="E477" s="46" t="s">
        <v>16</v>
      </c>
      <c r="F477" s="46" t="s">
        <v>2104</v>
      </c>
      <c r="G477" s="24" t="s">
        <v>3806</v>
      </c>
      <c r="H477" s="48" t="n">
        <v>5</v>
      </c>
      <c r="I477" s="46"/>
      <c r="J477" s="47" t="s">
        <v>1283</v>
      </c>
      <c r="K477" s="24" t="s">
        <v>3807</v>
      </c>
      <c r="L477" s="46" t="s">
        <v>3808</v>
      </c>
      <c r="M477" s="24" t="s">
        <v>3785</v>
      </c>
      <c r="N477" s="46" t="s">
        <v>3786</v>
      </c>
      <c r="O477" s="24" t="s">
        <v>3698</v>
      </c>
      <c r="P477" s="46" t="s">
        <v>3699</v>
      </c>
      <c r="Q477" s="46"/>
      <c r="R477" s="47" t="s">
        <v>48</v>
      </c>
      <c r="S477" s="52" t="s">
        <v>67</v>
      </c>
    </row>
    <row r="478" customFormat="false" ht="15" hidden="false" customHeight="true" outlineLevel="0" collapsed="false">
      <c r="A478" s="49" t="n">
        <v>487</v>
      </c>
      <c r="B478" s="25" t="s">
        <v>3781</v>
      </c>
      <c r="C478" s="50"/>
      <c r="D478" s="50" t="s">
        <v>2152</v>
      </c>
      <c r="E478" s="49" t="s">
        <v>16</v>
      </c>
      <c r="F478" s="49" t="s">
        <v>2104</v>
      </c>
      <c r="G478" s="25" t="s">
        <v>3809</v>
      </c>
      <c r="H478" s="51" t="n">
        <v>5</v>
      </c>
      <c r="I478" s="49"/>
      <c r="J478" s="50" t="s">
        <v>1285</v>
      </c>
      <c r="K478" s="25" t="s">
        <v>3810</v>
      </c>
      <c r="L478" s="49" t="s">
        <v>3808</v>
      </c>
      <c r="M478" s="25" t="s">
        <v>3785</v>
      </c>
      <c r="N478" s="49" t="s">
        <v>3786</v>
      </c>
      <c r="O478" s="25" t="s">
        <v>3698</v>
      </c>
      <c r="P478" s="49" t="s">
        <v>3699</v>
      </c>
      <c r="Q478" s="49"/>
      <c r="R478" s="50" t="s">
        <v>48</v>
      </c>
      <c r="S478" s="52" t="s">
        <v>67</v>
      </c>
    </row>
    <row r="479" customFormat="false" ht="15" hidden="false" customHeight="true" outlineLevel="0" collapsed="false">
      <c r="A479" s="46" t="n">
        <v>488</v>
      </c>
      <c r="B479" s="24" t="s">
        <v>3781</v>
      </c>
      <c r="C479" s="47"/>
      <c r="D479" s="47" t="s">
        <v>2152</v>
      </c>
      <c r="E479" s="46" t="s">
        <v>16</v>
      </c>
      <c r="F479" s="46" t="s">
        <v>2104</v>
      </c>
      <c r="G479" s="24" t="s">
        <v>3811</v>
      </c>
      <c r="H479" s="48" t="n">
        <v>5</v>
      </c>
      <c r="I479" s="46"/>
      <c r="J479" s="47" t="s">
        <v>1287</v>
      </c>
      <c r="K479" s="24" t="s">
        <v>3812</v>
      </c>
      <c r="L479" s="46" t="s">
        <v>3813</v>
      </c>
      <c r="M479" s="24" t="s">
        <v>3785</v>
      </c>
      <c r="N479" s="46" t="s">
        <v>3786</v>
      </c>
      <c r="O479" s="24" t="s">
        <v>3698</v>
      </c>
      <c r="P479" s="46" t="s">
        <v>3699</v>
      </c>
      <c r="Q479" s="46"/>
      <c r="R479" s="47" t="s">
        <v>48</v>
      </c>
      <c r="S479" s="52" t="s">
        <v>67</v>
      </c>
    </row>
    <row r="480" customFormat="false" ht="15" hidden="false" customHeight="true" outlineLevel="0" collapsed="false">
      <c r="A480" s="49" t="n">
        <v>489</v>
      </c>
      <c r="B480" s="25" t="s">
        <v>3781</v>
      </c>
      <c r="C480" s="50"/>
      <c r="D480" s="50" t="s">
        <v>2152</v>
      </c>
      <c r="E480" s="49" t="s">
        <v>16</v>
      </c>
      <c r="F480" s="49" t="s">
        <v>2104</v>
      </c>
      <c r="G480" s="25" t="s">
        <v>3814</v>
      </c>
      <c r="H480" s="51" t="n">
        <v>5</v>
      </c>
      <c r="I480" s="49"/>
      <c r="J480" s="50" t="s">
        <v>1289</v>
      </c>
      <c r="K480" s="25" t="s">
        <v>3815</v>
      </c>
      <c r="L480" s="49" t="s">
        <v>3816</v>
      </c>
      <c r="M480" s="25" t="s">
        <v>3785</v>
      </c>
      <c r="N480" s="49" t="s">
        <v>3786</v>
      </c>
      <c r="O480" s="25" t="s">
        <v>3698</v>
      </c>
      <c r="P480" s="49" t="s">
        <v>3699</v>
      </c>
      <c r="Q480" s="49"/>
      <c r="R480" s="50" t="s">
        <v>48</v>
      </c>
      <c r="S480" s="52" t="s">
        <v>67</v>
      </c>
    </row>
    <row r="481" customFormat="false" ht="15" hidden="false" customHeight="true" outlineLevel="0" collapsed="false">
      <c r="A481" s="46" t="n">
        <v>490</v>
      </c>
      <c r="B481" s="24" t="s">
        <v>3781</v>
      </c>
      <c r="C481" s="47"/>
      <c r="D481" s="47" t="s">
        <v>2152</v>
      </c>
      <c r="E481" s="46" t="s">
        <v>16</v>
      </c>
      <c r="F481" s="46" t="s">
        <v>2104</v>
      </c>
      <c r="G481" s="24" t="s">
        <v>3817</v>
      </c>
      <c r="H481" s="48" t="n">
        <v>5</v>
      </c>
      <c r="I481" s="46"/>
      <c r="J481" s="47" t="s">
        <v>3818</v>
      </c>
      <c r="K481" s="24" t="s">
        <v>3819</v>
      </c>
      <c r="L481" s="46" t="s">
        <v>3820</v>
      </c>
      <c r="M481" s="24" t="s">
        <v>3785</v>
      </c>
      <c r="N481" s="46" t="s">
        <v>3786</v>
      </c>
      <c r="O481" s="24" t="s">
        <v>3698</v>
      </c>
      <c r="P481" s="46" t="s">
        <v>3699</v>
      </c>
      <c r="Q481" s="46"/>
      <c r="R481" s="47" t="s">
        <v>48</v>
      </c>
      <c r="S481" s="52" t="s">
        <v>67</v>
      </c>
    </row>
    <row r="482" customFormat="false" ht="15" hidden="false" customHeight="true" outlineLevel="0" collapsed="false">
      <c r="A482" s="49" t="n">
        <v>491</v>
      </c>
      <c r="B482" s="25" t="s">
        <v>3781</v>
      </c>
      <c r="C482" s="50"/>
      <c r="D482" s="50" t="s">
        <v>2152</v>
      </c>
      <c r="E482" s="49" t="s">
        <v>16</v>
      </c>
      <c r="F482" s="49" t="s">
        <v>2104</v>
      </c>
      <c r="G482" s="25" t="s">
        <v>3821</v>
      </c>
      <c r="H482" s="51" t="n">
        <v>5</v>
      </c>
      <c r="I482" s="49"/>
      <c r="J482" s="50" t="s">
        <v>1293</v>
      </c>
      <c r="K482" s="25" t="s">
        <v>3822</v>
      </c>
      <c r="L482" s="49" t="s">
        <v>3823</v>
      </c>
      <c r="M482" s="25" t="s">
        <v>3785</v>
      </c>
      <c r="N482" s="49" t="s">
        <v>3786</v>
      </c>
      <c r="O482" s="25" t="s">
        <v>3698</v>
      </c>
      <c r="P482" s="49" t="s">
        <v>3699</v>
      </c>
      <c r="Q482" s="49"/>
      <c r="R482" s="50" t="s">
        <v>48</v>
      </c>
      <c r="S482" s="52" t="s">
        <v>67</v>
      </c>
    </row>
    <row r="483" customFormat="false" ht="15" hidden="false" customHeight="true" outlineLevel="0" collapsed="false">
      <c r="A483" s="46" t="n">
        <v>492</v>
      </c>
      <c r="B483" s="24" t="s">
        <v>3781</v>
      </c>
      <c r="C483" s="47"/>
      <c r="D483" s="47" t="s">
        <v>2152</v>
      </c>
      <c r="E483" s="46" t="s">
        <v>16</v>
      </c>
      <c r="F483" s="46" t="s">
        <v>2104</v>
      </c>
      <c r="G483" s="24" t="s">
        <v>3824</v>
      </c>
      <c r="H483" s="48" t="n">
        <v>5</v>
      </c>
      <c r="I483" s="46"/>
      <c r="J483" s="47" t="s">
        <v>1295</v>
      </c>
      <c r="K483" s="24" t="s">
        <v>3825</v>
      </c>
      <c r="L483" s="46" t="s">
        <v>3826</v>
      </c>
      <c r="M483" s="24" t="s">
        <v>3785</v>
      </c>
      <c r="N483" s="46" t="s">
        <v>3786</v>
      </c>
      <c r="O483" s="24" t="s">
        <v>3698</v>
      </c>
      <c r="P483" s="46" t="s">
        <v>3699</v>
      </c>
      <c r="Q483" s="46"/>
      <c r="R483" s="47" t="s">
        <v>48</v>
      </c>
      <c r="S483" s="52" t="s">
        <v>67</v>
      </c>
    </row>
    <row r="484" customFormat="false" ht="15" hidden="false" customHeight="true" outlineLevel="0" collapsed="false">
      <c r="A484" s="49" t="n">
        <v>493</v>
      </c>
      <c r="B484" s="25" t="s">
        <v>3781</v>
      </c>
      <c r="C484" s="50"/>
      <c r="D484" s="50" t="s">
        <v>2152</v>
      </c>
      <c r="E484" s="49" t="s">
        <v>16</v>
      </c>
      <c r="F484" s="49" t="s">
        <v>2104</v>
      </c>
      <c r="G484" s="25" t="s">
        <v>3827</v>
      </c>
      <c r="H484" s="51" t="n">
        <v>5</v>
      </c>
      <c r="I484" s="49"/>
      <c r="J484" s="50" t="s">
        <v>1297</v>
      </c>
      <c r="K484" s="25" t="s">
        <v>3828</v>
      </c>
      <c r="L484" s="49" t="s">
        <v>3829</v>
      </c>
      <c r="M484" s="25" t="s">
        <v>3785</v>
      </c>
      <c r="N484" s="49" t="s">
        <v>3786</v>
      </c>
      <c r="O484" s="25" t="s">
        <v>3698</v>
      </c>
      <c r="P484" s="49" t="s">
        <v>3699</v>
      </c>
      <c r="Q484" s="49"/>
      <c r="R484" s="50" t="s">
        <v>48</v>
      </c>
      <c r="S484" s="52" t="s">
        <v>67</v>
      </c>
    </row>
    <row r="485" customFormat="false" ht="15" hidden="false" customHeight="true" outlineLevel="0" collapsed="false">
      <c r="A485" s="46" t="n">
        <v>494</v>
      </c>
      <c r="B485" s="24" t="s">
        <v>2152</v>
      </c>
      <c r="C485" s="47"/>
      <c r="D485" s="47" t="s">
        <v>2152</v>
      </c>
      <c r="E485" s="46" t="s">
        <v>16</v>
      </c>
      <c r="F485" s="46" t="s">
        <v>2104</v>
      </c>
      <c r="G485" s="24" t="s">
        <v>3830</v>
      </c>
      <c r="H485" s="48" t="n">
        <v>5</v>
      </c>
      <c r="I485" s="46"/>
      <c r="J485" s="47" t="s">
        <v>1299</v>
      </c>
      <c r="K485" s="24" t="s">
        <v>3831</v>
      </c>
      <c r="L485" s="46" t="s">
        <v>3832</v>
      </c>
      <c r="M485" s="24" t="s">
        <v>3696</v>
      </c>
      <c r="N485" s="46" t="s">
        <v>3697</v>
      </c>
      <c r="O485" s="24" t="s">
        <v>3698</v>
      </c>
      <c r="P485" s="46" t="s">
        <v>3699</v>
      </c>
      <c r="Q485" s="46"/>
      <c r="R485" s="47" t="s">
        <v>48</v>
      </c>
      <c r="S485" s="52" t="s">
        <v>67</v>
      </c>
    </row>
    <row r="486" customFormat="false" ht="15" hidden="false" customHeight="true" outlineLevel="0" collapsed="false">
      <c r="A486" s="49" t="n">
        <v>495</v>
      </c>
      <c r="B486" s="25" t="s">
        <v>3833</v>
      </c>
      <c r="C486" s="50"/>
      <c r="D486" s="50" t="s">
        <v>3834</v>
      </c>
      <c r="E486" s="49" t="s">
        <v>16</v>
      </c>
      <c r="F486" s="49" t="s">
        <v>2104</v>
      </c>
      <c r="G486" s="25" t="s">
        <v>3835</v>
      </c>
      <c r="H486" s="51" t="n">
        <v>5</v>
      </c>
      <c r="I486" s="49"/>
      <c r="J486" s="50" t="s">
        <v>3836</v>
      </c>
      <c r="K486" s="25" t="s">
        <v>3837</v>
      </c>
      <c r="L486" s="49" t="s">
        <v>3838</v>
      </c>
      <c r="M486" s="25" t="s">
        <v>3839</v>
      </c>
      <c r="N486" s="49" t="s">
        <v>3840</v>
      </c>
      <c r="O486" s="25" t="s">
        <v>3698</v>
      </c>
      <c r="P486" s="49" t="s">
        <v>3699</v>
      </c>
      <c r="Q486" s="49"/>
      <c r="R486" s="50" t="s">
        <v>48</v>
      </c>
      <c r="S486" s="52" t="s">
        <v>67</v>
      </c>
    </row>
    <row r="487" customFormat="false" ht="15" hidden="false" customHeight="true" outlineLevel="0" collapsed="false">
      <c r="A487" s="46" t="n">
        <v>496</v>
      </c>
      <c r="B487" s="24" t="s">
        <v>3833</v>
      </c>
      <c r="C487" s="47"/>
      <c r="D487" s="47" t="s">
        <v>3834</v>
      </c>
      <c r="E487" s="46" t="s">
        <v>16</v>
      </c>
      <c r="F487" s="46" t="s">
        <v>2104</v>
      </c>
      <c r="G487" s="24" t="s">
        <v>3841</v>
      </c>
      <c r="H487" s="48" t="n">
        <v>5</v>
      </c>
      <c r="I487" s="46"/>
      <c r="J487" s="47" t="s">
        <v>1305</v>
      </c>
      <c r="K487" s="24" t="s">
        <v>3842</v>
      </c>
      <c r="L487" s="46" t="s">
        <v>3843</v>
      </c>
      <c r="M487" s="24" t="s">
        <v>3839</v>
      </c>
      <c r="N487" s="46" t="s">
        <v>3840</v>
      </c>
      <c r="O487" s="24" t="s">
        <v>3698</v>
      </c>
      <c r="P487" s="46" t="s">
        <v>3699</v>
      </c>
      <c r="Q487" s="46"/>
      <c r="R487" s="47" t="s">
        <v>48</v>
      </c>
      <c r="S487" s="52" t="s">
        <v>2829</v>
      </c>
    </row>
    <row r="488" customFormat="false" ht="15" hidden="false" customHeight="true" outlineLevel="0" collapsed="false">
      <c r="A488" s="49" t="n">
        <v>497</v>
      </c>
      <c r="B488" s="25" t="s">
        <v>3833</v>
      </c>
      <c r="C488" s="50"/>
      <c r="D488" s="50" t="s">
        <v>3834</v>
      </c>
      <c r="E488" s="49" t="s">
        <v>16</v>
      </c>
      <c r="F488" s="49" t="s">
        <v>2104</v>
      </c>
      <c r="G488" s="25" t="s">
        <v>3844</v>
      </c>
      <c r="H488" s="51" t="n">
        <v>5</v>
      </c>
      <c r="I488" s="49"/>
      <c r="J488" s="50" t="s">
        <v>1307</v>
      </c>
      <c r="K488" s="25" t="s">
        <v>3845</v>
      </c>
      <c r="L488" s="49" t="s">
        <v>3846</v>
      </c>
      <c r="M488" s="25" t="s">
        <v>3839</v>
      </c>
      <c r="N488" s="49" t="s">
        <v>3840</v>
      </c>
      <c r="O488" s="25" t="s">
        <v>3698</v>
      </c>
      <c r="P488" s="49" t="s">
        <v>3699</v>
      </c>
      <c r="Q488" s="49"/>
      <c r="R488" s="50" t="s">
        <v>48</v>
      </c>
      <c r="S488" s="52" t="s">
        <v>2829</v>
      </c>
    </row>
    <row r="489" customFormat="false" ht="15" hidden="false" customHeight="true" outlineLevel="0" collapsed="false">
      <c r="A489" s="46" t="n">
        <v>498</v>
      </c>
      <c r="B489" s="24" t="s">
        <v>3833</v>
      </c>
      <c r="C489" s="47"/>
      <c r="D489" s="47" t="s">
        <v>3834</v>
      </c>
      <c r="E489" s="46" t="s">
        <v>16</v>
      </c>
      <c r="F489" s="46" t="s">
        <v>2104</v>
      </c>
      <c r="G489" s="24" t="s">
        <v>3847</v>
      </c>
      <c r="H489" s="48" t="n">
        <v>5</v>
      </c>
      <c r="I489" s="46"/>
      <c r="J489" s="47" t="s">
        <v>1309</v>
      </c>
      <c r="K489" s="24" t="s">
        <v>1512</v>
      </c>
      <c r="L489" s="46" t="s">
        <v>3848</v>
      </c>
      <c r="M489" s="24" t="s">
        <v>3839</v>
      </c>
      <c r="N489" s="46" t="s">
        <v>3840</v>
      </c>
      <c r="O489" s="24" t="s">
        <v>3698</v>
      </c>
      <c r="P489" s="46" t="s">
        <v>3699</v>
      </c>
      <c r="Q489" s="46"/>
      <c r="R489" s="47" t="s">
        <v>48</v>
      </c>
      <c r="S489" s="52" t="s">
        <v>67</v>
      </c>
    </row>
    <row r="490" customFormat="false" ht="15" hidden="false" customHeight="true" outlineLevel="0" collapsed="false">
      <c r="A490" s="49" t="n">
        <v>499</v>
      </c>
      <c r="B490" s="25" t="s">
        <v>3833</v>
      </c>
      <c r="C490" s="50"/>
      <c r="D490" s="50" t="s">
        <v>3834</v>
      </c>
      <c r="E490" s="49" t="s">
        <v>16</v>
      </c>
      <c r="F490" s="49" t="s">
        <v>2104</v>
      </c>
      <c r="G490" s="25" t="s">
        <v>3849</v>
      </c>
      <c r="H490" s="51" t="n">
        <v>5</v>
      </c>
      <c r="I490" s="49"/>
      <c r="J490" s="50" t="s">
        <v>3850</v>
      </c>
      <c r="K490" s="25" t="s">
        <v>3851</v>
      </c>
      <c r="L490" s="49" t="s">
        <v>3852</v>
      </c>
      <c r="M490" s="25" t="s">
        <v>3839</v>
      </c>
      <c r="N490" s="49" t="s">
        <v>3840</v>
      </c>
      <c r="O490" s="25" t="s">
        <v>3698</v>
      </c>
      <c r="P490" s="49" t="s">
        <v>3699</v>
      </c>
      <c r="Q490" s="49"/>
      <c r="R490" s="50" t="s">
        <v>48</v>
      </c>
      <c r="S490" s="52" t="s">
        <v>67</v>
      </c>
    </row>
    <row r="491" customFormat="false" ht="15" hidden="false" customHeight="true" outlineLevel="0" collapsed="false">
      <c r="A491" s="46" t="n">
        <v>500</v>
      </c>
      <c r="B491" s="24" t="s">
        <v>3833</v>
      </c>
      <c r="C491" s="47"/>
      <c r="D491" s="47" t="s">
        <v>3834</v>
      </c>
      <c r="E491" s="46" t="s">
        <v>16</v>
      </c>
      <c r="F491" s="46" t="s">
        <v>2104</v>
      </c>
      <c r="G491" s="24" t="s">
        <v>3853</v>
      </c>
      <c r="H491" s="48" t="n">
        <v>5</v>
      </c>
      <c r="I491" s="46"/>
      <c r="J491" s="47" t="s">
        <v>1313</v>
      </c>
      <c r="K491" s="24" t="s">
        <v>3851</v>
      </c>
      <c r="L491" s="46" t="s">
        <v>3854</v>
      </c>
      <c r="M491" s="24" t="s">
        <v>3839</v>
      </c>
      <c r="N491" s="46" t="s">
        <v>3840</v>
      </c>
      <c r="O491" s="24" t="s">
        <v>3698</v>
      </c>
      <c r="P491" s="46" t="s">
        <v>3699</v>
      </c>
      <c r="Q491" s="46"/>
      <c r="R491" s="47" t="s">
        <v>48</v>
      </c>
      <c r="S491" s="52" t="s">
        <v>67</v>
      </c>
    </row>
    <row r="492" customFormat="false" ht="15" hidden="false" customHeight="true" outlineLevel="0" collapsed="false">
      <c r="A492" s="49" t="n">
        <v>501</v>
      </c>
      <c r="B492" s="25" t="s">
        <v>3855</v>
      </c>
      <c r="C492" s="50"/>
      <c r="D492" s="50" t="s">
        <v>3834</v>
      </c>
      <c r="E492" s="49" t="s">
        <v>16</v>
      </c>
      <c r="F492" s="49" t="s">
        <v>2104</v>
      </c>
      <c r="G492" s="25" t="s">
        <v>3856</v>
      </c>
      <c r="H492" s="51" t="n">
        <v>5</v>
      </c>
      <c r="I492" s="49"/>
      <c r="J492" s="50" t="s">
        <v>1316</v>
      </c>
      <c r="K492" s="25" t="s">
        <v>3857</v>
      </c>
      <c r="L492" s="49" t="s">
        <v>3858</v>
      </c>
      <c r="M492" s="25" t="s">
        <v>3839</v>
      </c>
      <c r="N492" s="49" t="s">
        <v>3840</v>
      </c>
      <c r="O492" s="25" t="s">
        <v>3698</v>
      </c>
      <c r="P492" s="49" t="s">
        <v>3699</v>
      </c>
      <c r="Q492" s="49"/>
      <c r="R492" s="50" t="s">
        <v>48</v>
      </c>
      <c r="S492" s="52" t="s">
        <v>2829</v>
      </c>
    </row>
    <row r="493" customFormat="false" ht="15" hidden="false" customHeight="true" outlineLevel="0" collapsed="false">
      <c r="A493" s="46" t="n">
        <v>502</v>
      </c>
      <c r="B493" s="24" t="s">
        <v>3855</v>
      </c>
      <c r="C493" s="47"/>
      <c r="D493" s="47" t="s">
        <v>3834</v>
      </c>
      <c r="E493" s="46" t="s">
        <v>16</v>
      </c>
      <c r="F493" s="46" t="s">
        <v>2104</v>
      </c>
      <c r="G493" s="24" t="s">
        <v>3859</v>
      </c>
      <c r="H493" s="48" t="n">
        <v>5</v>
      </c>
      <c r="I493" s="46"/>
      <c r="J493" s="47" t="s">
        <v>1318</v>
      </c>
      <c r="K493" s="24" t="s">
        <v>3478</v>
      </c>
      <c r="L493" s="46" t="s">
        <v>3860</v>
      </c>
      <c r="M493" s="24" t="s">
        <v>3839</v>
      </c>
      <c r="N493" s="46" t="s">
        <v>3840</v>
      </c>
      <c r="O493" s="24" t="s">
        <v>3698</v>
      </c>
      <c r="P493" s="46" t="s">
        <v>3699</v>
      </c>
      <c r="Q493" s="46"/>
      <c r="R493" s="47" t="s">
        <v>48</v>
      </c>
      <c r="S493" s="52" t="s">
        <v>67</v>
      </c>
    </row>
    <row r="494" customFormat="false" ht="15" hidden="false" customHeight="true" outlineLevel="0" collapsed="false">
      <c r="A494" s="49" t="n">
        <v>503</v>
      </c>
      <c r="B494" s="25" t="s">
        <v>3855</v>
      </c>
      <c r="C494" s="50"/>
      <c r="D494" s="50" t="s">
        <v>3834</v>
      </c>
      <c r="E494" s="49" t="s">
        <v>16</v>
      </c>
      <c r="F494" s="49" t="s">
        <v>2104</v>
      </c>
      <c r="G494" s="25" t="s">
        <v>3861</v>
      </c>
      <c r="H494" s="51" t="n">
        <v>5</v>
      </c>
      <c r="I494" s="49"/>
      <c r="J494" s="50" t="s">
        <v>1320</v>
      </c>
      <c r="K494" s="25" t="s">
        <v>3862</v>
      </c>
      <c r="L494" s="49" t="s">
        <v>3863</v>
      </c>
      <c r="M494" s="25" t="s">
        <v>3839</v>
      </c>
      <c r="N494" s="49" t="s">
        <v>3840</v>
      </c>
      <c r="O494" s="25" t="s">
        <v>3698</v>
      </c>
      <c r="P494" s="49" t="s">
        <v>3699</v>
      </c>
      <c r="Q494" s="49"/>
      <c r="R494" s="50" t="s">
        <v>48</v>
      </c>
      <c r="S494" s="52" t="s">
        <v>2829</v>
      </c>
    </row>
    <row r="495" customFormat="false" ht="15" hidden="false" customHeight="true" outlineLevel="0" collapsed="false">
      <c r="A495" s="46" t="n">
        <v>504</v>
      </c>
      <c r="B495" s="24" t="s">
        <v>3855</v>
      </c>
      <c r="C495" s="47"/>
      <c r="D495" s="47" t="s">
        <v>3834</v>
      </c>
      <c r="E495" s="46" t="s">
        <v>16</v>
      </c>
      <c r="F495" s="46" t="s">
        <v>2104</v>
      </c>
      <c r="G495" s="24" t="s">
        <v>3864</v>
      </c>
      <c r="H495" s="48" t="n">
        <v>5</v>
      </c>
      <c r="I495" s="46"/>
      <c r="J495" s="47" t="s">
        <v>3865</v>
      </c>
      <c r="K495" s="24" t="s">
        <v>3866</v>
      </c>
      <c r="L495" s="46" t="s">
        <v>3867</v>
      </c>
      <c r="M495" s="24" t="s">
        <v>3839</v>
      </c>
      <c r="N495" s="46" t="s">
        <v>3840</v>
      </c>
      <c r="O495" s="24" t="s">
        <v>3698</v>
      </c>
      <c r="P495" s="46" t="s">
        <v>3699</v>
      </c>
      <c r="Q495" s="46"/>
      <c r="R495" s="47" t="s">
        <v>48</v>
      </c>
      <c r="S495" s="52" t="s">
        <v>67</v>
      </c>
    </row>
    <row r="496" customFormat="false" ht="15" hidden="false" customHeight="true" outlineLevel="0" collapsed="false">
      <c r="A496" s="49" t="n">
        <v>505</v>
      </c>
      <c r="B496" s="25" t="s">
        <v>3855</v>
      </c>
      <c r="C496" s="50"/>
      <c r="D496" s="50" t="s">
        <v>3834</v>
      </c>
      <c r="E496" s="49" t="s">
        <v>16</v>
      </c>
      <c r="F496" s="49" t="s">
        <v>2104</v>
      </c>
      <c r="G496" s="25" t="s">
        <v>3868</v>
      </c>
      <c r="H496" s="51" t="n">
        <v>5</v>
      </c>
      <c r="I496" s="49"/>
      <c r="J496" s="50" t="s">
        <v>1324</v>
      </c>
      <c r="K496" s="25" t="s">
        <v>3837</v>
      </c>
      <c r="L496" s="49" t="s">
        <v>3867</v>
      </c>
      <c r="M496" s="25" t="s">
        <v>3839</v>
      </c>
      <c r="N496" s="49" t="s">
        <v>3840</v>
      </c>
      <c r="O496" s="25" t="s">
        <v>3698</v>
      </c>
      <c r="P496" s="49" t="s">
        <v>3699</v>
      </c>
      <c r="Q496" s="49"/>
      <c r="R496" s="50" t="s">
        <v>48</v>
      </c>
      <c r="S496" s="52" t="s">
        <v>67</v>
      </c>
    </row>
    <row r="497" customFormat="false" ht="15" hidden="false" customHeight="true" outlineLevel="0" collapsed="false">
      <c r="A497" s="46" t="n">
        <v>506</v>
      </c>
      <c r="B497" s="24" t="s">
        <v>3869</v>
      </c>
      <c r="C497" s="47"/>
      <c r="D497" s="47" t="s">
        <v>3834</v>
      </c>
      <c r="E497" s="46" t="s">
        <v>16</v>
      </c>
      <c r="F497" s="46" t="s">
        <v>2104</v>
      </c>
      <c r="G497" s="24" t="s">
        <v>3870</v>
      </c>
      <c r="H497" s="48" t="n">
        <v>5</v>
      </c>
      <c r="I497" s="46"/>
      <c r="J497" s="47" t="s">
        <v>1327</v>
      </c>
      <c r="K497" s="24" t="s">
        <v>3871</v>
      </c>
      <c r="L497" s="46" t="s">
        <v>3872</v>
      </c>
      <c r="M497" s="24" t="s">
        <v>3839</v>
      </c>
      <c r="N497" s="46" t="s">
        <v>3840</v>
      </c>
      <c r="O497" s="24" t="s">
        <v>3698</v>
      </c>
      <c r="P497" s="46" t="s">
        <v>3699</v>
      </c>
      <c r="Q497" s="46"/>
      <c r="R497" s="47" t="s">
        <v>48</v>
      </c>
      <c r="S497" s="52" t="s">
        <v>67</v>
      </c>
    </row>
    <row r="498" customFormat="false" ht="15" hidden="false" customHeight="true" outlineLevel="0" collapsed="false">
      <c r="A498" s="49" t="n">
        <v>507</v>
      </c>
      <c r="B498" s="25" t="s">
        <v>3869</v>
      </c>
      <c r="C498" s="50"/>
      <c r="D498" s="50" t="s">
        <v>3834</v>
      </c>
      <c r="E498" s="49" t="s">
        <v>16</v>
      </c>
      <c r="F498" s="49" t="s">
        <v>2104</v>
      </c>
      <c r="G498" s="25" t="s">
        <v>3873</v>
      </c>
      <c r="H498" s="51" t="n">
        <v>5</v>
      </c>
      <c r="I498" s="49"/>
      <c r="J498" s="50" t="s">
        <v>1329</v>
      </c>
      <c r="K498" s="25" t="s">
        <v>3857</v>
      </c>
      <c r="L498" s="49" t="s">
        <v>3874</v>
      </c>
      <c r="M498" s="25" t="s">
        <v>3839</v>
      </c>
      <c r="N498" s="49" t="s">
        <v>3840</v>
      </c>
      <c r="O498" s="25" t="s">
        <v>3698</v>
      </c>
      <c r="P498" s="49" t="s">
        <v>3699</v>
      </c>
      <c r="Q498" s="49"/>
      <c r="R498" s="50" t="s">
        <v>48</v>
      </c>
      <c r="S498" s="52" t="s">
        <v>67</v>
      </c>
    </row>
    <row r="499" customFormat="false" ht="15" hidden="false" customHeight="true" outlineLevel="0" collapsed="false">
      <c r="A499" s="46" t="n">
        <v>508</v>
      </c>
      <c r="B499" s="24" t="s">
        <v>3869</v>
      </c>
      <c r="C499" s="47"/>
      <c r="D499" s="47" t="s">
        <v>3834</v>
      </c>
      <c r="E499" s="46" t="s">
        <v>16</v>
      </c>
      <c r="F499" s="46" t="s">
        <v>2104</v>
      </c>
      <c r="G499" s="24" t="s">
        <v>3875</v>
      </c>
      <c r="H499" s="48" t="n">
        <v>5</v>
      </c>
      <c r="I499" s="46"/>
      <c r="J499" s="47" t="s">
        <v>1331</v>
      </c>
      <c r="K499" s="24" t="s">
        <v>3876</v>
      </c>
      <c r="L499" s="46" t="s">
        <v>3877</v>
      </c>
      <c r="M499" s="24" t="s">
        <v>3839</v>
      </c>
      <c r="N499" s="46" t="s">
        <v>3840</v>
      </c>
      <c r="O499" s="24" t="s">
        <v>3698</v>
      </c>
      <c r="P499" s="46" t="s">
        <v>3699</v>
      </c>
      <c r="Q499" s="46"/>
      <c r="R499" s="47" t="s">
        <v>48</v>
      </c>
      <c r="S499" s="52" t="s">
        <v>67</v>
      </c>
    </row>
    <row r="500" customFormat="false" ht="15" hidden="false" customHeight="true" outlineLevel="0" collapsed="false">
      <c r="A500" s="49" t="n">
        <v>509</v>
      </c>
      <c r="B500" s="25" t="s">
        <v>3869</v>
      </c>
      <c r="C500" s="50"/>
      <c r="D500" s="50" t="s">
        <v>3834</v>
      </c>
      <c r="E500" s="49" t="s">
        <v>16</v>
      </c>
      <c r="F500" s="49" t="s">
        <v>2104</v>
      </c>
      <c r="G500" s="25" t="s">
        <v>3878</v>
      </c>
      <c r="H500" s="51" t="n">
        <v>5</v>
      </c>
      <c r="I500" s="49"/>
      <c r="J500" s="50" t="s">
        <v>1333</v>
      </c>
      <c r="K500" s="25" t="s">
        <v>3879</v>
      </c>
      <c r="L500" s="49" t="s">
        <v>3880</v>
      </c>
      <c r="M500" s="25" t="s">
        <v>3839</v>
      </c>
      <c r="N500" s="49" t="s">
        <v>3840</v>
      </c>
      <c r="O500" s="25" t="s">
        <v>3698</v>
      </c>
      <c r="P500" s="49" t="s">
        <v>3699</v>
      </c>
      <c r="Q500" s="49"/>
      <c r="R500" s="50" t="s">
        <v>48</v>
      </c>
      <c r="S500" s="52" t="s">
        <v>67</v>
      </c>
    </row>
    <row r="501" customFormat="false" ht="15" hidden="false" customHeight="true" outlineLevel="0" collapsed="false">
      <c r="A501" s="46" t="n">
        <v>510</v>
      </c>
      <c r="B501" s="24" t="s">
        <v>3869</v>
      </c>
      <c r="C501" s="47"/>
      <c r="D501" s="47" t="s">
        <v>3834</v>
      </c>
      <c r="E501" s="46" t="s">
        <v>16</v>
      </c>
      <c r="F501" s="46" t="s">
        <v>2104</v>
      </c>
      <c r="G501" s="24" t="s">
        <v>3881</v>
      </c>
      <c r="H501" s="48" t="n">
        <v>5</v>
      </c>
      <c r="I501" s="46"/>
      <c r="J501" s="47" t="s">
        <v>1335</v>
      </c>
      <c r="K501" s="24" t="s">
        <v>3882</v>
      </c>
      <c r="L501" s="46" t="s">
        <v>3883</v>
      </c>
      <c r="M501" s="24" t="s">
        <v>3839</v>
      </c>
      <c r="N501" s="46" t="s">
        <v>3840</v>
      </c>
      <c r="O501" s="24" t="s">
        <v>3698</v>
      </c>
      <c r="P501" s="46" t="s">
        <v>3699</v>
      </c>
      <c r="Q501" s="46"/>
      <c r="R501" s="47" t="s">
        <v>48</v>
      </c>
      <c r="S501" s="52" t="s">
        <v>67</v>
      </c>
    </row>
    <row r="502" customFormat="false" ht="15" hidden="false" customHeight="true" outlineLevel="0" collapsed="false">
      <c r="A502" s="49" t="n">
        <v>511</v>
      </c>
      <c r="B502" s="25" t="s">
        <v>3869</v>
      </c>
      <c r="C502" s="50"/>
      <c r="D502" s="50" t="s">
        <v>3834</v>
      </c>
      <c r="E502" s="49" t="s">
        <v>16</v>
      </c>
      <c r="F502" s="49" t="s">
        <v>2104</v>
      </c>
      <c r="G502" s="25" t="s">
        <v>3884</v>
      </c>
      <c r="H502" s="51" t="n">
        <v>5</v>
      </c>
      <c r="I502" s="49"/>
      <c r="J502" s="50" t="s">
        <v>1337</v>
      </c>
      <c r="K502" s="25" t="s">
        <v>3885</v>
      </c>
      <c r="L502" s="49" t="s">
        <v>3886</v>
      </c>
      <c r="M502" s="25" t="s">
        <v>3839</v>
      </c>
      <c r="N502" s="49" t="s">
        <v>3840</v>
      </c>
      <c r="O502" s="25" t="s">
        <v>3698</v>
      </c>
      <c r="P502" s="49" t="s">
        <v>3699</v>
      </c>
      <c r="Q502" s="49"/>
      <c r="R502" s="50" t="s">
        <v>48</v>
      </c>
      <c r="S502" s="52" t="s">
        <v>67</v>
      </c>
    </row>
    <row r="503" customFormat="false" ht="15" hidden="false" customHeight="true" outlineLevel="0" collapsed="false">
      <c r="A503" s="46" t="n">
        <v>513</v>
      </c>
      <c r="B503" s="24" t="s">
        <v>3833</v>
      </c>
      <c r="C503" s="47"/>
      <c r="D503" s="47" t="s">
        <v>3834</v>
      </c>
      <c r="E503" s="46" t="s">
        <v>16</v>
      </c>
      <c r="F503" s="46" t="s">
        <v>2104</v>
      </c>
      <c r="G503" s="24" t="s">
        <v>3887</v>
      </c>
      <c r="H503" s="48" t="n">
        <v>5</v>
      </c>
      <c r="I503" s="46"/>
      <c r="J503" s="47" t="s">
        <v>1342</v>
      </c>
      <c r="K503" s="24" t="s">
        <v>3888</v>
      </c>
      <c r="L503" s="46" t="s">
        <v>3889</v>
      </c>
      <c r="M503" s="24" t="s">
        <v>3839</v>
      </c>
      <c r="N503" s="46" t="s">
        <v>3840</v>
      </c>
      <c r="O503" s="24" t="s">
        <v>3698</v>
      </c>
      <c r="P503" s="46" t="s">
        <v>3699</v>
      </c>
      <c r="Q503" s="46"/>
      <c r="R503" s="47" t="s">
        <v>48</v>
      </c>
      <c r="S503" s="52" t="s">
        <v>67</v>
      </c>
    </row>
    <row r="504" customFormat="false" ht="15" hidden="false" customHeight="true" outlineLevel="0" collapsed="false">
      <c r="A504" s="49" t="n">
        <v>514</v>
      </c>
      <c r="B504" s="25" t="s">
        <v>3833</v>
      </c>
      <c r="C504" s="50"/>
      <c r="D504" s="50" t="s">
        <v>3834</v>
      </c>
      <c r="E504" s="49" t="s">
        <v>16</v>
      </c>
      <c r="F504" s="49" t="s">
        <v>2104</v>
      </c>
      <c r="G504" s="25" t="s">
        <v>3890</v>
      </c>
      <c r="H504" s="51" t="n">
        <v>5</v>
      </c>
      <c r="I504" s="49"/>
      <c r="J504" s="50" t="s">
        <v>1344</v>
      </c>
      <c r="K504" s="25" t="s">
        <v>3882</v>
      </c>
      <c r="L504" s="49" t="s">
        <v>3891</v>
      </c>
      <c r="M504" s="25" t="s">
        <v>3839</v>
      </c>
      <c r="N504" s="49" t="s">
        <v>3840</v>
      </c>
      <c r="O504" s="25" t="s">
        <v>3698</v>
      </c>
      <c r="P504" s="49" t="s">
        <v>3699</v>
      </c>
      <c r="Q504" s="49"/>
      <c r="R504" s="50" t="s">
        <v>48</v>
      </c>
      <c r="S504" s="52" t="s">
        <v>67</v>
      </c>
    </row>
    <row r="505" customFormat="false" ht="15" hidden="false" customHeight="true" outlineLevel="0" collapsed="false">
      <c r="A505" s="46" t="n">
        <v>515</v>
      </c>
      <c r="B505" s="24" t="s">
        <v>3892</v>
      </c>
      <c r="C505" s="47"/>
      <c r="D505" s="47" t="s">
        <v>3834</v>
      </c>
      <c r="E505" s="46" t="s">
        <v>16</v>
      </c>
      <c r="F505" s="46" t="s">
        <v>2104</v>
      </c>
      <c r="G505" s="24" t="s">
        <v>3893</v>
      </c>
      <c r="H505" s="48" t="n">
        <v>5</v>
      </c>
      <c r="I505" s="46"/>
      <c r="J505" s="47" t="s">
        <v>3894</v>
      </c>
      <c r="K505" s="24" t="s">
        <v>3895</v>
      </c>
      <c r="L505" s="46" t="s">
        <v>3896</v>
      </c>
      <c r="M505" s="24" t="s">
        <v>3839</v>
      </c>
      <c r="N505" s="46" t="s">
        <v>3840</v>
      </c>
      <c r="O505" s="24" t="s">
        <v>3698</v>
      </c>
      <c r="P505" s="46" t="s">
        <v>3699</v>
      </c>
      <c r="Q505" s="46"/>
      <c r="R505" s="47" t="s">
        <v>48</v>
      </c>
      <c r="S505" s="52" t="s">
        <v>67</v>
      </c>
    </row>
    <row r="506" customFormat="false" ht="15" hidden="false" customHeight="true" outlineLevel="0" collapsed="false">
      <c r="A506" s="49" t="n">
        <v>516</v>
      </c>
      <c r="B506" s="25" t="s">
        <v>3892</v>
      </c>
      <c r="C506" s="50"/>
      <c r="D506" s="50" t="s">
        <v>3834</v>
      </c>
      <c r="E506" s="49" t="s">
        <v>16</v>
      </c>
      <c r="F506" s="49" t="s">
        <v>2104</v>
      </c>
      <c r="G506" s="25" t="s">
        <v>3897</v>
      </c>
      <c r="H506" s="51" t="n">
        <v>5</v>
      </c>
      <c r="I506" s="49"/>
      <c r="J506" s="50" t="s">
        <v>1349</v>
      </c>
      <c r="K506" s="25" t="s">
        <v>3812</v>
      </c>
      <c r="L506" s="49" t="s">
        <v>3898</v>
      </c>
      <c r="M506" s="25" t="s">
        <v>3839</v>
      </c>
      <c r="N506" s="49" t="s">
        <v>3840</v>
      </c>
      <c r="O506" s="25" t="s">
        <v>3698</v>
      </c>
      <c r="P506" s="49" t="s">
        <v>3699</v>
      </c>
      <c r="Q506" s="49"/>
      <c r="R506" s="50" t="s">
        <v>48</v>
      </c>
      <c r="S506" s="52" t="s">
        <v>67</v>
      </c>
    </row>
    <row r="507" customFormat="false" ht="15" hidden="false" customHeight="true" outlineLevel="0" collapsed="false">
      <c r="A507" s="46" t="n">
        <v>517</v>
      </c>
      <c r="B507" s="24" t="s">
        <v>3899</v>
      </c>
      <c r="C507" s="47"/>
      <c r="D507" s="47" t="s">
        <v>3834</v>
      </c>
      <c r="E507" s="46" t="s">
        <v>16</v>
      </c>
      <c r="F507" s="46" t="s">
        <v>2104</v>
      </c>
      <c r="G507" s="24" t="s">
        <v>3900</v>
      </c>
      <c r="H507" s="48" t="n">
        <v>5</v>
      </c>
      <c r="I507" s="46"/>
      <c r="J507" s="47" t="s">
        <v>3901</v>
      </c>
      <c r="K507" s="24" t="s">
        <v>3902</v>
      </c>
      <c r="L507" s="46" t="s">
        <v>3903</v>
      </c>
      <c r="M507" s="24" t="s">
        <v>3839</v>
      </c>
      <c r="N507" s="46" t="s">
        <v>3840</v>
      </c>
      <c r="O507" s="24" t="s">
        <v>3698</v>
      </c>
      <c r="P507" s="46" t="s">
        <v>3699</v>
      </c>
      <c r="Q507" s="46"/>
      <c r="R507" s="47" t="s">
        <v>48</v>
      </c>
      <c r="S507" s="52" t="s">
        <v>67</v>
      </c>
    </row>
    <row r="508" customFormat="false" ht="15" hidden="false" customHeight="true" outlineLevel="0" collapsed="false">
      <c r="A508" s="49" t="n">
        <v>518</v>
      </c>
      <c r="B508" s="25" t="s">
        <v>3904</v>
      </c>
      <c r="C508" s="50"/>
      <c r="D508" s="50" t="s">
        <v>3834</v>
      </c>
      <c r="E508" s="49" t="s">
        <v>16</v>
      </c>
      <c r="F508" s="49" t="s">
        <v>2104</v>
      </c>
      <c r="G508" s="25" t="s">
        <v>3905</v>
      </c>
      <c r="H508" s="51" t="n">
        <v>5</v>
      </c>
      <c r="I508" s="49"/>
      <c r="J508" s="50" t="s">
        <v>1355</v>
      </c>
      <c r="K508" s="25" t="s">
        <v>3906</v>
      </c>
      <c r="L508" s="49" t="s">
        <v>3907</v>
      </c>
      <c r="M508" s="25" t="s">
        <v>3839</v>
      </c>
      <c r="N508" s="49" t="s">
        <v>3840</v>
      </c>
      <c r="O508" s="25" t="s">
        <v>3698</v>
      </c>
      <c r="P508" s="49" t="s">
        <v>3699</v>
      </c>
      <c r="Q508" s="49"/>
      <c r="R508" s="50" t="s">
        <v>48</v>
      </c>
      <c r="S508" s="52" t="s">
        <v>67</v>
      </c>
    </row>
    <row r="509" customFormat="false" ht="15" hidden="false" customHeight="true" outlineLevel="0" collapsed="false">
      <c r="A509" s="46" t="n">
        <v>519</v>
      </c>
      <c r="B509" s="24" t="s">
        <v>3908</v>
      </c>
      <c r="C509" s="47"/>
      <c r="D509" s="47" t="s">
        <v>3834</v>
      </c>
      <c r="E509" s="46" t="s">
        <v>16</v>
      </c>
      <c r="F509" s="46" t="s">
        <v>2104</v>
      </c>
      <c r="G509" s="24" t="s">
        <v>3909</v>
      </c>
      <c r="H509" s="48" t="n">
        <v>5</v>
      </c>
      <c r="I509" s="46"/>
      <c r="J509" s="47" t="s">
        <v>1358</v>
      </c>
      <c r="K509" s="24" t="s">
        <v>3910</v>
      </c>
      <c r="L509" s="46" t="s">
        <v>3911</v>
      </c>
      <c r="M509" s="24" t="s">
        <v>3839</v>
      </c>
      <c r="N509" s="46" t="s">
        <v>3840</v>
      </c>
      <c r="O509" s="24" t="s">
        <v>3698</v>
      </c>
      <c r="P509" s="46" t="s">
        <v>3699</v>
      </c>
      <c r="Q509" s="46"/>
      <c r="R509" s="47" t="s">
        <v>48</v>
      </c>
      <c r="S509" s="52" t="s">
        <v>67</v>
      </c>
    </row>
    <row r="510" customFormat="false" ht="15" hidden="false" customHeight="true" outlineLevel="0" collapsed="false">
      <c r="A510" s="49" t="n">
        <v>520</v>
      </c>
      <c r="B510" s="25" t="s">
        <v>3908</v>
      </c>
      <c r="C510" s="50"/>
      <c r="D510" s="50" t="s">
        <v>3834</v>
      </c>
      <c r="E510" s="49" t="s">
        <v>16</v>
      </c>
      <c r="F510" s="49" t="s">
        <v>2104</v>
      </c>
      <c r="G510" s="25" t="s">
        <v>3912</v>
      </c>
      <c r="H510" s="51" t="n">
        <v>5</v>
      </c>
      <c r="I510" s="49"/>
      <c r="J510" s="50" t="s">
        <v>1360</v>
      </c>
      <c r="K510" s="25" t="s">
        <v>3913</v>
      </c>
      <c r="L510" s="49" t="s">
        <v>3914</v>
      </c>
      <c r="M510" s="25" t="s">
        <v>3839</v>
      </c>
      <c r="N510" s="49" t="s">
        <v>3840</v>
      </c>
      <c r="O510" s="25" t="s">
        <v>3698</v>
      </c>
      <c r="P510" s="49" t="s">
        <v>3699</v>
      </c>
      <c r="Q510" s="49"/>
      <c r="R510" s="50" t="s">
        <v>48</v>
      </c>
      <c r="S510" s="52" t="s">
        <v>67</v>
      </c>
    </row>
    <row r="511" customFormat="false" ht="15" hidden="false" customHeight="true" outlineLevel="0" collapsed="false">
      <c r="A511" s="46" t="n">
        <v>521</v>
      </c>
      <c r="B511" s="24" t="s">
        <v>3915</v>
      </c>
      <c r="C511" s="47"/>
      <c r="D511" s="47" t="s">
        <v>3834</v>
      </c>
      <c r="E511" s="46" t="s">
        <v>16</v>
      </c>
      <c r="F511" s="46" t="s">
        <v>2104</v>
      </c>
      <c r="G511" s="24" t="s">
        <v>3916</v>
      </c>
      <c r="H511" s="48" t="n">
        <v>5</v>
      </c>
      <c r="I511" s="46"/>
      <c r="J511" s="47" t="s">
        <v>1363</v>
      </c>
      <c r="K511" s="24" t="s">
        <v>3917</v>
      </c>
      <c r="L511" s="46" t="s">
        <v>3918</v>
      </c>
      <c r="M511" s="24" t="s">
        <v>3839</v>
      </c>
      <c r="N511" s="46" t="s">
        <v>3840</v>
      </c>
      <c r="O511" s="24" t="s">
        <v>3698</v>
      </c>
      <c r="P511" s="46" t="s">
        <v>3699</v>
      </c>
      <c r="Q511" s="46"/>
      <c r="R511" s="47" t="s">
        <v>48</v>
      </c>
      <c r="S511" s="52" t="s">
        <v>67</v>
      </c>
    </row>
    <row r="512" customFormat="false" ht="15" hidden="false" customHeight="true" outlineLevel="0" collapsed="false">
      <c r="A512" s="49" t="n">
        <v>522</v>
      </c>
      <c r="B512" s="25" t="s">
        <v>3892</v>
      </c>
      <c r="C512" s="50"/>
      <c r="D512" s="50" t="s">
        <v>3834</v>
      </c>
      <c r="E512" s="49" t="s">
        <v>16</v>
      </c>
      <c r="F512" s="49" t="s">
        <v>2104</v>
      </c>
      <c r="G512" s="25" t="s">
        <v>3919</v>
      </c>
      <c r="H512" s="51" t="n">
        <v>5</v>
      </c>
      <c r="I512" s="49"/>
      <c r="J512" s="50" t="s">
        <v>1365</v>
      </c>
      <c r="K512" s="25" t="s">
        <v>3920</v>
      </c>
      <c r="L512" s="49" t="s">
        <v>3921</v>
      </c>
      <c r="M512" s="25" t="s">
        <v>3839</v>
      </c>
      <c r="N512" s="49" t="s">
        <v>3840</v>
      </c>
      <c r="O512" s="25" t="s">
        <v>3698</v>
      </c>
      <c r="P512" s="49" t="s">
        <v>3699</v>
      </c>
      <c r="Q512" s="49"/>
      <c r="R512" s="50" t="s">
        <v>48</v>
      </c>
      <c r="S512" s="52" t="s">
        <v>67</v>
      </c>
    </row>
    <row r="513" customFormat="false" ht="15" hidden="false" customHeight="true" outlineLevel="0" collapsed="false">
      <c r="A513" s="46" t="n">
        <v>523</v>
      </c>
      <c r="B513" s="24" t="s">
        <v>3922</v>
      </c>
      <c r="C513" s="47"/>
      <c r="D513" s="47" t="s">
        <v>3834</v>
      </c>
      <c r="E513" s="46" t="s">
        <v>16</v>
      </c>
      <c r="F513" s="46" t="s">
        <v>2104</v>
      </c>
      <c r="G513" s="24" t="s">
        <v>3923</v>
      </c>
      <c r="H513" s="48" t="n">
        <v>5</v>
      </c>
      <c r="I513" s="46"/>
      <c r="J513" s="47" t="s">
        <v>1368</v>
      </c>
      <c r="K513" s="24" t="s">
        <v>3924</v>
      </c>
      <c r="L513" s="46" t="s">
        <v>3925</v>
      </c>
      <c r="M513" s="24" t="s">
        <v>3839</v>
      </c>
      <c r="N513" s="46" t="s">
        <v>3840</v>
      </c>
      <c r="O513" s="24" t="s">
        <v>3698</v>
      </c>
      <c r="P513" s="46" t="s">
        <v>3699</v>
      </c>
      <c r="Q513" s="46"/>
      <c r="R513" s="47" t="s">
        <v>48</v>
      </c>
      <c r="S513" s="52" t="s">
        <v>67</v>
      </c>
    </row>
    <row r="514" customFormat="false" ht="15" hidden="false" customHeight="true" outlineLevel="0" collapsed="false">
      <c r="A514" s="49" t="n">
        <v>524</v>
      </c>
      <c r="B514" s="25" t="s">
        <v>3922</v>
      </c>
      <c r="C514" s="50"/>
      <c r="D514" s="50" t="s">
        <v>3834</v>
      </c>
      <c r="E514" s="49" t="s">
        <v>16</v>
      </c>
      <c r="F514" s="49" t="s">
        <v>2104</v>
      </c>
      <c r="G514" s="25" t="s">
        <v>3926</v>
      </c>
      <c r="H514" s="51" t="n">
        <v>5</v>
      </c>
      <c r="I514" s="49"/>
      <c r="J514" s="50" t="s">
        <v>1370</v>
      </c>
      <c r="K514" s="25" t="s">
        <v>3927</v>
      </c>
      <c r="L514" s="49" t="s">
        <v>3928</v>
      </c>
      <c r="M514" s="25" t="s">
        <v>3839</v>
      </c>
      <c r="N514" s="49" t="s">
        <v>3840</v>
      </c>
      <c r="O514" s="25" t="s">
        <v>3698</v>
      </c>
      <c r="P514" s="49" t="s">
        <v>3699</v>
      </c>
      <c r="Q514" s="49"/>
      <c r="R514" s="50" t="s">
        <v>48</v>
      </c>
      <c r="S514" s="52" t="s">
        <v>67</v>
      </c>
    </row>
    <row r="515" customFormat="false" ht="15" hidden="false" customHeight="true" outlineLevel="0" collapsed="false">
      <c r="A515" s="46" t="n">
        <v>525</v>
      </c>
      <c r="B515" s="24" t="s">
        <v>3892</v>
      </c>
      <c r="C515" s="47"/>
      <c r="D515" s="47" t="s">
        <v>3834</v>
      </c>
      <c r="E515" s="46" t="s">
        <v>16</v>
      </c>
      <c r="F515" s="46" t="s">
        <v>2104</v>
      </c>
      <c r="G515" s="24" t="s">
        <v>3929</v>
      </c>
      <c r="H515" s="48" t="n">
        <v>5</v>
      </c>
      <c r="I515" s="46"/>
      <c r="J515" s="47" t="s">
        <v>3930</v>
      </c>
      <c r="K515" s="24" t="s">
        <v>3931</v>
      </c>
      <c r="L515" s="46" t="s">
        <v>3932</v>
      </c>
      <c r="M515" s="24" t="s">
        <v>3839</v>
      </c>
      <c r="N515" s="46" t="s">
        <v>3840</v>
      </c>
      <c r="O515" s="24" t="s">
        <v>3698</v>
      </c>
      <c r="P515" s="46" t="s">
        <v>3699</v>
      </c>
      <c r="Q515" s="46"/>
      <c r="R515" s="47" t="s">
        <v>48</v>
      </c>
      <c r="S515" s="52" t="s">
        <v>67</v>
      </c>
    </row>
    <row r="516" customFormat="false" ht="15" hidden="false" customHeight="true" outlineLevel="0" collapsed="false">
      <c r="A516" s="49" t="n">
        <v>526</v>
      </c>
      <c r="B516" s="25" t="s">
        <v>3892</v>
      </c>
      <c r="C516" s="50"/>
      <c r="D516" s="50" t="s">
        <v>3834</v>
      </c>
      <c r="E516" s="49" t="s">
        <v>16</v>
      </c>
      <c r="F516" s="49" t="s">
        <v>2104</v>
      </c>
      <c r="G516" s="25" t="s">
        <v>3933</v>
      </c>
      <c r="H516" s="51" t="n">
        <v>5</v>
      </c>
      <c r="I516" s="49"/>
      <c r="J516" s="50" t="s">
        <v>3934</v>
      </c>
      <c r="K516" s="25" t="s">
        <v>3935</v>
      </c>
      <c r="L516" s="49" t="s">
        <v>3936</v>
      </c>
      <c r="M516" s="25" t="s">
        <v>3839</v>
      </c>
      <c r="N516" s="49" t="s">
        <v>3840</v>
      </c>
      <c r="O516" s="25" t="s">
        <v>3698</v>
      </c>
      <c r="P516" s="49" t="s">
        <v>3699</v>
      </c>
      <c r="Q516" s="49"/>
      <c r="R516" s="50" t="s">
        <v>48</v>
      </c>
      <c r="S516" s="52" t="s">
        <v>67</v>
      </c>
    </row>
    <row r="517" customFormat="false" ht="15" hidden="false" customHeight="true" outlineLevel="0" collapsed="false">
      <c r="A517" s="46" t="n">
        <v>527</v>
      </c>
      <c r="B517" s="24" t="s">
        <v>3922</v>
      </c>
      <c r="C517" s="47"/>
      <c r="D517" s="47" t="s">
        <v>3834</v>
      </c>
      <c r="E517" s="46" t="s">
        <v>16</v>
      </c>
      <c r="F517" s="46" t="s">
        <v>2104</v>
      </c>
      <c r="G517" s="24" t="s">
        <v>3937</v>
      </c>
      <c r="H517" s="48" t="n">
        <v>5</v>
      </c>
      <c r="I517" s="46"/>
      <c r="J517" s="47" t="s">
        <v>1378</v>
      </c>
      <c r="K517" s="24" t="s">
        <v>3938</v>
      </c>
      <c r="L517" s="46" t="s">
        <v>3939</v>
      </c>
      <c r="M517" s="24" t="s">
        <v>3839</v>
      </c>
      <c r="N517" s="46" t="s">
        <v>3840</v>
      </c>
      <c r="O517" s="24" t="s">
        <v>3698</v>
      </c>
      <c r="P517" s="46" t="s">
        <v>3699</v>
      </c>
      <c r="Q517" s="46"/>
      <c r="R517" s="47" t="s">
        <v>48</v>
      </c>
      <c r="S517" s="52" t="s">
        <v>67</v>
      </c>
    </row>
    <row r="518" customFormat="false" ht="15" hidden="false" customHeight="true" outlineLevel="0" collapsed="false">
      <c r="A518" s="49" t="n">
        <v>528</v>
      </c>
      <c r="B518" s="25" t="s">
        <v>3940</v>
      </c>
      <c r="C518" s="50"/>
      <c r="D518" s="50" t="s">
        <v>3834</v>
      </c>
      <c r="E518" s="49" t="s">
        <v>16</v>
      </c>
      <c r="F518" s="49" t="s">
        <v>2104</v>
      </c>
      <c r="G518" s="25" t="s">
        <v>3941</v>
      </c>
      <c r="H518" s="51" t="n">
        <v>5</v>
      </c>
      <c r="I518" s="49"/>
      <c r="J518" s="50" t="s">
        <v>3942</v>
      </c>
      <c r="K518" s="25" t="s">
        <v>3943</v>
      </c>
      <c r="L518" s="49" t="s">
        <v>3944</v>
      </c>
      <c r="M518" s="25" t="s">
        <v>3839</v>
      </c>
      <c r="N518" s="49" t="s">
        <v>3840</v>
      </c>
      <c r="O518" s="25" t="s">
        <v>3698</v>
      </c>
      <c r="P518" s="49" t="s">
        <v>3699</v>
      </c>
      <c r="Q518" s="49"/>
      <c r="R518" s="50" t="s">
        <v>48</v>
      </c>
      <c r="S518" s="52" t="s">
        <v>67</v>
      </c>
    </row>
    <row r="519" customFormat="false" ht="15" hidden="false" customHeight="true" outlineLevel="0" collapsed="false">
      <c r="A519" s="46" t="n">
        <v>529</v>
      </c>
      <c r="B519" s="24" t="s">
        <v>3945</v>
      </c>
      <c r="C519" s="47"/>
      <c r="D519" s="47" t="s">
        <v>3834</v>
      </c>
      <c r="E519" s="46" t="s">
        <v>16</v>
      </c>
      <c r="F519" s="46" t="s">
        <v>2104</v>
      </c>
      <c r="G519" s="24" t="s">
        <v>3946</v>
      </c>
      <c r="H519" s="48" t="n">
        <v>5</v>
      </c>
      <c r="I519" s="46"/>
      <c r="J519" s="47" t="s">
        <v>1384</v>
      </c>
      <c r="K519" s="24" t="s">
        <v>3947</v>
      </c>
      <c r="L519" s="46" t="s">
        <v>3948</v>
      </c>
      <c r="M519" s="24" t="s">
        <v>3839</v>
      </c>
      <c r="N519" s="46" t="s">
        <v>3840</v>
      </c>
      <c r="O519" s="24" t="s">
        <v>3698</v>
      </c>
      <c r="P519" s="46" t="s">
        <v>3699</v>
      </c>
      <c r="Q519" s="46"/>
      <c r="R519" s="47" t="s">
        <v>48</v>
      </c>
      <c r="S519" s="52" t="s">
        <v>2829</v>
      </c>
    </row>
    <row r="520" customFormat="false" ht="15" hidden="false" customHeight="true" outlineLevel="0" collapsed="false">
      <c r="A520" s="49" t="n">
        <v>530</v>
      </c>
      <c r="B520" s="25" t="s">
        <v>3945</v>
      </c>
      <c r="C520" s="50"/>
      <c r="D520" s="50" t="s">
        <v>3834</v>
      </c>
      <c r="E520" s="49" t="s">
        <v>16</v>
      </c>
      <c r="F520" s="49" t="s">
        <v>2104</v>
      </c>
      <c r="G520" s="25" t="s">
        <v>3949</v>
      </c>
      <c r="H520" s="51" t="n">
        <v>5</v>
      </c>
      <c r="I520" s="49"/>
      <c r="J520" s="50" t="s">
        <v>1386</v>
      </c>
      <c r="K520" s="25" t="s">
        <v>3950</v>
      </c>
      <c r="L520" s="49" t="s">
        <v>3951</v>
      </c>
      <c r="M520" s="25" t="s">
        <v>3839</v>
      </c>
      <c r="N520" s="49" t="s">
        <v>3840</v>
      </c>
      <c r="O520" s="25" t="s">
        <v>3698</v>
      </c>
      <c r="P520" s="49" t="s">
        <v>3699</v>
      </c>
      <c r="Q520" s="49"/>
      <c r="R520" s="50" t="s">
        <v>48</v>
      </c>
      <c r="S520" s="52" t="s">
        <v>67</v>
      </c>
    </row>
    <row r="521" customFormat="false" ht="15" hidden="false" customHeight="true" outlineLevel="0" collapsed="false">
      <c r="A521" s="46" t="n">
        <v>531</v>
      </c>
      <c r="B521" s="24" t="s">
        <v>3945</v>
      </c>
      <c r="C521" s="47"/>
      <c r="D521" s="47" t="s">
        <v>3834</v>
      </c>
      <c r="E521" s="46" t="s">
        <v>16</v>
      </c>
      <c r="F521" s="46" t="s">
        <v>2104</v>
      </c>
      <c r="G521" s="24" t="s">
        <v>3952</v>
      </c>
      <c r="H521" s="48" t="n">
        <v>5</v>
      </c>
      <c r="I521" s="46"/>
      <c r="J521" s="47" t="s">
        <v>3953</v>
      </c>
      <c r="K521" s="24" t="s">
        <v>3954</v>
      </c>
      <c r="L521" s="46" t="s">
        <v>3955</v>
      </c>
      <c r="M521" s="24" t="s">
        <v>3839</v>
      </c>
      <c r="N521" s="46" t="s">
        <v>3840</v>
      </c>
      <c r="O521" s="24" t="s">
        <v>3698</v>
      </c>
      <c r="P521" s="46" t="s">
        <v>3699</v>
      </c>
      <c r="Q521" s="46"/>
      <c r="R521" s="47" t="s">
        <v>48</v>
      </c>
      <c r="S521" s="52" t="s">
        <v>67</v>
      </c>
    </row>
    <row r="522" customFormat="false" ht="15" hidden="false" customHeight="true" outlineLevel="0" collapsed="false">
      <c r="A522" s="49" t="n">
        <v>532</v>
      </c>
      <c r="B522" s="25" t="s">
        <v>3892</v>
      </c>
      <c r="C522" s="50"/>
      <c r="D522" s="50" t="s">
        <v>3834</v>
      </c>
      <c r="E522" s="49" t="s">
        <v>16</v>
      </c>
      <c r="F522" s="49" t="s">
        <v>2104</v>
      </c>
      <c r="G522" s="25" t="s">
        <v>3956</v>
      </c>
      <c r="H522" s="51" t="n">
        <v>5</v>
      </c>
      <c r="I522" s="49"/>
      <c r="J522" s="50" t="s">
        <v>1390</v>
      </c>
      <c r="K522" s="25" t="s">
        <v>3957</v>
      </c>
      <c r="L522" s="49" t="s">
        <v>3958</v>
      </c>
      <c r="M522" s="25" t="s">
        <v>3839</v>
      </c>
      <c r="N522" s="49" t="s">
        <v>3840</v>
      </c>
      <c r="O522" s="25" t="s">
        <v>3698</v>
      </c>
      <c r="P522" s="49" t="s">
        <v>3699</v>
      </c>
      <c r="Q522" s="49"/>
      <c r="R522" s="50" t="s">
        <v>48</v>
      </c>
      <c r="S522" s="52" t="s">
        <v>67</v>
      </c>
    </row>
    <row r="523" customFormat="false" ht="15" hidden="false" customHeight="true" outlineLevel="0" collapsed="false">
      <c r="A523" s="46" t="n">
        <v>533</v>
      </c>
      <c r="B523" s="24" t="s">
        <v>3940</v>
      </c>
      <c r="C523" s="47"/>
      <c r="D523" s="47" t="s">
        <v>3834</v>
      </c>
      <c r="E523" s="46" t="s">
        <v>16</v>
      </c>
      <c r="F523" s="46" t="s">
        <v>2104</v>
      </c>
      <c r="G523" s="24" t="s">
        <v>3959</v>
      </c>
      <c r="H523" s="48" t="n">
        <v>5</v>
      </c>
      <c r="I523" s="46"/>
      <c r="J523" s="47" t="s">
        <v>1393</v>
      </c>
      <c r="K523" s="24" t="s">
        <v>3917</v>
      </c>
      <c r="L523" s="46" t="s">
        <v>3936</v>
      </c>
      <c r="M523" s="24" t="s">
        <v>3839</v>
      </c>
      <c r="N523" s="46" t="s">
        <v>3840</v>
      </c>
      <c r="O523" s="24" t="s">
        <v>3698</v>
      </c>
      <c r="P523" s="46" t="s">
        <v>3699</v>
      </c>
      <c r="Q523" s="46"/>
      <c r="R523" s="47" t="s">
        <v>48</v>
      </c>
      <c r="S523" s="52" t="s">
        <v>67</v>
      </c>
    </row>
    <row r="524" customFormat="false" ht="15" hidden="false" customHeight="true" outlineLevel="0" collapsed="false">
      <c r="A524" s="49" t="n">
        <v>534</v>
      </c>
      <c r="B524" s="25" t="s">
        <v>3915</v>
      </c>
      <c r="C524" s="50"/>
      <c r="D524" s="50" t="s">
        <v>3834</v>
      </c>
      <c r="E524" s="49" t="s">
        <v>16</v>
      </c>
      <c r="F524" s="49" t="s">
        <v>2104</v>
      </c>
      <c r="G524" s="25" t="s">
        <v>3960</v>
      </c>
      <c r="H524" s="51" t="n">
        <v>5</v>
      </c>
      <c r="I524" s="49"/>
      <c r="J524" s="50" t="s">
        <v>1395</v>
      </c>
      <c r="K524" s="25" t="s">
        <v>3583</v>
      </c>
      <c r="L524" s="49" t="s">
        <v>3961</v>
      </c>
      <c r="M524" s="25" t="s">
        <v>3839</v>
      </c>
      <c r="N524" s="49" t="s">
        <v>3840</v>
      </c>
      <c r="O524" s="25" t="s">
        <v>3698</v>
      </c>
      <c r="P524" s="49" t="s">
        <v>3699</v>
      </c>
      <c r="Q524" s="49"/>
      <c r="R524" s="50" t="s">
        <v>48</v>
      </c>
      <c r="S524" s="52" t="s">
        <v>67</v>
      </c>
    </row>
    <row r="525" customFormat="false" ht="15" hidden="false" customHeight="true" outlineLevel="0" collapsed="false">
      <c r="A525" s="46" t="n">
        <v>535</v>
      </c>
      <c r="B525" s="24" t="s">
        <v>3834</v>
      </c>
      <c r="C525" s="47"/>
      <c r="D525" s="47" t="s">
        <v>3834</v>
      </c>
      <c r="E525" s="46" t="s">
        <v>16</v>
      </c>
      <c r="F525" s="46" t="s">
        <v>2104</v>
      </c>
      <c r="G525" s="24" t="s">
        <v>3962</v>
      </c>
      <c r="H525" s="48" t="n">
        <v>5</v>
      </c>
      <c r="I525" s="46"/>
      <c r="J525" s="47" t="s">
        <v>1398</v>
      </c>
      <c r="K525" s="24" t="s">
        <v>3882</v>
      </c>
      <c r="L525" s="46" t="s">
        <v>3963</v>
      </c>
      <c r="M525" s="24" t="s">
        <v>3839</v>
      </c>
      <c r="N525" s="46" t="s">
        <v>3840</v>
      </c>
      <c r="O525" s="24" t="s">
        <v>3698</v>
      </c>
      <c r="P525" s="46" t="s">
        <v>3699</v>
      </c>
      <c r="Q525" s="46"/>
      <c r="R525" s="47" t="s">
        <v>48</v>
      </c>
      <c r="S525" s="52" t="s">
        <v>67</v>
      </c>
    </row>
    <row r="526" customFormat="false" ht="15" hidden="false" customHeight="true" outlineLevel="0" collapsed="false">
      <c r="A526" s="49" t="n">
        <v>536</v>
      </c>
      <c r="B526" s="25" t="s">
        <v>3833</v>
      </c>
      <c r="C526" s="50"/>
      <c r="D526" s="50" t="s">
        <v>3834</v>
      </c>
      <c r="E526" s="49" t="s">
        <v>16</v>
      </c>
      <c r="F526" s="49" t="s">
        <v>2104</v>
      </c>
      <c r="G526" s="25" t="s">
        <v>3964</v>
      </c>
      <c r="H526" s="51" t="n">
        <v>5</v>
      </c>
      <c r="I526" s="49"/>
      <c r="J526" s="50" t="s">
        <v>3103</v>
      </c>
      <c r="K526" s="25" t="s">
        <v>3965</v>
      </c>
      <c r="L526" s="49" t="s">
        <v>3966</v>
      </c>
      <c r="M526" s="25" t="s">
        <v>3839</v>
      </c>
      <c r="N526" s="49" t="s">
        <v>3840</v>
      </c>
      <c r="O526" s="25" t="s">
        <v>3698</v>
      </c>
      <c r="P526" s="49" t="s">
        <v>3699</v>
      </c>
      <c r="Q526" s="49"/>
      <c r="R526" s="50" t="s">
        <v>48</v>
      </c>
      <c r="S526" s="52" t="s">
        <v>2829</v>
      </c>
    </row>
    <row r="527" customFormat="false" ht="15" hidden="false" customHeight="true" outlineLevel="0" collapsed="false">
      <c r="A527" s="46" t="n">
        <v>537</v>
      </c>
      <c r="B527" s="24" t="s">
        <v>3967</v>
      </c>
      <c r="C527" s="47"/>
      <c r="D527" s="47" t="s">
        <v>3968</v>
      </c>
      <c r="E527" s="46" t="s">
        <v>16</v>
      </c>
      <c r="F527" s="46" t="s">
        <v>2104</v>
      </c>
      <c r="G527" s="24" t="s">
        <v>3969</v>
      </c>
      <c r="H527" s="48" t="n">
        <v>5</v>
      </c>
      <c r="I527" s="46"/>
      <c r="J527" s="47" t="s">
        <v>1403</v>
      </c>
      <c r="K527" s="24" t="s">
        <v>3970</v>
      </c>
      <c r="L527" s="46" t="s">
        <v>3971</v>
      </c>
      <c r="M527" s="24" t="s">
        <v>3972</v>
      </c>
      <c r="N527" s="46" t="s">
        <v>3973</v>
      </c>
      <c r="O527" s="24" t="s">
        <v>3698</v>
      </c>
      <c r="P527" s="46" t="s">
        <v>3699</v>
      </c>
      <c r="Q527" s="46"/>
      <c r="R527" s="47" t="s">
        <v>48</v>
      </c>
      <c r="S527" s="52" t="s">
        <v>67</v>
      </c>
    </row>
    <row r="528" customFormat="false" ht="15" hidden="false" customHeight="true" outlineLevel="0" collapsed="false">
      <c r="A528" s="49" t="n">
        <v>538</v>
      </c>
      <c r="B528" s="25" t="s">
        <v>3967</v>
      </c>
      <c r="C528" s="50"/>
      <c r="D528" s="50" t="s">
        <v>3968</v>
      </c>
      <c r="E528" s="49" t="s">
        <v>16</v>
      </c>
      <c r="F528" s="49" t="s">
        <v>2104</v>
      </c>
      <c r="G528" s="25" t="s">
        <v>3974</v>
      </c>
      <c r="H528" s="51" t="n">
        <v>5</v>
      </c>
      <c r="I528" s="49"/>
      <c r="J528" s="50" t="s">
        <v>3103</v>
      </c>
      <c r="K528" s="25" t="s">
        <v>3768</v>
      </c>
      <c r="L528" s="49" t="s">
        <v>3975</v>
      </c>
      <c r="M528" s="25" t="s">
        <v>3972</v>
      </c>
      <c r="N528" s="49" t="s">
        <v>3973</v>
      </c>
      <c r="O528" s="25" t="s">
        <v>3698</v>
      </c>
      <c r="P528" s="49" t="s">
        <v>3699</v>
      </c>
      <c r="Q528" s="49"/>
      <c r="R528" s="50" t="s">
        <v>48</v>
      </c>
      <c r="S528" s="52" t="s">
        <v>2829</v>
      </c>
    </row>
    <row r="529" customFormat="false" ht="15" hidden="false" customHeight="true" outlineLevel="0" collapsed="false">
      <c r="A529" s="46" t="n">
        <v>539</v>
      </c>
      <c r="B529" s="24" t="s">
        <v>3967</v>
      </c>
      <c r="C529" s="47"/>
      <c r="D529" s="47" t="s">
        <v>3968</v>
      </c>
      <c r="E529" s="46" t="s">
        <v>16</v>
      </c>
      <c r="F529" s="46" t="s">
        <v>2104</v>
      </c>
      <c r="G529" s="24" t="s">
        <v>3976</v>
      </c>
      <c r="H529" s="48" t="n">
        <v>5</v>
      </c>
      <c r="I529" s="46"/>
      <c r="J529" s="47" t="s">
        <v>3103</v>
      </c>
      <c r="K529" s="24" t="s">
        <v>3573</v>
      </c>
      <c r="L529" s="46" t="s">
        <v>3977</v>
      </c>
      <c r="M529" s="24" t="s">
        <v>3972</v>
      </c>
      <c r="N529" s="46" t="s">
        <v>3973</v>
      </c>
      <c r="O529" s="24" t="s">
        <v>3698</v>
      </c>
      <c r="P529" s="46" t="s">
        <v>3699</v>
      </c>
      <c r="Q529" s="46"/>
      <c r="R529" s="47" t="s">
        <v>48</v>
      </c>
      <c r="S529" s="52" t="s">
        <v>2829</v>
      </c>
    </row>
    <row r="530" customFormat="false" ht="15" hidden="false" customHeight="true" outlineLevel="0" collapsed="false">
      <c r="A530" s="49" t="n">
        <v>540</v>
      </c>
      <c r="B530" s="25" t="s">
        <v>3967</v>
      </c>
      <c r="C530" s="50"/>
      <c r="D530" s="50" t="s">
        <v>3968</v>
      </c>
      <c r="E530" s="49" t="s">
        <v>16</v>
      </c>
      <c r="F530" s="49" t="s">
        <v>2104</v>
      </c>
      <c r="G530" s="25" t="s">
        <v>3978</v>
      </c>
      <c r="H530" s="51" t="n">
        <v>5</v>
      </c>
      <c r="I530" s="49"/>
      <c r="J530" s="50" t="s">
        <v>3979</v>
      </c>
      <c r="K530" s="25" t="s">
        <v>3980</v>
      </c>
      <c r="L530" s="49" t="s">
        <v>3981</v>
      </c>
      <c r="M530" s="25" t="s">
        <v>3972</v>
      </c>
      <c r="N530" s="49" t="s">
        <v>3973</v>
      </c>
      <c r="O530" s="25" t="s">
        <v>3698</v>
      </c>
      <c r="P530" s="49" t="s">
        <v>3699</v>
      </c>
      <c r="Q530" s="49"/>
      <c r="R530" s="50" t="s">
        <v>48</v>
      </c>
      <c r="S530" s="52" t="s">
        <v>67</v>
      </c>
    </row>
    <row r="531" customFormat="false" ht="15" hidden="false" customHeight="true" outlineLevel="0" collapsed="false">
      <c r="A531" s="46" t="n">
        <v>541</v>
      </c>
      <c r="B531" s="24" t="s">
        <v>3967</v>
      </c>
      <c r="C531" s="47"/>
      <c r="D531" s="47" t="s">
        <v>3968</v>
      </c>
      <c r="E531" s="46" t="s">
        <v>16</v>
      </c>
      <c r="F531" s="46" t="s">
        <v>2104</v>
      </c>
      <c r="G531" s="24" t="s">
        <v>3982</v>
      </c>
      <c r="H531" s="48" t="n">
        <v>5</v>
      </c>
      <c r="I531" s="46"/>
      <c r="J531" s="47" t="s">
        <v>3103</v>
      </c>
      <c r="K531" s="24" t="s">
        <v>3983</v>
      </c>
      <c r="L531" s="46" t="s">
        <v>3984</v>
      </c>
      <c r="M531" s="24" t="s">
        <v>3972</v>
      </c>
      <c r="N531" s="46" t="s">
        <v>3973</v>
      </c>
      <c r="O531" s="24" t="s">
        <v>3698</v>
      </c>
      <c r="P531" s="46" t="s">
        <v>3699</v>
      </c>
      <c r="Q531" s="46"/>
      <c r="R531" s="47" t="s">
        <v>48</v>
      </c>
      <c r="S531" s="52" t="s">
        <v>2829</v>
      </c>
    </row>
    <row r="532" customFormat="false" ht="15" hidden="false" customHeight="true" outlineLevel="0" collapsed="false">
      <c r="A532" s="49" t="n">
        <v>542</v>
      </c>
      <c r="B532" s="25" t="s">
        <v>3967</v>
      </c>
      <c r="C532" s="50"/>
      <c r="D532" s="50" t="s">
        <v>3968</v>
      </c>
      <c r="E532" s="49" t="s">
        <v>16</v>
      </c>
      <c r="F532" s="49" t="s">
        <v>2104</v>
      </c>
      <c r="G532" s="25" t="s">
        <v>3985</v>
      </c>
      <c r="H532" s="51" t="n">
        <v>5</v>
      </c>
      <c r="I532" s="49"/>
      <c r="J532" s="50" t="s">
        <v>1412</v>
      </c>
      <c r="K532" s="25" t="s">
        <v>1413</v>
      </c>
      <c r="L532" s="49" t="e">
        <f aca="false">#N/A</f>
        <v>#N/A</v>
      </c>
      <c r="M532" s="25" t="s">
        <v>3972</v>
      </c>
      <c r="N532" s="49" t="s">
        <v>3973</v>
      </c>
      <c r="O532" s="25" t="s">
        <v>3698</v>
      </c>
      <c r="P532" s="49" t="s">
        <v>3699</v>
      </c>
      <c r="Q532" s="49"/>
      <c r="R532" s="50" t="s">
        <v>48</v>
      </c>
      <c r="S532" s="52" t="s">
        <v>67</v>
      </c>
    </row>
    <row r="533" customFormat="false" ht="15" hidden="false" customHeight="true" outlineLevel="0" collapsed="false">
      <c r="A533" s="46" t="n">
        <v>543</v>
      </c>
      <c r="B533" s="24" t="s">
        <v>3967</v>
      </c>
      <c r="C533" s="47"/>
      <c r="D533" s="47" t="s">
        <v>3968</v>
      </c>
      <c r="E533" s="46" t="s">
        <v>16</v>
      </c>
      <c r="F533" s="46" t="s">
        <v>2104</v>
      </c>
      <c r="G533" s="24" t="s">
        <v>3986</v>
      </c>
      <c r="H533" s="48" t="n">
        <v>5</v>
      </c>
      <c r="I533" s="46"/>
      <c r="J533" s="47" t="s">
        <v>3103</v>
      </c>
      <c r="K533" s="24" t="s">
        <v>3980</v>
      </c>
      <c r="L533" s="46" t="s">
        <v>3987</v>
      </c>
      <c r="M533" s="24" t="s">
        <v>3972</v>
      </c>
      <c r="N533" s="46" t="s">
        <v>3973</v>
      </c>
      <c r="O533" s="24" t="s">
        <v>3698</v>
      </c>
      <c r="P533" s="46" t="s">
        <v>3699</v>
      </c>
      <c r="Q533" s="46"/>
      <c r="R533" s="47" t="s">
        <v>48</v>
      </c>
      <c r="S533" s="52" t="s">
        <v>2829</v>
      </c>
    </row>
    <row r="534" customFormat="false" ht="15" hidden="false" customHeight="true" outlineLevel="0" collapsed="false">
      <c r="A534" s="49" t="n">
        <v>544</v>
      </c>
      <c r="B534" s="25" t="s">
        <v>3967</v>
      </c>
      <c r="C534" s="50"/>
      <c r="D534" s="50" t="s">
        <v>3968</v>
      </c>
      <c r="E534" s="49" t="s">
        <v>16</v>
      </c>
      <c r="F534" s="49" t="s">
        <v>2104</v>
      </c>
      <c r="G534" s="25" t="s">
        <v>3988</v>
      </c>
      <c r="H534" s="51" t="n">
        <v>5</v>
      </c>
      <c r="I534" s="49"/>
      <c r="J534" s="50" t="s">
        <v>3103</v>
      </c>
      <c r="K534" s="25" t="s">
        <v>3989</v>
      </c>
      <c r="L534" s="49" t="s">
        <v>3990</v>
      </c>
      <c r="M534" s="25" t="s">
        <v>3972</v>
      </c>
      <c r="N534" s="49" t="s">
        <v>3973</v>
      </c>
      <c r="O534" s="25" t="s">
        <v>3698</v>
      </c>
      <c r="P534" s="49" t="s">
        <v>3699</v>
      </c>
      <c r="Q534" s="49"/>
      <c r="R534" s="50" t="s">
        <v>48</v>
      </c>
      <c r="S534" s="52" t="s">
        <v>2829</v>
      </c>
    </row>
    <row r="535" customFormat="false" ht="15" hidden="false" customHeight="true" outlineLevel="0" collapsed="false">
      <c r="A535" s="46" t="n">
        <v>545</v>
      </c>
      <c r="B535" s="24" t="s">
        <v>3967</v>
      </c>
      <c r="C535" s="47"/>
      <c r="D535" s="47" t="s">
        <v>3968</v>
      </c>
      <c r="E535" s="46" t="s">
        <v>16</v>
      </c>
      <c r="F535" s="46" t="s">
        <v>2104</v>
      </c>
      <c r="G535" s="24" t="s">
        <v>3991</v>
      </c>
      <c r="H535" s="48" t="n">
        <v>5</v>
      </c>
      <c r="I535" s="46"/>
      <c r="J535" s="47" t="s">
        <v>1416</v>
      </c>
      <c r="K535" s="24" t="s">
        <v>3992</v>
      </c>
      <c r="L535" s="46" t="s">
        <v>3993</v>
      </c>
      <c r="M535" s="24" t="s">
        <v>3972</v>
      </c>
      <c r="N535" s="46" t="s">
        <v>3973</v>
      </c>
      <c r="O535" s="24" t="s">
        <v>3698</v>
      </c>
      <c r="P535" s="46" t="s">
        <v>3699</v>
      </c>
      <c r="Q535" s="46"/>
      <c r="R535" s="47" t="s">
        <v>48</v>
      </c>
      <c r="S535" s="52" t="s">
        <v>67</v>
      </c>
    </row>
    <row r="536" customFormat="false" ht="15" hidden="false" customHeight="true" outlineLevel="0" collapsed="false">
      <c r="A536" s="49" t="n">
        <v>546</v>
      </c>
      <c r="B536" s="25" t="s">
        <v>3967</v>
      </c>
      <c r="C536" s="50"/>
      <c r="D536" s="50" t="s">
        <v>3968</v>
      </c>
      <c r="E536" s="49" t="s">
        <v>16</v>
      </c>
      <c r="F536" s="49" t="s">
        <v>2104</v>
      </c>
      <c r="G536" s="25" t="s">
        <v>3994</v>
      </c>
      <c r="H536" s="51" t="n">
        <v>5</v>
      </c>
      <c r="I536" s="49"/>
      <c r="J536" s="50" t="s">
        <v>1418</v>
      </c>
      <c r="K536" s="25" t="s">
        <v>3995</v>
      </c>
      <c r="L536" s="49" t="s">
        <v>3996</v>
      </c>
      <c r="M536" s="25" t="s">
        <v>3972</v>
      </c>
      <c r="N536" s="49" t="s">
        <v>3973</v>
      </c>
      <c r="O536" s="25" t="s">
        <v>3698</v>
      </c>
      <c r="P536" s="49" t="s">
        <v>3699</v>
      </c>
      <c r="Q536" s="49"/>
      <c r="R536" s="50" t="s">
        <v>48</v>
      </c>
      <c r="S536" s="52" t="s">
        <v>67</v>
      </c>
    </row>
    <row r="537" customFormat="false" ht="15" hidden="false" customHeight="true" outlineLevel="0" collapsed="false">
      <c r="A537" s="46" t="n">
        <v>547</v>
      </c>
      <c r="B537" s="24" t="s">
        <v>3967</v>
      </c>
      <c r="C537" s="47"/>
      <c r="D537" s="47" t="s">
        <v>3968</v>
      </c>
      <c r="E537" s="46" t="s">
        <v>16</v>
      </c>
      <c r="F537" s="46" t="s">
        <v>2104</v>
      </c>
      <c r="G537" s="24" t="s">
        <v>3997</v>
      </c>
      <c r="H537" s="48" t="n">
        <v>5</v>
      </c>
      <c r="I537" s="46"/>
      <c r="J537" s="47" t="s">
        <v>1420</v>
      </c>
      <c r="K537" s="24" t="s">
        <v>3837</v>
      </c>
      <c r="L537" s="46" t="s">
        <v>3998</v>
      </c>
      <c r="M537" s="24" t="s">
        <v>3972</v>
      </c>
      <c r="N537" s="46" t="s">
        <v>3973</v>
      </c>
      <c r="O537" s="24" t="s">
        <v>3698</v>
      </c>
      <c r="P537" s="46" t="s">
        <v>3699</v>
      </c>
      <c r="Q537" s="46"/>
      <c r="R537" s="47" t="s">
        <v>48</v>
      </c>
      <c r="S537" s="52" t="s">
        <v>67</v>
      </c>
    </row>
    <row r="538" customFormat="false" ht="15" hidden="false" customHeight="true" outlineLevel="0" collapsed="false">
      <c r="A538" s="49" t="n">
        <v>548</v>
      </c>
      <c r="B538" s="25" t="s">
        <v>3967</v>
      </c>
      <c r="C538" s="50"/>
      <c r="D538" s="50" t="s">
        <v>3968</v>
      </c>
      <c r="E538" s="49" t="s">
        <v>16</v>
      </c>
      <c r="F538" s="49" t="s">
        <v>2104</v>
      </c>
      <c r="G538" s="25" t="s">
        <v>3999</v>
      </c>
      <c r="H538" s="51" t="n">
        <v>5</v>
      </c>
      <c r="I538" s="49"/>
      <c r="J538" s="50" t="s">
        <v>1422</v>
      </c>
      <c r="K538" s="25" t="s">
        <v>4000</v>
      </c>
      <c r="L538" s="49" t="s">
        <v>4001</v>
      </c>
      <c r="M538" s="25" t="s">
        <v>3972</v>
      </c>
      <c r="N538" s="49" t="s">
        <v>3973</v>
      </c>
      <c r="O538" s="25" t="s">
        <v>3698</v>
      </c>
      <c r="P538" s="49" t="s">
        <v>3699</v>
      </c>
      <c r="Q538" s="49"/>
      <c r="R538" s="50" t="s">
        <v>48</v>
      </c>
      <c r="S538" s="52" t="s">
        <v>67</v>
      </c>
    </row>
    <row r="539" customFormat="false" ht="15" hidden="false" customHeight="true" outlineLevel="0" collapsed="false">
      <c r="A539" s="46" t="n">
        <v>549</v>
      </c>
      <c r="B539" s="24" t="s">
        <v>3967</v>
      </c>
      <c r="C539" s="47"/>
      <c r="D539" s="47" t="s">
        <v>3968</v>
      </c>
      <c r="E539" s="46" t="s">
        <v>16</v>
      </c>
      <c r="F539" s="46" t="s">
        <v>2104</v>
      </c>
      <c r="G539" s="24" t="s">
        <v>4002</v>
      </c>
      <c r="H539" s="48" t="n">
        <v>5</v>
      </c>
      <c r="I539" s="46"/>
      <c r="J539" s="47" t="s">
        <v>3103</v>
      </c>
      <c r="K539" s="24" t="s">
        <v>4003</v>
      </c>
      <c r="L539" s="46" t="s">
        <v>4004</v>
      </c>
      <c r="M539" s="24" t="s">
        <v>3972</v>
      </c>
      <c r="N539" s="46" t="s">
        <v>3973</v>
      </c>
      <c r="O539" s="24" t="s">
        <v>3698</v>
      </c>
      <c r="P539" s="46" t="s">
        <v>3699</v>
      </c>
      <c r="Q539" s="46"/>
      <c r="R539" s="47" t="s">
        <v>48</v>
      </c>
      <c r="S539" s="52" t="s">
        <v>2829</v>
      </c>
    </row>
    <row r="540" customFormat="false" ht="15" hidden="false" customHeight="true" outlineLevel="0" collapsed="false">
      <c r="A540" s="49" t="n">
        <v>550</v>
      </c>
      <c r="B540" s="25" t="s">
        <v>3967</v>
      </c>
      <c r="C540" s="50"/>
      <c r="D540" s="50" t="s">
        <v>3968</v>
      </c>
      <c r="E540" s="49" t="s">
        <v>16</v>
      </c>
      <c r="F540" s="49" t="s">
        <v>2104</v>
      </c>
      <c r="G540" s="25" t="s">
        <v>4005</v>
      </c>
      <c r="H540" s="51" t="n">
        <v>5</v>
      </c>
      <c r="I540" s="49"/>
      <c r="J540" s="50" t="s">
        <v>3103</v>
      </c>
      <c r="K540" s="25" t="s">
        <v>4006</v>
      </c>
      <c r="L540" s="49" t="s">
        <v>4007</v>
      </c>
      <c r="M540" s="25" t="s">
        <v>3972</v>
      </c>
      <c r="N540" s="49" t="s">
        <v>3973</v>
      </c>
      <c r="O540" s="25" t="s">
        <v>3698</v>
      </c>
      <c r="P540" s="49" t="s">
        <v>3699</v>
      </c>
      <c r="Q540" s="49"/>
      <c r="R540" s="50" t="s">
        <v>48</v>
      </c>
      <c r="S540" s="52" t="s">
        <v>2829</v>
      </c>
    </row>
    <row r="541" customFormat="false" ht="15" hidden="false" customHeight="true" outlineLevel="0" collapsed="false">
      <c r="A541" s="46" t="n">
        <v>551</v>
      </c>
      <c r="B541" s="24" t="s">
        <v>3967</v>
      </c>
      <c r="C541" s="47"/>
      <c r="D541" s="47" t="s">
        <v>3968</v>
      </c>
      <c r="E541" s="46" t="s">
        <v>16</v>
      </c>
      <c r="F541" s="46" t="s">
        <v>2104</v>
      </c>
      <c r="G541" s="24" t="s">
        <v>4008</v>
      </c>
      <c r="H541" s="48" t="n">
        <v>5</v>
      </c>
      <c r="I541" s="46"/>
      <c r="J541" s="47" t="s">
        <v>3103</v>
      </c>
      <c r="K541" s="24" t="s">
        <v>3879</v>
      </c>
      <c r="L541" s="46" t="s">
        <v>3880</v>
      </c>
      <c r="M541" s="24" t="s">
        <v>3972</v>
      </c>
      <c r="N541" s="46" t="s">
        <v>3973</v>
      </c>
      <c r="O541" s="24" t="s">
        <v>3698</v>
      </c>
      <c r="P541" s="46" t="s">
        <v>3699</v>
      </c>
      <c r="Q541" s="46"/>
      <c r="R541" s="47" t="s">
        <v>48</v>
      </c>
      <c r="S541" s="52" t="s">
        <v>2829</v>
      </c>
    </row>
    <row r="542" customFormat="false" ht="15" hidden="false" customHeight="true" outlineLevel="0" collapsed="false">
      <c r="A542" s="49" t="n">
        <v>552</v>
      </c>
      <c r="B542" s="25" t="s">
        <v>3967</v>
      </c>
      <c r="C542" s="50"/>
      <c r="D542" s="50" t="s">
        <v>3968</v>
      </c>
      <c r="E542" s="49" t="s">
        <v>16</v>
      </c>
      <c r="F542" s="49" t="s">
        <v>2104</v>
      </c>
      <c r="G542" s="25" t="s">
        <v>4009</v>
      </c>
      <c r="H542" s="51" t="n">
        <v>5</v>
      </c>
      <c r="I542" s="49"/>
      <c r="J542" s="50" t="s">
        <v>1426</v>
      </c>
      <c r="K542" s="25" t="s">
        <v>4010</v>
      </c>
      <c r="L542" s="49" t="s">
        <v>4011</v>
      </c>
      <c r="M542" s="25" t="s">
        <v>3972</v>
      </c>
      <c r="N542" s="49" t="s">
        <v>3973</v>
      </c>
      <c r="O542" s="25" t="s">
        <v>3698</v>
      </c>
      <c r="P542" s="49" t="s">
        <v>3699</v>
      </c>
      <c r="Q542" s="49"/>
      <c r="R542" s="50" t="s">
        <v>48</v>
      </c>
      <c r="S542" s="52" t="s">
        <v>67</v>
      </c>
    </row>
    <row r="543" customFormat="false" ht="15" hidden="false" customHeight="true" outlineLevel="0" collapsed="false">
      <c r="A543" s="46" t="n">
        <v>553</v>
      </c>
      <c r="B543" s="24" t="s">
        <v>3967</v>
      </c>
      <c r="C543" s="47"/>
      <c r="D543" s="47" t="s">
        <v>3968</v>
      </c>
      <c r="E543" s="46" t="s">
        <v>16</v>
      </c>
      <c r="F543" s="46" t="s">
        <v>2104</v>
      </c>
      <c r="G543" s="24" t="s">
        <v>4012</v>
      </c>
      <c r="H543" s="48" t="n">
        <v>5</v>
      </c>
      <c r="I543" s="46"/>
      <c r="J543" s="47" t="s">
        <v>3103</v>
      </c>
      <c r="K543" s="24" t="s">
        <v>4013</v>
      </c>
      <c r="L543" s="46" t="s">
        <v>4014</v>
      </c>
      <c r="M543" s="24" t="s">
        <v>3972</v>
      </c>
      <c r="N543" s="46" t="s">
        <v>3973</v>
      </c>
      <c r="O543" s="24" t="s">
        <v>3698</v>
      </c>
      <c r="P543" s="46" t="s">
        <v>3699</v>
      </c>
      <c r="Q543" s="46"/>
      <c r="R543" s="47" t="s">
        <v>48</v>
      </c>
      <c r="S543" s="52" t="s">
        <v>2829</v>
      </c>
    </row>
    <row r="544" customFormat="false" ht="15" hidden="false" customHeight="true" outlineLevel="0" collapsed="false">
      <c r="A544" s="49" t="n">
        <v>554</v>
      </c>
      <c r="B544" s="25" t="s">
        <v>3967</v>
      </c>
      <c r="C544" s="50"/>
      <c r="D544" s="50" t="s">
        <v>3968</v>
      </c>
      <c r="E544" s="49" t="s">
        <v>16</v>
      </c>
      <c r="F544" s="49" t="s">
        <v>2104</v>
      </c>
      <c r="G544" s="25" t="s">
        <v>4015</v>
      </c>
      <c r="H544" s="51" t="n">
        <v>5</v>
      </c>
      <c r="I544" s="49"/>
      <c r="J544" s="50" t="s">
        <v>3103</v>
      </c>
      <c r="K544" s="25" t="s">
        <v>4016</v>
      </c>
      <c r="L544" s="49" t="s">
        <v>4017</v>
      </c>
      <c r="M544" s="25" t="s">
        <v>3972</v>
      </c>
      <c r="N544" s="49" t="s">
        <v>3973</v>
      </c>
      <c r="O544" s="25" t="s">
        <v>3698</v>
      </c>
      <c r="P544" s="49" t="s">
        <v>3699</v>
      </c>
      <c r="Q544" s="49"/>
      <c r="R544" s="50" t="s">
        <v>48</v>
      </c>
      <c r="S544" s="52" t="s">
        <v>2829</v>
      </c>
    </row>
    <row r="545" customFormat="false" ht="15" hidden="false" customHeight="true" outlineLevel="0" collapsed="false">
      <c r="A545" s="46" t="n">
        <v>555</v>
      </c>
      <c r="B545" s="24" t="s">
        <v>3967</v>
      </c>
      <c r="C545" s="47"/>
      <c r="D545" s="47" t="s">
        <v>3968</v>
      </c>
      <c r="E545" s="46" t="s">
        <v>16</v>
      </c>
      <c r="F545" s="46" t="s">
        <v>2104</v>
      </c>
      <c r="G545" s="24" t="s">
        <v>4018</v>
      </c>
      <c r="H545" s="48" t="n">
        <v>5</v>
      </c>
      <c r="I545" s="46"/>
      <c r="J545" s="47" t="s">
        <v>1430</v>
      </c>
      <c r="K545" s="24" t="s">
        <v>3980</v>
      </c>
      <c r="L545" s="46" t="s">
        <v>4019</v>
      </c>
      <c r="M545" s="24" t="s">
        <v>3972</v>
      </c>
      <c r="N545" s="46" t="s">
        <v>3973</v>
      </c>
      <c r="O545" s="24" t="s">
        <v>3698</v>
      </c>
      <c r="P545" s="46" t="s">
        <v>3699</v>
      </c>
      <c r="Q545" s="46"/>
      <c r="R545" s="47" t="s">
        <v>48</v>
      </c>
      <c r="S545" s="52" t="s">
        <v>67</v>
      </c>
    </row>
    <row r="546" customFormat="false" ht="15" hidden="false" customHeight="true" outlineLevel="0" collapsed="false">
      <c r="A546" s="49" t="n">
        <v>556</v>
      </c>
      <c r="B546" s="25" t="s">
        <v>3967</v>
      </c>
      <c r="C546" s="50"/>
      <c r="D546" s="50" t="s">
        <v>3968</v>
      </c>
      <c r="E546" s="49" t="s">
        <v>16</v>
      </c>
      <c r="F546" s="49" t="s">
        <v>2104</v>
      </c>
      <c r="G546" s="25" t="s">
        <v>4020</v>
      </c>
      <c r="H546" s="51" t="n">
        <v>5</v>
      </c>
      <c r="I546" s="49"/>
      <c r="J546" s="50" t="s">
        <v>1432</v>
      </c>
      <c r="K546" s="25" t="s">
        <v>4021</v>
      </c>
      <c r="L546" s="49" t="s">
        <v>4022</v>
      </c>
      <c r="M546" s="25" t="s">
        <v>3972</v>
      </c>
      <c r="N546" s="49" t="s">
        <v>3973</v>
      </c>
      <c r="O546" s="25" t="s">
        <v>3698</v>
      </c>
      <c r="P546" s="49" t="s">
        <v>3699</v>
      </c>
      <c r="Q546" s="49"/>
      <c r="R546" s="50" t="s">
        <v>48</v>
      </c>
      <c r="S546" s="52" t="s">
        <v>67</v>
      </c>
    </row>
    <row r="547" customFormat="false" ht="15" hidden="false" customHeight="true" outlineLevel="0" collapsed="false">
      <c r="A547" s="46" t="n">
        <v>557</v>
      </c>
      <c r="B547" s="24" t="s">
        <v>3967</v>
      </c>
      <c r="C547" s="47"/>
      <c r="D547" s="47" t="s">
        <v>3968</v>
      </c>
      <c r="E547" s="46" t="s">
        <v>16</v>
      </c>
      <c r="F547" s="46" t="s">
        <v>2104</v>
      </c>
      <c r="G547" s="24" t="s">
        <v>4023</v>
      </c>
      <c r="H547" s="48" t="n">
        <v>5</v>
      </c>
      <c r="I547" s="46"/>
      <c r="J547" s="47" t="s">
        <v>1434</v>
      </c>
      <c r="K547" s="24" t="s">
        <v>3957</v>
      </c>
      <c r="L547" s="46" t="s">
        <v>4024</v>
      </c>
      <c r="M547" s="24" t="s">
        <v>3972</v>
      </c>
      <c r="N547" s="46" t="s">
        <v>3973</v>
      </c>
      <c r="O547" s="24" t="s">
        <v>3698</v>
      </c>
      <c r="P547" s="46" t="s">
        <v>3699</v>
      </c>
      <c r="Q547" s="46"/>
      <c r="R547" s="47" t="s">
        <v>48</v>
      </c>
      <c r="S547" s="52" t="s">
        <v>67</v>
      </c>
    </row>
    <row r="548" customFormat="false" ht="15" hidden="false" customHeight="true" outlineLevel="0" collapsed="false">
      <c r="A548" s="49" t="n">
        <v>558</v>
      </c>
      <c r="B548" s="25" t="s">
        <v>3967</v>
      </c>
      <c r="C548" s="50"/>
      <c r="D548" s="50" t="s">
        <v>3968</v>
      </c>
      <c r="E548" s="49" t="s">
        <v>16</v>
      </c>
      <c r="F548" s="49" t="s">
        <v>2104</v>
      </c>
      <c r="G548" s="25" t="s">
        <v>4025</v>
      </c>
      <c r="H548" s="51" t="n">
        <v>5</v>
      </c>
      <c r="I548" s="49"/>
      <c r="J548" s="50" t="s">
        <v>1436</v>
      </c>
      <c r="K548" s="25" t="s">
        <v>3831</v>
      </c>
      <c r="L548" s="49" t="s">
        <v>4026</v>
      </c>
      <c r="M548" s="25" t="s">
        <v>3972</v>
      </c>
      <c r="N548" s="49" t="s">
        <v>3973</v>
      </c>
      <c r="O548" s="25" t="s">
        <v>3698</v>
      </c>
      <c r="P548" s="49" t="s">
        <v>3699</v>
      </c>
      <c r="Q548" s="49"/>
      <c r="R548" s="50" t="s">
        <v>48</v>
      </c>
      <c r="S548" s="52" t="s">
        <v>67</v>
      </c>
    </row>
    <row r="549" customFormat="false" ht="15" hidden="false" customHeight="true" outlineLevel="0" collapsed="false">
      <c r="A549" s="46" t="n">
        <v>559</v>
      </c>
      <c r="B549" s="24" t="s">
        <v>4027</v>
      </c>
      <c r="C549" s="47"/>
      <c r="D549" s="47" t="s">
        <v>3968</v>
      </c>
      <c r="E549" s="46" t="s">
        <v>16</v>
      </c>
      <c r="F549" s="46" t="s">
        <v>2104</v>
      </c>
      <c r="G549" s="24" t="s">
        <v>4028</v>
      </c>
      <c r="H549" s="48" t="n">
        <v>5</v>
      </c>
      <c r="I549" s="46"/>
      <c r="J549" s="47" t="s">
        <v>3103</v>
      </c>
      <c r="K549" s="24" t="s">
        <v>4029</v>
      </c>
      <c r="L549" s="46" t="s">
        <v>4030</v>
      </c>
      <c r="M549" s="24" t="s">
        <v>3972</v>
      </c>
      <c r="N549" s="46" t="s">
        <v>3973</v>
      </c>
      <c r="O549" s="24" t="s">
        <v>3698</v>
      </c>
      <c r="P549" s="46" t="s">
        <v>3699</v>
      </c>
      <c r="Q549" s="46"/>
      <c r="R549" s="47" t="s">
        <v>48</v>
      </c>
      <c r="S549" s="52" t="s">
        <v>2829</v>
      </c>
    </row>
    <row r="550" customFormat="false" ht="15" hidden="false" customHeight="true" outlineLevel="0" collapsed="false">
      <c r="A550" s="49" t="n">
        <v>560</v>
      </c>
      <c r="B550" s="25" t="s">
        <v>4027</v>
      </c>
      <c r="C550" s="50"/>
      <c r="D550" s="50" t="s">
        <v>3968</v>
      </c>
      <c r="E550" s="49" t="s">
        <v>16</v>
      </c>
      <c r="F550" s="49" t="s">
        <v>2104</v>
      </c>
      <c r="G550" s="25" t="s">
        <v>4031</v>
      </c>
      <c r="H550" s="51" t="n">
        <v>5</v>
      </c>
      <c r="I550" s="49"/>
      <c r="J550" s="50" t="s">
        <v>4032</v>
      </c>
      <c r="K550" s="25" t="s">
        <v>4033</v>
      </c>
      <c r="L550" s="49" t="s">
        <v>4034</v>
      </c>
      <c r="M550" s="25" t="s">
        <v>3972</v>
      </c>
      <c r="N550" s="49" t="s">
        <v>3973</v>
      </c>
      <c r="O550" s="25" t="s">
        <v>3698</v>
      </c>
      <c r="P550" s="49" t="s">
        <v>3699</v>
      </c>
      <c r="Q550" s="49"/>
      <c r="R550" s="50" t="s">
        <v>48</v>
      </c>
      <c r="S550" s="52" t="s">
        <v>67</v>
      </c>
    </row>
    <row r="551" customFormat="false" ht="15" hidden="false" customHeight="true" outlineLevel="0" collapsed="false">
      <c r="A551" s="46" t="n">
        <v>561</v>
      </c>
      <c r="B551" s="24" t="s">
        <v>4027</v>
      </c>
      <c r="C551" s="47"/>
      <c r="D551" s="47" t="s">
        <v>3968</v>
      </c>
      <c r="E551" s="46" t="s">
        <v>16</v>
      </c>
      <c r="F551" s="46" t="s">
        <v>2104</v>
      </c>
      <c r="G551" s="24" t="s">
        <v>4035</v>
      </c>
      <c r="H551" s="48" t="n">
        <v>5</v>
      </c>
      <c r="I551" s="46"/>
      <c r="J551" s="47" t="s">
        <v>1442</v>
      </c>
      <c r="K551" s="24" t="s">
        <v>4036</v>
      </c>
      <c r="L551" s="46" t="s">
        <v>4037</v>
      </c>
      <c r="M551" s="24" t="s">
        <v>3972</v>
      </c>
      <c r="N551" s="46" t="s">
        <v>3973</v>
      </c>
      <c r="O551" s="24" t="s">
        <v>3698</v>
      </c>
      <c r="P551" s="46" t="s">
        <v>3699</v>
      </c>
      <c r="Q551" s="46"/>
      <c r="R551" s="47" t="s">
        <v>48</v>
      </c>
      <c r="S551" s="52" t="s">
        <v>67</v>
      </c>
    </row>
    <row r="552" customFormat="false" ht="15" hidden="false" customHeight="true" outlineLevel="0" collapsed="false">
      <c r="A552" s="49" t="n">
        <v>562</v>
      </c>
      <c r="B552" s="25" t="s">
        <v>4027</v>
      </c>
      <c r="C552" s="50"/>
      <c r="D552" s="50" t="s">
        <v>3968</v>
      </c>
      <c r="E552" s="49" t="s">
        <v>16</v>
      </c>
      <c r="F552" s="49" t="s">
        <v>2104</v>
      </c>
      <c r="G552" s="25" t="s">
        <v>4038</v>
      </c>
      <c r="H552" s="51" t="n">
        <v>5</v>
      </c>
      <c r="I552" s="49"/>
      <c r="J552" s="50" t="s">
        <v>1444</v>
      </c>
      <c r="K552" s="25" t="s">
        <v>3980</v>
      </c>
      <c r="L552" s="49" t="s">
        <v>4039</v>
      </c>
      <c r="M552" s="25" t="s">
        <v>3972</v>
      </c>
      <c r="N552" s="49" t="s">
        <v>3973</v>
      </c>
      <c r="O552" s="25" t="s">
        <v>3698</v>
      </c>
      <c r="P552" s="49" t="s">
        <v>3699</v>
      </c>
      <c r="Q552" s="49"/>
      <c r="R552" s="50" t="s">
        <v>48</v>
      </c>
      <c r="S552" s="52" t="s">
        <v>67</v>
      </c>
    </row>
    <row r="553" customFormat="false" ht="15" hidden="false" customHeight="true" outlineLevel="0" collapsed="false">
      <c r="A553" s="46" t="n">
        <v>563</v>
      </c>
      <c r="B553" s="24" t="s">
        <v>4027</v>
      </c>
      <c r="C553" s="47"/>
      <c r="D553" s="47" t="s">
        <v>3968</v>
      </c>
      <c r="E553" s="46" t="s">
        <v>16</v>
      </c>
      <c r="F553" s="46" t="s">
        <v>2104</v>
      </c>
      <c r="G553" s="24" t="s">
        <v>4040</v>
      </c>
      <c r="H553" s="48" t="n">
        <v>5</v>
      </c>
      <c r="I553" s="46"/>
      <c r="J553" s="47" t="s">
        <v>1446</v>
      </c>
      <c r="K553" s="24" t="s">
        <v>4041</v>
      </c>
      <c r="L553" s="46" t="s">
        <v>4042</v>
      </c>
      <c r="M553" s="24" t="s">
        <v>3972</v>
      </c>
      <c r="N553" s="46" t="s">
        <v>3973</v>
      </c>
      <c r="O553" s="24" t="s">
        <v>3698</v>
      </c>
      <c r="P553" s="46" t="s">
        <v>3699</v>
      </c>
      <c r="Q553" s="46"/>
      <c r="R553" s="47" t="s">
        <v>48</v>
      </c>
      <c r="S553" s="52" t="s">
        <v>67</v>
      </c>
    </row>
    <row r="554" customFormat="false" ht="15" hidden="false" customHeight="true" outlineLevel="0" collapsed="false">
      <c r="A554" s="49" t="n">
        <v>564</v>
      </c>
      <c r="B554" s="25" t="s">
        <v>4027</v>
      </c>
      <c r="C554" s="50"/>
      <c r="D554" s="50" t="s">
        <v>3968</v>
      </c>
      <c r="E554" s="49" t="s">
        <v>16</v>
      </c>
      <c r="F554" s="49" t="s">
        <v>2104</v>
      </c>
      <c r="G554" s="25" t="s">
        <v>4043</v>
      </c>
      <c r="H554" s="51" t="n">
        <v>5</v>
      </c>
      <c r="I554" s="49"/>
      <c r="J554" s="50" t="s">
        <v>1448</v>
      </c>
      <c r="K554" s="25" t="s">
        <v>4044</v>
      </c>
      <c r="L554" s="49" t="s">
        <v>4045</v>
      </c>
      <c r="M554" s="25" t="s">
        <v>3972</v>
      </c>
      <c r="N554" s="49" t="s">
        <v>3973</v>
      </c>
      <c r="O554" s="25" t="s">
        <v>3698</v>
      </c>
      <c r="P554" s="49" t="s">
        <v>3699</v>
      </c>
      <c r="Q554" s="49"/>
      <c r="R554" s="50" t="s">
        <v>48</v>
      </c>
      <c r="S554" s="52" t="s">
        <v>67</v>
      </c>
    </row>
    <row r="555" customFormat="false" ht="15" hidden="false" customHeight="true" outlineLevel="0" collapsed="false">
      <c r="A555" s="46" t="n">
        <v>565</v>
      </c>
      <c r="B555" s="24" t="s">
        <v>4027</v>
      </c>
      <c r="C555" s="47"/>
      <c r="D555" s="47" t="s">
        <v>3968</v>
      </c>
      <c r="E555" s="46" t="s">
        <v>16</v>
      </c>
      <c r="F555" s="46" t="s">
        <v>2104</v>
      </c>
      <c r="G555" s="24" t="s">
        <v>4046</v>
      </c>
      <c r="H555" s="48" t="n">
        <v>5</v>
      </c>
      <c r="I555" s="46"/>
      <c r="J555" s="47" t="s">
        <v>1450</v>
      </c>
      <c r="K555" s="24" t="s">
        <v>4047</v>
      </c>
      <c r="L555" s="46" t="s">
        <v>4048</v>
      </c>
      <c r="M555" s="24" t="s">
        <v>3972</v>
      </c>
      <c r="N555" s="46" t="s">
        <v>3973</v>
      </c>
      <c r="O555" s="24" t="s">
        <v>3698</v>
      </c>
      <c r="P555" s="46" t="s">
        <v>3699</v>
      </c>
      <c r="Q555" s="46"/>
      <c r="R555" s="47" t="s">
        <v>48</v>
      </c>
      <c r="S555" s="52" t="s">
        <v>67</v>
      </c>
    </row>
    <row r="556" customFormat="false" ht="15" hidden="false" customHeight="true" outlineLevel="0" collapsed="false">
      <c r="A556" s="49" t="n">
        <v>566</v>
      </c>
      <c r="B556" s="25" t="s">
        <v>4027</v>
      </c>
      <c r="C556" s="50"/>
      <c r="D556" s="50" t="s">
        <v>3968</v>
      </c>
      <c r="E556" s="49" t="s">
        <v>16</v>
      </c>
      <c r="F556" s="49" t="s">
        <v>2104</v>
      </c>
      <c r="G556" s="25" t="s">
        <v>4049</v>
      </c>
      <c r="H556" s="51" t="n">
        <v>5</v>
      </c>
      <c r="I556" s="49"/>
      <c r="J556" s="50" t="s">
        <v>1452</v>
      </c>
      <c r="K556" s="25" t="s">
        <v>4050</v>
      </c>
      <c r="L556" s="49" t="s">
        <v>4051</v>
      </c>
      <c r="M556" s="25" t="s">
        <v>3972</v>
      </c>
      <c r="N556" s="49" t="s">
        <v>3973</v>
      </c>
      <c r="O556" s="25" t="s">
        <v>3698</v>
      </c>
      <c r="P556" s="49" t="s">
        <v>3699</v>
      </c>
      <c r="Q556" s="49"/>
      <c r="R556" s="50" t="s">
        <v>48</v>
      </c>
      <c r="S556" s="52" t="s">
        <v>67</v>
      </c>
    </row>
    <row r="557" customFormat="false" ht="15" hidden="false" customHeight="true" outlineLevel="0" collapsed="false">
      <c r="A557" s="46" t="n">
        <v>567</v>
      </c>
      <c r="B557" s="24" t="s">
        <v>4027</v>
      </c>
      <c r="C557" s="47"/>
      <c r="D557" s="47" t="s">
        <v>3968</v>
      </c>
      <c r="E557" s="46" t="s">
        <v>16</v>
      </c>
      <c r="F557" s="46" t="s">
        <v>2104</v>
      </c>
      <c r="G557" s="24" t="s">
        <v>4052</v>
      </c>
      <c r="H557" s="48" t="n">
        <v>5</v>
      </c>
      <c r="I557" s="46"/>
      <c r="J557" s="47" t="s">
        <v>1454</v>
      </c>
      <c r="K557" s="24" t="s">
        <v>4053</v>
      </c>
      <c r="L557" s="46" t="s">
        <v>3880</v>
      </c>
      <c r="M557" s="24" t="s">
        <v>3972</v>
      </c>
      <c r="N557" s="46" t="s">
        <v>3973</v>
      </c>
      <c r="O557" s="24" t="s">
        <v>3698</v>
      </c>
      <c r="P557" s="46" t="s">
        <v>3699</v>
      </c>
      <c r="Q557" s="46"/>
      <c r="R557" s="47" t="s">
        <v>48</v>
      </c>
      <c r="S557" s="52" t="s">
        <v>67</v>
      </c>
    </row>
    <row r="558" customFormat="false" ht="15" hidden="false" customHeight="true" outlineLevel="0" collapsed="false">
      <c r="A558" s="49" t="n">
        <v>568</v>
      </c>
      <c r="B558" s="25" t="s">
        <v>4027</v>
      </c>
      <c r="C558" s="50"/>
      <c r="D558" s="50" t="s">
        <v>3968</v>
      </c>
      <c r="E558" s="49" t="s">
        <v>16</v>
      </c>
      <c r="F558" s="49" t="s">
        <v>2104</v>
      </c>
      <c r="G558" s="25" t="s">
        <v>4054</v>
      </c>
      <c r="H558" s="51" t="n">
        <v>5</v>
      </c>
      <c r="I558" s="49"/>
      <c r="J558" s="50" t="s">
        <v>1456</v>
      </c>
      <c r="K558" s="25" t="s">
        <v>4055</v>
      </c>
      <c r="L558" s="49" t="s">
        <v>3880</v>
      </c>
      <c r="M558" s="25" t="s">
        <v>3972</v>
      </c>
      <c r="N558" s="49" t="s">
        <v>3973</v>
      </c>
      <c r="O558" s="25" t="s">
        <v>3698</v>
      </c>
      <c r="P558" s="49" t="s">
        <v>3699</v>
      </c>
      <c r="Q558" s="49"/>
      <c r="R558" s="50" t="s">
        <v>48</v>
      </c>
      <c r="S558" s="52" t="s">
        <v>67</v>
      </c>
    </row>
    <row r="559" customFormat="false" ht="15" hidden="false" customHeight="true" outlineLevel="0" collapsed="false">
      <c r="A559" s="46" t="n">
        <v>569</v>
      </c>
      <c r="B559" s="24" t="s">
        <v>4027</v>
      </c>
      <c r="C559" s="47"/>
      <c r="D559" s="47" t="s">
        <v>3968</v>
      </c>
      <c r="E559" s="46" t="s">
        <v>16</v>
      </c>
      <c r="F559" s="46" t="s">
        <v>2104</v>
      </c>
      <c r="G559" s="24" t="s">
        <v>4056</v>
      </c>
      <c r="H559" s="48" t="n">
        <v>5</v>
      </c>
      <c r="I559" s="46"/>
      <c r="J559" s="47" t="s">
        <v>1458</v>
      </c>
      <c r="K559" s="24" t="s">
        <v>4057</v>
      </c>
      <c r="L559" s="46" t="s">
        <v>4058</v>
      </c>
      <c r="M559" s="24" t="s">
        <v>3972</v>
      </c>
      <c r="N559" s="46" t="s">
        <v>3973</v>
      </c>
      <c r="O559" s="24" t="s">
        <v>3698</v>
      </c>
      <c r="P559" s="46" t="s">
        <v>3699</v>
      </c>
      <c r="Q559" s="46"/>
      <c r="R559" s="47" t="s">
        <v>48</v>
      </c>
      <c r="S559" s="52" t="s">
        <v>67</v>
      </c>
    </row>
    <row r="560" customFormat="false" ht="15" hidden="false" customHeight="true" outlineLevel="0" collapsed="false">
      <c r="A560" s="49" t="n">
        <v>570</v>
      </c>
      <c r="B560" s="25" t="s">
        <v>4027</v>
      </c>
      <c r="C560" s="50"/>
      <c r="D560" s="50" t="s">
        <v>3968</v>
      </c>
      <c r="E560" s="49" t="s">
        <v>16</v>
      </c>
      <c r="F560" s="49" t="s">
        <v>2104</v>
      </c>
      <c r="G560" s="25" t="s">
        <v>4059</v>
      </c>
      <c r="H560" s="51" t="n">
        <v>5</v>
      </c>
      <c r="I560" s="49"/>
      <c r="J560" s="50" t="s">
        <v>1460</v>
      </c>
      <c r="K560" s="25" t="s">
        <v>4060</v>
      </c>
      <c r="L560" s="49" t="s">
        <v>4061</v>
      </c>
      <c r="M560" s="25" t="s">
        <v>3972</v>
      </c>
      <c r="N560" s="49" t="s">
        <v>3973</v>
      </c>
      <c r="O560" s="25" t="s">
        <v>3698</v>
      </c>
      <c r="P560" s="49" t="s">
        <v>3699</v>
      </c>
      <c r="Q560" s="49"/>
      <c r="R560" s="50" t="s">
        <v>48</v>
      </c>
      <c r="S560" s="52" t="s">
        <v>67</v>
      </c>
    </row>
    <row r="561" customFormat="false" ht="15" hidden="false" customHeight="true" outlineLevel="0" collapsed="false">
      <c r="A561" s="46" t="n">
        <v>571</v>
      </c>
      <c r="B561" s="24" t="s">
        <v>4027</v>
      </c>
      <c r="C561" s="47"/>
      <c r="D561" s="47" t="s">
        <v>3968</v>
      </c>
      <c r="E561" s="46" t="s">
        <v>16</v>
      </c>
      <c r="F561" s="46" t="s">
        <v>2104</v>
      </c>
      <c r="G561" s="24" t="s">
        <v>4062</v>
      </c>
      <c r="H561" s="48" t="n">
        <v>5</v>
      </c>
      <c r="I561" s="46"/>
      <c r="J561" s="47" t="s">
        <v>1462</v>
      </c>
      <c r="K561" s="24" t="s">
        <v>4063</v>
      </c>
      <c r="L561" s="46" t="s">
        <v>4064</v>
      </c>
      <c r="M561" s="24" t="s">
        <v>3972</v>
      </c>
      <c r="N561" s="46" t="s">
        <v>3973</v>
      </c>
      <c r="O561" s="24" t="s">
        <v>3698</v>
      </c>
      <c r="P561" s="46" t="s">
        <v>3699</v>
      </c>
      <c r="Q561" s="46"/>
      <c r="R561" s="47" t="s">
        <v>48</v>
      </c>
      <c r="S561" s="52" t="s">
        <v>67</v>
      </c>
    </row>
    <row r="562" customFormat="false" ht="15" hidden="false" customHeight="true" outlineLevel="0" collapsed="false">
      <c r="A562" s="49" t="n">
        <v>572</v>
      </c>
      <c r="B562" s="25" t="s">
        <v>3967</v>
      </c>
      <c r="C562" s="50"/>
      <c r="D562" s="50" t="s">
        <v>3968</v>
      </c>
      <c r="E562" s="49" t="s">
        <v>16</v>
      </c>
      <c r="F562" s="49" t="s">
        <v>2104</v>
      </c>
      <c r="G562" s="25" t="s">
        <v>4065</v>
      </c>
      <c r="H562" s="51" t="n">
        <v>5</v>
      </c>
      <c r="I562" s="49"/>
      <c r="J562" s="50" t="s">
        <v>1464</v>
      </c>
      <c r="K562" s="25" t="s">
        <v>4066</v>
      </c>
      <c r="L562" s="49" t="s">
        <v>4064</v>
      </c>
      <c r="M562" s="25" t="s">
        <v>3972</v>
      </c>
      <c r="N562" s="49" t="s">
        <v>3973</v>
      </c>
      <c r="O562" s="25" t="s">
        <v>3698</v>
      </c>
      <c r="P562" s="49" t="s">
        <v>3699</v>
      </c>
      <c r="Q562" s="49"/>
      <c r="R562" s="50" t="s">
        <v>48</v>
      </c>
      <c r="S562" s="52" t="s">
        <v>67</v>
      </c>
    </row>
    <row r="563" customFormat="false" ht="15" hidden="false" customHeight="true" outlineLevel="0" collapsed="false">
      <c r="A563" s="46" t="n">
        <v>573</v>
      </c>
      <c r="B563" s="24" t="s">
        <v>3967</v>
      </c>
      <c r="C563" s="47"/>
      <c r="D563" s="47" t="s">
        <v>3968</v>
      </c>
      <c r="E563" s="46" t="s">
        <v>16</v>
      </c>
      <c r="F563" s="46" t="s">
        <v>2104</v>
      </c>
      <c r="G563" s="24" t="s">
        <v>4067</v>
      </c>
      <c r="H563" s="48" t="n">
        <v>5</v>
      </c>
      <c r="I563" s="46"/>
      <c r="J563" s="47" t="s">
        <v>1466</v>
      </c>
      <c r="K563" s="24" t="s">
        <v>4068</v>
      </c>
      <c r="L563" s="46" t="s">
        <v>4069</v>
      </c>
      <c r="M563" s="24" t="s">
        <v>3972</v>
      </c>
      <c r="N563" s="46" t="s">
        <v>3973</v>
      </c>
      <c r="O563" s="24" t="s">
        <v>3698</v>
      </c>
      <c r="P563" s="46" t="s">
        <v>3699</v>
      </c>
      <c r="Q563" s="46"/>
      <c r="R563" s="47" t="s">
        <v>48</v>
      </c>
      <c r="S563" s="52" t="s">
        <v>67</v>
      </c>
    </row>
    <row r="564" customFormat="false" ht="15" hidden="false" customHeight="true" outlineLevel="0" collapsed="false">
      <c r="A564" s="49" t="n">
        <v>574</v>
      </c>
      <c r="B564" s="25" t="s">
        <v>3967</v>
      </c>
      <c r="C564" s="50"/>
      <c r="D564" s="50" t="s">
        <v>3968</v>
      </c>
      <c r="E564" s="49" t="s">
        <v>16</v>
      </c>
      <c r="F564" s="49" t="s">
        <v>2104</v>
      </c>
      <c r="G564" s="25" t="s">
        <v>4070</v>
      </c>
      <c r="H564" s="51" t="n">
        <v>5</v>
      </c>
      <c r="I564" s="49"/>
      <c r="J564" s="50" t="s">
        <v>1468</v>
      </c>
      <c r="K564" s="25" t="s">
        <v>4071</v>
      </c>
      <c r="L564" s="49" t="s">
        <v>4072</v>
      </c>
      <c r="M564" s="25" t="s">
        <v>3972</v>
      </c>
      <c r="N564" s="49" t="s">
        <v>3973</v>
      </c>
      <c r="O564" s="25" t="s">
        <v>3698</v>
      </c>
      <c r="P564" s="49" t="s">
        <v>3699</v>
      </c>
      <c r="Q564" s="49"/>
      <c r="R564" s="50" t="s">
        <v>48</v>
      </c>
      <c r="S564" s="52" t="s">
        <v>67</v>
      </c>
    </row>
    <row r="565" customFormat="false" ht="15" hidden="false" customHeight="true" outlineLevel="0" collapsed="false">
      <c r="A565" s="46" t="n">
        <v>575</v>
      </c>
      <c r="B565" s="24" t="s">
        <v>3967</v>
      </c>
      <c r="C565" s="47"/>
      <c r="D565" s="47" t="s">
        <v>3968</v>
      </c>
      <c r="E565" s="46" t="s">
        <v>16</v>
      </c>
      <c r="F565" s="46" t="s">
        <v>2104</v>
      </c>
      <c r="G565" s="24" t="s">
        <v>4073</v>
      </c>
      <c r="H565" s="48" t="n">
        <v>5</v>
      </c>
      <c r="I565" s="46"/>
      <c r="J565" s="47" t="s">
        <v>1470</v>
      </c>
      <c r="K565" s="24" t="s">
        <v>3779</v>
      </c>
      <c r="L565" s="46" t="s">
        <v>4074</v>
      </c>
      <c r="M565" s="24" t="s">
        <v>3972</v>
      </c>
      <c r="N565" s="46" t="s">
        <v>3973</v>
      </c>
      <c r="O565" s="24" t="s">
        <v>3698</v>
      </c>
      <c r="P565" s="46" t="s">
        <v>3699</v>
      </c>
      <c r="Q565" s="46"/>
      <c r="R565" s="47" t="s">
        <v>48</v>
      </c>
      <c r="S565" s="52" t="s">
        <v>67</v>
      </c>
    </row>
    <row r="566" customFormat="false" ht="15" hidden="false" customHeight="true" outlineLevel="0" collapsed="false">
      <c r="A566" s="49" t="n">
        <v>576</v>
      </c>
      <c r="B566" s="25" t="s">
        <v>3967</v>
      </c>
      <c r="C566" s="50"/>
      <c r="D566" s="50" t="s">
        <v>3968</v>
      </c>
      <c r="E566" s="49" t="s">
        <v>16</v>
      </c>
      <c r="F566" s="49" t="s">
        <v>2104</v>
      </c>
      <c r="G566" s="25" t="s">
        <v>4075</v>
      </c>
      <c r="H566" s="51" t="n">
        <v>5</v>
      </c>
      <c r="I566" s="49"/>
      <c r="J566" s="50" t="s">
        <v>1472</v>
      </c>
      <c r="K566" s="25" t="s">
        <v>4076</v>
      </c>
      <c r="L566" s="49" t="s">
        <v>4077</v>
      </c>
      <c r="M566" s="25" t="s">
        <v>3972</v>
      </c>
      <c r="N566" s="49" t="s">
        <v>3973</v>
      </c>
      <c r="O566" s="25" t="s">
        <v>3698</v>
      </c>
      <c r="P566" s="49" t="s">
        <v>3699</v>
      </c>
      <c r="Q566" s="49"/>
      <c r="R566" s="50" t="s">
        <v>48</v>
      </c>
      <c r="S566" s="52" t="s">
        <v>67</v>
      </c>
    </row>
    <row r="567" customFormat="false" ht="15" hidden="false" customHeight="true" outlineLevel="0" collapsed="false">
      <c r="A567" s="46" t="n">
        <v>577</v>
      </c>
      <c r="B567" s="24" t="s">
        <v>3967</v>
      </c>
      <c r="C567" s="47"/>
      <c r="D567" s="47" t="s">
        <v>3968</v>
      </c>
      <c r="E567" s="46" t="s">
        <v>16</v>
      </c>
      <c r="F567" s="46" t="s">
        <v>2104</v>
      </c>
      <c r="G567" s="24" t="s">
        <v>4078</v>
      </c>
      <c r="H567" s="48" t="n">
        <v>5</v>
      </c>
      <c r="I567" s="46"/>
      <c r="J567" s="47" t="s">
        <v>3103</v>
      </c>
      <c r="K567" s="24" t="s">
        <v>4079</v>
      </c>
      <c r="L567" s="46" t="s">
        <v>4080</v>
      </c>
      <c r="M567" s="24" t="s">
        <v>3972</v>
      </c>
      <c r="N567" s="46" t="s">
        <v>3973</v>
      </c>
      <c r="O567" s="24" t="s">
        <v>3698</v>
      </c>
      <c r="P567" s="46" t="s">
        <v>3699</v>
      </c>
      <c r="Q567" s="46"/>
      <c r="R567" s="47" t="s">
        <v>48</v>
      </c>
      <c r="S567" s="52" t="s">
        <v>2829</v>
      </c>
    </row>
    <row r="568" customFormat="false" ht="15" hidden="false" customHeight="true" outlineLevel="0" collapsed="false">
      <c r="A568" s="49" t="n">
        <v>578</v>
      </c>
      <c r="B568" s="25" t="s">
        <v>4081</v>
      </c>
      <c r="C568" s="50"/>
      <c r="D568" s="50" t="s">
        <v>2144</v>
      </c>
      <c r="E568" s="49" t="s">
        <v>16</v>
      </c>
      <c r="F568" s="49" t="s">
        <v>2104</v>
      </c>
      <c r="G568" s="25" t="s">
        <v>4082</v>
      </c>
      <c r="H568" s="51" t="n">
        <v>5</v>
      </c>
      <c r="I568" s="49"/>
      <c r="J568" s="50" t="s">
        <v>3103</v>
      </c>
      <c r="K568" s="25" t="s">
        <v>1476</v>
      </c>
      <c r="L568" s="49" t="e">
        <f aca="false">#N/A</f>
        <v>#N/A</v>
      </c>
      <c r="M568" s="25" t="s">
        <v>4083</v>
      </c>
      <c r="N568" s="49" t="s">
        <v>4084</v>
      </c>
      <c r="O568" s="25" t="s">
        <v>3698</v>
      </c>
      <c r="P568" s="49" t="s">
        <v>3699</v>
      </c>
      <c r="Q568" s="49"/>
      <c r="R568" s="50" t="s">
        <v>48</v>
      </c>
      <c r="S568" s="52" t="s">
        <v>2829</v>
      </c>
    </row>
    <row r="569" customFormat="false" ht="15" hidden="false" customHeight="true" outlineLevel="0" collapsed="false">
      <c r="A569" s="46" t="n">
        <v>579</v>
      </c>
      <c r="B569" s="24" t="s">
        <v>4085</v>
      </c>
      <c r="C569" s="47"/>
      <c r="D569" s="47" t="s">
        <v>2144</v>
      </c>
      <c r="E569" s="46" t="s">
        <v>16</v>
      </c>
      <c r="F569" s="46" t="s">
        <v>2104</v>
      </c>
      <c r="G569" s="24" t="s">
        <v>4086</v>
      </c>
      <c r="H569" s="48" t="n">
        <v>5</v>
      </c>
      <c r="I569" s="46"/>
      <c r="J569" s="47" t="s">
        <v>3103</v>
      </c>
      <c r="K569" s="24" t="s">
        <v>1479</v>
      </c>
      <c r="L569" s="46" t="e">
        <f aca="false">#N/A</f>
        <v>#N/A</v>
      </c>
      <c r="M569" s="24" t="s">
        <v>4083</v>
      </c>
      <c r="N569" s="46" t="s">
        <v>4084</v>
      </c>
      <c r="O569" s="24" t="s">
        <v>3698</v>
      </c>
      <c r="P569" s="46" t="s">
        <v>3699</v>
      </c>
      <c r="Q569" s="46"/>
      <c r="R569" s="47" t="s">
        <v>48</v>
      </c>
      <c r="S569" s="52" t="s">
        <v>2829</v>
      </c>
    </row>
    <row r="570" customFormat="false" ht="15" hidden="false" customHeight="true" outlineLevel="0" collapsed="false">
      <c r="A570" s="49" t="n">
        <v>580</v>
      </c>
      <c r="B570" s="25" t="s">
        <v>4085</v>
      </c>
      <c r="C570" s="50"/>
      <c r="D570" s="50" t="s">
        <v>2144</v>
      </c>
      <c r="E570" s="49" t="s">
        <v>16</v>
      </c>
      <c r="F570" s="49" t="s">
        <v>2104</v>
      </c>
      <c r="G570" s="25" t="s">
        <v>4087</v>
      </c>
      <c r="H570" s="51" t="n">
        <v>5</v>
      </c>
      <c r="I570" s="49"/>
      <c r="J570" s="50" t="s">
        <v>3103</v>
      </c>
      <c r="K570" s="25" t="s">
        <v>1479</v>
      </c>
      <c r="L570" s="49" t="e">
        <f aca="false">#N/A</f>
        <v>#N/A</v>
      </c>
      <c r="M570" s="25" t="s">
        <v>4083</v>
      </c>
      <c r="N570" s="49" t="s">
        <v>4084</v>
      </c>
      <c r="O570" s="25" t="s">
        <v>3698</v>
      </c>
      <c r="P570" s="49" t="s">
        <v>3699</v>
      </c>
      <c r="Q570" s="49"/>
      <c r="R570" s="50" t="s">
        <v>48</v>
      </c>
      <c r="S570" s="52" t="s">
        <v>2829</v>
      </c>
    </row>
    <row r="571" customFormat="false" ht="15" hidden="false" customHeight="true" outlineLevel="0" collapsed="false">
      <c r="A571" s="46" t="n">
        <v>581</v>
      </c>
      <c r="B571" s="24" t="s">
        <v>4085</v>
      </c>
      <c r="C571" s="47"/>
      <c r="D571" s="47" t="s">
        <v>2144</v>
      </c>
      <c r="E571" s="46" t="s">
        <v>16</v>
      </c>
      <c r="F571" s="46" t="s">
        <v>2104</v>
      </c>
      <c r="G571" s="24" t="s">
        <v>4088</v>
      </c>
      <c r="H571" s="48" t="n">
        <v>5</v>
      </c>
      <c r="I571" s="46"/>
      <c r="J571" s="47" t="s">
        <v>3103</v>
      </c>
      <c r="K571" s="24" t="s">
        <v>1479</v>
      </c>
      <c r="L571" s="46" t="e">
        <f aca="false">#N/A</f>
        <v>#N/A</v>
      </c>
      <c r="M571" s="24" t="s">
        <v>4083</v>
      </c>
      <c r="N571" s="46" t="s">
        <v>4084</v>
      </c>
      <c r="O571" s="24" t="s">
        <v>3698</v>
      </c>
      <c r="P571" s="46" t="s">
        <v>3699</v>
      </c>
      <c r="Q571" s="46"/>
      <c r="R571" s="47" t="s">
        <v>48</v>
      </c>
      <c r="S571" s="52" t="s">
        <v>2829</v>
      </c>
    </row>
    <row r="572" customFormat="false" ht="15" hidden="false" customHeight="true" outlineLevel="0" collapsed="false">
      <c r="A572" s="49" t="n">
        <v>582</v>
      </c>
      <c r="B572" s="25" t="s">
        <v>4089</v>
      </c>
      <c r="C572" s="50"/>
      <c r="D572" s="50" t="s">
        <v>2144</v>
      </c>
      <c r="E572" s="49" t="s">
        <v>16</v>
      </c>
      <c r="F572" s="49" t="s">
        <v>2104</v>
      </c>
      <c r="G572" s="25" t="s">
        <v>4090</v>
      </c>
      <c r="H572" s="51" t="n">
        <v>5</v>
      </c>
      <c r="I572" s="49"/>
      <c r="J572" s="50" t="s">
        <v>3103</v>
      </c>
      <c r="K572" s="25" t="s">
        <v>1479</v>
      </c>
      <c r="L572" s="49" t="e">
        <f aca="false">#N/A</f>
        <v>#N/A</v>
      </c>
      <c r="M572" s="25" t="s">
        <v>4083</v>
      </c>
      <c r="N572" s="49" t="s">
        <v>4084</v>
      </c>
      <c r="O572" s="25" t="s">
        <v>3698</v>
      </c>
      <c r="P572" s="49" t="s">
        <v>3699</v>
      </c>
      <c r="Q572" s="49"/>
      <c r="R572" s="50" t="s">
        <v>48</v>
      </c>
      <c r="S572" s="52" t="s">
        <v>2829</v>
      </c>
    </row>
    <row r="573" customFormat="false" ht="15" hidden="false" customHeight="true" outlineLevel="0" collapsed="false">
      <c r="A573" s="46" t="n">
        <v>583</v>
      </c>
      <c r="B573" s="24" t="s">
        <v>2144</v>
      </c>
      <c r="C573" s="47"/>
      <c r="D573" s="47" t="s">
        <v>2144</v>
      </c>
      <c r="E573" s="46" t="s">
        <v>16</v>
      </c>
      <c r="F573" s="46" t="s">
        <v>2104</v>
      </c>
      <c r="G573" s="24" t="s">
        <v>4091</v>
      </c>
      <c r="H573" s="48" t="n">
        <v>5</v>
      </c>
      <c r="I573" s="46"/>
      <c r="J573" s="47" t="s">
        <v>3103</v>
      </c>
      <c r="K573" s="24" t="s">
        <v>1482</v>
      </c>
      <c r="L573" s="46" t="e">
        <f aca="false">#N/A</f>
        <v>#N/A</v>
      </c>
      <c r="M573" s="24" t="s">
        <v>4092</v>
      </c>
      <c r="N573" s="46" t="s">
        <v>4093</v>
      </c>
      <c r="O573" s="24" t="s">
        <v>3698</v>
      </c>
      <c r="P573" s="46" t="s">
        <v>3699</v>
      </c>
      <c r="Q573" s="46"/>
      <c r="R573" s="47" t="s">
        <v>48</v>
      </c>
      <c r="S573" s="52" t="s">
        <v>2829</v>
      </c>
    </row>
    <row r="574" customFormat="false" ht="15" hidden="false" customHeight="true" outlineLevel="0" collapsed="false">
      <c r="A574" s="49" t="n">
        <v>584</v>
      </c>
      <c r="B574" s="25" t="s">
        <v>4085</v>
      </c>
      <c r="C574" s="50"/>
      <c r="D574" s="50" t="s">
        <v>2144</v>
      </c>
      <c r="E574" s="49" t="s">
        <v>16</v>
      </c>
      <c r="F574" s="49" t="s">
        <v>2104</v>
      </c>
      <c r="G574" s="25" t="s">
        <v>4094</v>
      </c>
      <c r="H574" s="51" t="n">
        <v>5</v>
      </c>
      <c r="I574" s="49"/>
      <c r="J574" s="50" t="s">
        <v>3103</v>
      </c>
      <c r="K574" s="25" t="s">
        <v>1479</v>
      </c>
      <c r="L574" s="49" t="e">
        <f aca="false">#N/A</f>
        <v>#N/A</v>
      </c>
      <c r="M574" s="25" t="s">
        <v>4083</v>
      </c>
      <c r="N574" s="49" t="s">
        <v>4084</v>
      </c>
      <c r="O574" s="25" t="s">
        <v>3698</v>
      </c>
      <c r="P574" s="49" t="s">
        <v>3699</v>
      </c>
      <c r="Q574" s="49"/>
      <c r="R574" s="50" t="s">
        <v>48</v>
      </c>
      <c r="S574" s="52" t="s">
        <v>2829</v>
      </c>
    </row>
    <row r="575" customFormat="false" ht="15" hidden="false" customHeight="true" outlineLevel="0" collapsed="false">
      <c r="A575" s="46" t="n">
        <v>585</v>
      </c>
      <c r="B575" s="24" t="s">
        <v>4085</v>
      </c>
      <c r="C575" s="47"/>
      <c r="D575" s="47" t="s">
        <v>2144</v>
      </c>
      <c r="E575" s="46" t="s">
        <v>16</v>
      </c>
      <c r="F575" s="46" t="s">
        <v>2104</v>
      </c>
      <c r="G575" s="24" t="s">
        <v>4095</v>
      </c>
      <c r="H575" s="48" t="n">
        <v>5</v>
      </c>
      <c r="I575" s="46"/>
      <c r="J575" s="47" t="s">
        <v>3103</v>
      </c>
      <c r="K575" s="24" t="s">
        <v>1479</v>
      </c>
      <c r="L575" s="46" t="e">
        <f aca="false">#N/A</f>
        <v>#N/A</v>
      </c>
      <c r="M575" s="24" t="s">
        <v>4083</v>
      </c>
      <c r="N575" s="46" t="s">
        <v>4084</v>
      </c>
      <c r="O575" s="24" t="s">
        <v>3698</v>
      </c>
      <c r="P575" s="46" t="s">
        <v>3699</v>
      </c>
      <c r="Q575" s="46"/>
      <c r="R575" s="47" t="s">
        <v>48</v>
      </c>
      <c r="S575" s="52" t="s">
        <v>2829</v>
      </c>
    </row>
    <row r="576" customFormat="false" ht="15" hidden="false" customHeight="true" outlineLevel="0" collapsed="false">
      <c r="A576" s="49" t="n">
        <v>586</v>
      </c>
      <c r="B576" s="25" t="s">
        <v>4096</v>
      </c>
      <c r="C576" s="50"/>
      <c r="D576" s="50" t="s">
        <v>2144</v>
      </c>
      <c r="E576" s="49" t="s">
        <v>16</v>
      </c>
      <c r="F576" s="49" t="s">
        <v>2104</v>
      </c>
      <c r="G576" s="25" t="s">
        <v>4097</v>
      </c>
      <c r="H576" s="51" t="n">
        <v>5</v>
      </c>
      <c r="I576" s="49"/>
      <c r="J576" s="50" t="s">
        <v>3103</v>
      </c>
      <c r="K576" s="25" t="s">
        <v>1485</v>
      </c>
      <c r="L576" s="49" t="e">
        <f aca="false">#N/A</f>
        <v>#N/A</v>
      </c>
      <c r="M576" s="25" t="s">
        <v>4083</v>
      </c>
      <c r="N576" s="49" t="s">
        <v>4084</v>
      </c>
      <c r="O576" s="25" t="s">
        <v>3698</v>
      </c>
      <c r="P576" s="49" t="s">
        <v>3699</v>
      </c>
      <c r="Q576" s="49"/>
      <c r="R576" s="50" t="s">
        <v>48</v>
      </c>
      <c r="S576" s="52" t="s">
        <v>2829</v>
      </c>
    </row>
    <row r="577" customFormat="false" ht="15" hidden="false" customHeight="true" outlineLevel="0" collapsed="false">
      <c r="A577" s="46" t="n">
        <v>587</v>
      </c>
      <c r="B577" s="24" t="s">
        <v>4098</v>
      </c>
      <c r="C577" s="47"/>
      <c r="D577" s="47" t="s">
        <v>2144</v>
      </c>
      <c r="E577" s="46" t="s">
        <v>16</v>
      </c>
      <c r="F577" s="46" t="s">
        <v>2104</v>
      </c>
      <c r="G577" s="24" t="s">
        <v>4099</v>
      </c>
      <c r="H577" s="48" t="n">
        <v>5</v>
      </c>
      <c r="I577" s="46"/>
      <c r="J577" s="47" t="s">
        <v>3103</v>
      </c>
      <c r="K577" s="24" t="s">
        <v>1487</v>
      </c>
      <c r="L577" s="46" t="e">
        <f aca="false">#N/A</f>
        <v>#N/A</v>
      </c>
      <c r="M577" s="24" t="s">
        <v>4083</v>
      </c>
      <c r="N577" s="46" t="s">
        <v>4084</v>
      </c>
      <c r="O577" s="24" t="s">
        <v>3698</v>
      </c>
      <c r="P577" s="46" t="s">
        <v>3699</v>
      </c>
      <c r="Q577" s="46"/>
      <c r="R577" s="47" t="s">
        <v>48</v>
      </c>
      <c r="S577" s="52" t="s">
        <v>2829</v>
      </c>
    </row>
    <row r="578" customFormat="false" ht="15" hidden="false" customHeight="true" outlineLevel="0" collapsed="false">
      <c r="A578" s="49" t="n">
        <v>588</v>
      </c>
      <c r="B578" s="25" t="s">
        <v>4100</v>
      </c>
      <c r="C578" s="50"/>
      <c r="D578" s="50" t="s">
        <v>2144</v>
      </c>
      <c r="E578" s="49" t="s">
        <v>16</v>
      </c>
      <c r="F578" s="49" t="s">
        <v>2104</v>
      </c>
      <c r="G578" s="25" t="s">
        <v>4101</v>
      </c>
      <c r="H578" s="51" t="n">
        <v>5</v>
      </c>
      <c r="I578" s="49"/>
      <c r="J578" s="50" t="s">
        <v>3103</v>
      </c>
      <c r="K578" s="25" t="s">
        <v>1489</v>
      </c>
      <c r="L578" s="49" t="e">
        <f aca="false">#N/A</f>
        <v>#N/A</v>
      </c>
      <c r="M578" s="25" t="s">
        <v>4083</v>
      </c>
      <c r="N578" s="49" t="s">
        <v>4084</v>
      </c>
      <c r="O578" s="25" t="s">
        <v>3698</v>
      </c>
      <c r="P578" s="49" t="s">
        <v>3699</v>
      </c>
      <c r="Q578" s="49"/>
      <c r="R578" s="50" t="s">
        <v>48</v>
      </c>
      <c r="S578" s="52" t="s">
        <v>2829</v>
      </c>
    </row>
    <row r="579" customFormat="false" ht="15" hidden="false" customHeight="true" outlineLevel="0" collapsed="false">
      <c r="A579" s="46" t="n">
        <v>589</v>
      </c>
      <c r="B579" s="24" t="s">
        <v>2144</v>
      </c>
      <c r="C579" s="47"/>
      <c r="D579" s="47" t="s">
        <v>2144</v>
      </c>
      <c r="E579" s="46" t="s">
        <v>16</v>
      </c>
      <c r="F579" s="46" t="s">
        <v>2104</v>
      </c>
      <c r="G579" s="24" t="s">
        <v>4102</v>
      </c>
      <c r="H579" s="48" t="n">
        <v>5</v>
      </c>
      <c r="I579" s="46"/>
      <c r="J579" s="47" t="s">
        <v>3103</v>
      </c>
      <c r="K579" s="24" t="s">
        <v>1490</v>
      </c>
      <c r="L579" s="46" t="e">
        <f aca="false">#N/A</f>
        <v>#N/A</v>
      </c>
      <c r="M579" s="24" t="s">
        <v>4083</v>
      </c>
      <c r="N579" s="46" t="s">
        <v>4084</v>
      </c>
      <c r="O579" s="24" t="s">
        <v>3698</v>
      </c>
      <c r="P579" s="46" t="s">
        <v>3699</v>
      </c>
      <c r="Q579" s="46"/>
      <c r="R579" s="47" t="s">
        <v>48</v>
      </c>
      <c r="S579" s="52" t="s">
        <v>2829</v>
      </c>
    </row>
    <row r="580" customFormat="false" ht="15" hidden="false" customHeight="true" outlineLevel="0" collapsed="false">
      <c r="A580" s="49" t="n">
        <v>590</v>
      </c>
      <c r="B580" s="25" t="s">
        <v>2144</v>
      </c>
      <c r="C580" s="50"/>
      <c r="D580" s="50" t="s">
        <v>2144</v>
      </c>
      <c r="E580" s="49" t="s">
        <v>16</v>
      </c>
      <c r="F580" s="49" t="s">
        <v>2104</v>
      </c>
      <c r="G580" s="25" t="s">
        <v>4103</v>
      </c>
      <c r="H580" s="51" t="n">
        <v>5</v>
      </c>
      <c r="I580" s="49"/>
      <c r="J580" s="50" t="s">
        <v>3103</v>
      </c>
      <c r="K580" s="25" t="s">
        <v>1491</v>
      </c>
      <c r="L580" s="49" t="e">
        <f aca="false">#N/A</f>
        <v>#N/A</v>
      </c>
      <c r="M580" s="25" t="s">
        <v>4092</v>
      </c>
      <c r="N580" s="49" t="s">
        <v>4093</v>
      </c>
      <c r="O580" s="25" t="s">
        <v>3698</v>
      </c>
      <c r="P580" s="49" t="s">
        <v>3699</v>
      </c>
      <c r="Q580" s="49"/>
      <c r="R580" s="50" t="s">
        <v>48</v>
      </c>
      <c r="S580" s="52" t="s">
        <v>2829</v>
      </c>
    </row>
    <row r="581" customFormat="false" ht="15" hidden="false" customHeight="true" outlineLevel="0" collapsed="false">
      <c r="A581" s="46" t="n">
        <v>591</v>
      </c>
      <c r="B581" s="24" t="s">
        <v>2144</v>
      </c>
      <c r="C581" s="47"/>
      <c r="D581" s="47" t="s">
        <v>2144</v>
      </c>
      <c r="E581" s="46" t="s">
        <v>16</v>
      </c>
      <c r="F581" s="46" t="s">
        <v>2104</v>
      </c>
      <c r="G581" s="24" t="s">
        <v>4104</v>
      </c>
      <c r="H581" s="48" t="n">
        <v>5</v>
      </c>
      <c r="I581" s="46"/>
      <c r="J581" s="47" t="s">
        <v>3103</v>
      </c>
      <c r="K581" s="24" t="s">
        <v>1492</v>
      </c>
      <c r="L581" s="46" t="e">
        <f aca="false">#N/A</f>
        <v>#N/A</v>
      </c>
      <c r="M581" s="24" t="s">
        <v>4092</v>
      </c>
      <c r="N581" s="46" t="s">
        <v>4093</v>
      </c>
      <c r="O581" s="24" t="s">
        <v>3698</v>
      </c>
      <c r="P581" s="46" t="s">
        <v>3699</v>
      </c>
      <c r="Q581" s="46"/>
      <c r="R581" s="47" t="s">
        <v>48</v>
      </c>
      <c r="S581" s="52" t="s">
        <v>2829</v>
      </c>
    </row>
    <row r="582" customFormat="false" ht="15" hidden="false" customHeight="true" outlineLevel="0" collapsed="false">
      <c r="A582" s="49" t="n">
        <v>592</v>
      </c>
      <c r="B582" s="25" t="s">
        <v>2144</v>
      </c>
      <c r="C582" s="50"/>
      <c r="D582" s="50" t="s">
        <v>2144</v>
      </c>
      <c r="E582" s="49" t="s">
        <v>16</v>
      </c>
      <c r="F582" s="49" t="s">
        <v>2104</v>
      </c>
      <c r="G582" s="25" t="s">
        <v>4105</v>
      </c>
      <c r="H582" s="51" t="n">
        <v>5</v>
      </c>
      <c r="I582" s="49"/>
      <c r="J582" s="50" t="s">
        <v>3103</v>
      </c>
      <c r="K582" s="25" t="s">
        <v>1493</v>
      </c>
      <c r="L582" s="49" t="e">
        <f aca="false">#N/A</f>
        <v>#N/A</v>
      </c>
      <c r="M582" s="25" t="s">
        <v>4092</v>
      </c>
      <c r="N582" s="49" t="s">
        <v>4093</v>
      </c>
      <c r="O582" s="25" t="s">
        <v>3698</v>
      </c>
      <c r="P582" s="49" t="s">
        <v>3699</v>
      </c>
      <c r="Q582" s="49"/>
      <c r="R582" s="50" t="s">
        <v>48</v>
      </c>
      <c r="S582" s="52" t="s">
        <v>2829</v>
      </c>
    </row>
    <row r="583" customFormat="false" ht="15" hidden="false" customHeight="true" outlineLevel="0" collapsed="false">
      <c r="A583" s="46" t="n">
        <v>593</v>
      </c>
      <c r="B583" s="24" t="s">
        <v>2144</v>
      </c>
      <c r="C583" s="47"/>
      <c r="D583" s="47" t="s">
        <v>2144</v>
      </c>
      <c r="E583" s="46" t="s">
        <v>16</v>
      </c>
      <c r="F583" s="46" t="s">
        <v>2104</v>
      </c>
      <c r="G583" s="24" t="s">
        <v>4106</v>
      </c>
      <c r="H583" s="48" t="n">
        <v>5</v>
      </c>
      <c r="I583" s="46"/>
      <c r="J583" s="47" t="s">
        <v>3103</v>
      </c>
      <c r="K583" s="24" t="s">
        <v>1494</v>
      </c>
      <c r="L583" s="46" t="e">
        <f aca="false">#N/A</f>
        <v>#N/A</v>
      </c>
      <c r="M583" s="24" t="s">
        <v>4083</v>
      </c>
      <c r="N583" s="46" t="s">
        <v>4084</v>
      </c>
      <c r="O583" s="24" t="s">
        <v>3698</v>
      </c>
      <c r="P583" s="46" t="s">
        <v>3699</v>
      </c>
      <c r="Q583" s="46"/>
      <c r="R583" s="47" t="s">
        <v>48</v>
      </c>
      <c r="S583" s="52" t="s">
        <v>2829</v>
      </c>
    </row>
    <row r="584" customFormat="false" ht="15" hidden="false" customHeight="true" outlineLevel="0" collapsed="false">
      <c r="A584" s="49" t="n">
        <v>594</v>
      </c>
      <c r="B584" s="25" t="s">
        <v>2144</v>
      </c>
      <c r="C584" s="50"/>
      <c r="D584" s="50" t="s">
        <v>2144</v>
      </c>
      <c r="E584" s="49" t="s">
        <v>16</v>
      </c>
      <c r="F584" s="49" t="s">
        <v>2104</v>
      </c>
      <c r="G584" s="25" t="s">
        <v>4107</v>
      </c>
      <c r="H584" s="51" t="n">
        <v>5</v>
      </c>
      <c r="I584" s="49"/>
      <c r="J584" s="50" t="s">
        <v>3103</v>
      </c>
      <c r="K584" s="25" t="s">
        <v>1495</v>
      </c>
      <c r="L584" s="49" t="e">
        <f aca="false">#N/A</f>
        <v>#N/A</v>
      </c>
      <c r="M584" s="25" t="s">
        <v>4083</v>
      </c>
      <c r="N584" s="49" t="s">
        <v>4084</v>
      </c>
      <c r="O584" s="25" t="s">
        <v>3698</v>
      </c>
      <c r="P584" s="49" t="s">
        <v>3699</v>
      </c>
      <c r="Q584" s="49"/>
      <c r="R584" s="50" t="s">
        <v>48</v>
      </c>
      <c r="S584" s="52" t="s">
        <v>2829</v>
      </c>
    </row>
    <row r="585" customFormat="false" ht="15" hidden="false" customHeight="true" outlineLevel="0" collapsed="false">
      <c r="A585" s="46" t="n">
        <v>595</v>
      </c>
      <c r="B585" s="24" t="s">
        <v>2144</v>
      </c>
      <c r="C585" s="47"/>
      <c r="D585" s="47" t="s">
        <v>2144</v>
      </c>
      <c r="E585" s="46" t="s">
        <v>16</v>
      </c>
      <c r="F585" s="46" t="s">
        <v>2104</v>
      </c>
      <c r="G585" s="24" t="s">
        <v>4108</v>
      </c>
      <c r="H585" s="48" t="n">
        <v>5</v>
      </c>
      <c r="I585" s="46"/>
      <c r="J585" s="47" t="s">
        <v>3103</v>
      </c>
      <c r="K585" s="24" t="s">
        <v>1496</v>
      </c>
      <c r="L585" s="46" t="e">
        <f aca="false">#N/A</f>
        <v>#N/A</v>
      </c>
      <c r="M585" s="24" t="s">
        <v>4083</v>
      </c>
      <c r="N585" s="46" t="s">
        <v>4084</v>
      </c>
      <c r="O585" s="24" t="s">
        <v>3698</v>
      </c>
      <c r="P585" s="46" t="s">
        <v>3699</v>
      </c>
      <c r="Q585" s="46"/>
      <c r="R585" s="47" t="s">
        <v>48</v>
      </c>
      <c r="S585" s="52" t="s">
        <v>2829</v>
      </c>
    </row>
    <row r="586" customFormat="false" ht="15" hidden="false" customHeight="true" outlineLevel="0" collapsed="false">
      <c r="A586" s="49" t="n">
        <v>596</v>
      </c>
      <c r="B586" s="25" t="s">
        <v>2144</v>
      </c>
      <c r="C586" s="50"/>
      <c r="D586" s="50" t="s">
        <v>2144</v>
      </c>
      <c r="E586" s="49" t="s">
        <v>16</v>
      </c>
      <c r="F586" s="49" t="s">
        <v>2104</v>
      </c>
      <c r="G586" s="25" t="s">
        <v>4109</v>
      </c>
      <c r="H586" s="51" t="n">
        <v>5</v>
      </c>
      <c r="I586" s="49"/>
      <c r="J586" s="50" t="s">
        <v>3103</v>
      </c>
      <c r="K586" s="25" t="s">
        <v>1497</v>
      </c>
      <c r="L586" s="49" t="e">
        <f aca="false">#N/A</f>
        <v>#N/A</v>
      </c>
      <c r="M586" s="25" t="s">
        <v>4092</v>
      </c>
      <c r="N586" s="49" t="s">
        <v>4093</v>
      </c>
      <c r="O586" s="25" t="s">
        <v>3698</v>
      </c>
      <c r="P586" s="49" t="s">
        <v>3699</v>
      </c>
      <c r="Q586" s="49"/>
      <c r="R586" s="50" t="s">
        <v>48</v>
      </c>
      <c r="S586" s="52" t="s">
        <v>2829</v>
      </c>
    </row>
    <row r="587" customFormat="false" ht="15" hidden="false" customHeight="true" outlineLevel="0" collapsed="false">
      <c r="A587" s="46" t="n">
        <v>597</v>
      </c>
      <c r="B587" s="24" t="s">
        <v>2144</v>
      </c>
      <c r="C587" s="47"/>
      <c r="D587" s="47" t="s">
        <v>2144</v>
      </c>
      <c r="E587" s="46" t="s">
        <v>16</v>
      </c>
      <c r="F587" s="46" t="s">
        <v>2104</v>
      </c>
      <c r="G587" s="24" t="s">
        <v>4110</v>
      </c>
      <c r="H587" s="48" t="n">
        <v>5</v>
      </c>
      <c r="I587" s="46"/>
      <c r="J587" s="47" t="s">
        <v>3103</v>
      </c>
      <c r="K587" s="24" t="s">
        <v>1498</v>
      </c>
      <c r="L587" s="46" t="e">
        <f aca="false">#N/A</f>
        <v>#N/A</v>
      </c>
      <c r="M587" s="24" t="s">
        <v>4092</v>
      </c>
      <c r="N587" s="46" t="s">
        <v>4093</v>
      </c>
      <c r="O587" s="24" t="s">
        <v>3698</v>
      </c>
      <c r="P587" s="46" t="s">
        <v>3699</v>
      </c>
      <c r="Q587" s="46"/>
      <c r="R587" s="47" t="s">
        <v>48</v>
      </c>
      <c r="S587" s="52" t="s">
        <v>2829</v>
      </c>
    </row>
    <row r="588" customFormat="false" ht="15" hidden="false" customHeight="true" outlineLevel="0" collapsed="false">
      <c r="A588" s="49" t="n">
        <v>598</v>
      </c>
      <c r="B588" s="25" t="s">
        <v>2144</v>
      </c>
      <c r="C588" s="50"/>
      <c r="D588" s="50" t="s">
        <v>2144</v>
      </c>
      <c r="E588" s="49" t="s">
        <v>16</v>
      </c>
      <c r="F588" s="49" t="s">
        <v>2104</v>
      </c>
      <c r="G588" s="25" t="s">
        <v>4111</v>
      </c>
      <c r="H588" s="51" t="n">
        <v>5</v>
      </c>
      <c r="I588" s="49"/>
      <c r="J588" s="50" t="s">
        <v>3103</v>
      </c>
      <c r="K588" s="25" t="s">
        <v>1499</v>
      </c>
      <c r="L588" s="49" t="e">
        <f aca="false">#N/A</f>
        <v>#N/A</v>
      </c>
      <c r="M588" s="25" t="s">
        <v>4092</v>
      </c>
      <c r="N588" s="49" t="s">
        <v>4093</v>
      </c>
      <c r="O588" s="25" t="s">
        <v>3698</v>
      </c>
      <c r="P588" s="49" t="s">
        <v>3699</v>
      </c>
      <c r="Q588" s="49"/>
      <c r="R588" s="50" t="s">
        <v>48</v>
      </c>
      <c r="S588" s="52" t="s">
        <v>2829</v>
      </c>
    </row>
    <row r="589" customFormat="false" ht="15" hidden="false" customHeight="true" outlineLevel="0" collapsed="false">
      <c r="A589" s="46" t="n">
        <v>599</v>
      </c>
      <c r="B589" s="24" t="s">
        <v>2144</v>
      </c>
      <c r="C589" s="47"/>
      <c r="D589" s="47" t="s">
        <v>2144</v>
      </c>
      <c r="E589" s="46" t="s">
        <v>16</v>
      </c>
      <c r="F589" s="46" t="s">
        <v>2104</v>
      </c>
      <c r="G589" s="24" t="s">
        <v>4112</v>
      </c>
      <c r="H589" s="48" t="n">
        <v>5</v>
      </c>
      <c r="I589" s="46"/>
      <c r="J589" s="47" t="s">
        <v>3103</v>
      </c>
      <c r="K589" s="24" t="s">
        <v>1500</v>
      </c>
      <c r="L589" s="46" t="e">
        <f aca="false">#N/A</f>
        <v>#N/A</v>
      </c>
      <c r="M589" s="24" t="s">
        <v>4092</v>
      </c>
      <c r="N589" s="46" t="s">
        <v>4093</v>
      </c>
      <c r="O589" s="24" t="s">
        <v>3698</v>
      </c>
      <c r="P589" s="46" t="s">
        <v>3699</v>
      </c>
      <c r="Q589" s="46"/>
      <c r="R589" s="47" t="s">
        <v>48</v>
      </c>
      <c r="S589" s="52" t="s">
        <v>2829</v>
      </c>
    </row>
    <row r="590" customFormat="false" ht="15" hidden="false" customHeight="true" outlineLevel="0" collapsed="false">
      <c r="A590" s="49" t="n">
        <v>600</v>
      </c>
      <c r="B590" s="25" t="s">
        <v>2144</v>
      </c>
      <c r="C590" s="50"/>
      <c r="D590" s="50" t="s">
        <v>2144</v>
      </c>
      <c r="E590" s="49" t="s">
        <v>16</v>
      </c>
      <c r="F590" s="49" t="s">
        <v>2104</v>
      </c>
      <c r="G590" s="25" t="s">
        <v>4113</v>
      </c>
      <c r="H590" s="51" t="n">
        <v>5</v>
      </c>
      <c r="I590" s="49"/>
      <c r="J590" s="50" t="s">
        <v>3103</v>
      </c>
      <c r="K590" s="25" t="s">
        <v>1501</v>
      </c>
      <c r="L590" s="49" t="e">
        <f aca="false">#N/A</f>
        <v>#N/A</v>
      </c>
      <c r="M590" s="25" t="s">
        <v>4092</v>
      </c>
      <c r="N590" s="49" t="s">
        <v>4093</v>
      </c>
      <c r="O590" s="25" t="s">
        <v>3698</v>
      </c>
      <c r="P590" s="49" t="s">
        <v>3699</v>
      </c>
      <c r="Q590" s="49"/>
      <c r="R590" s="50" t="s">
        <v>48</v>
      </c>
      <c r="S590" s="52" t="s">
        <v>2829</v>
      </c>
    </row>
    <row r="591" customFormat="false" ht="15" hidden="false" customHeight="true" outlineLevel="0" collapsed="false">
      <c r="A591" s="46" t="n">
        <v>601</v>
      </c>
      <c r="B591" s="24" t="s">
        <v>2144</v>
      </c>
      <c r="C591" s="47"/>
      <c r="D591" s="47" t="s">
        <v>2144</v>
      </c>
      <c r="E591" s="46" t="s">
        <v>16</v>
      </c>
      <c r="F591" s="46" t="s">
        <v>2104</v>
      </c>
      <c r="G591" s="24" t="s">
        <v>4114</v>
      </c>
      <c r="H591" s="48" t="n">
        <v>5</v>
      </c>
      <c r="I591" s="46"/>
      <c r="J591" s="47" t="s">
        <v>3103</v>
      </c>
      <c r="K591" s="24" t="s">
        <v>1502</v>
      </c>
      <c r="L591" s="46" t="e">
        <f aca="false">#N/A</f>
        <v>#N/A</v>
      </c>
      <c r="M591" s="24" t="s">
        <v>4092</v>
      </c>
      <c r="N591" s="46" t="s">
        <v>4093</v>
      </c>
      <c r="O591" s="24" t="s">
        <v>3698</v>
      </c>
      <c r="P591" s="46" t="s">
        <v>3699</v>
      </c>
      <c r="Q591" s="46"/>
      <c r="R591" s="47" t="s">
        <v>48</v>
      </c>
      <c r="S591" s="52" t="s">
        <v>2829</v>
      </c>
    </row>
    <row r="592" customFormat="false" ht="15" hidden="false" customHeight="true" outlineLevel="0" collapsed="false">
      <c r="A592" s="49" t="n">
        <v>602</v>
      </c>
      <c r="B592" s="25" t="s">
        <v>2144</v>
      </c>
      <c r="C592" s="50"/>
      <c r="D592" s="50" t="s">
        <v>2144</v>
      </c>
      <c r="E592" s="49" t="s">
        <v>16</v>
      </c>
      <c r="F592" s="49" t="s">
        <v>2104</v>
      </c>
      <c r="G592" s="25" t="s">
        <v>4115</v>
      </c>
      <c r="H592" s="51" t="n">
        <v>5</v>
      </c>
      <c r="I592" s="49"/>
      <c r="J592" s="50" t="s">
        <v>3103</v>
      </c>
      <c r="K592" s="25" t="s">
        <v>1503</v>
      </c>
      <c r="L592" s="49" t="e">
        <f aca="false">#N/A</f>
        <v>#N/A</v>
      </c>
      <c r="M592" s="25" t="s">
        <v>4092</v>
      </c>
      <c r="N592" s="49" t="s">
        <v>4093</v>
      </c>
      <c r="O592" s="25" t="s">
        <v>3698</v>
      </c>
      <c r="P592" s="49" t="s">
        <v>3699</v>
      </c>
      <c r="Q592" s="49"/>
      <c r="R592" s="50" t="s">
        <v>48</v>
      </c>
      <c r="S592" s="52" t="s">
        <v>2829</v>
      </c>
    </row>
    <row r="593" customFormat="false" ht="15" hidden="false" customHeight="true" outlineLevel="0" collapsed="false">
      <c r="A593" s="46" t="n">
        <v>603</v>
      </c>
      <c r="B593" s="24" t="s">
        <v>2144</v>
      </c>
      <c r="C593" s="47"/>
      <c r="D593" s="47" t="s">
        <v>2144</v>
      </c>
      <c r="E593" s="46" t="s">
        <v>16</v>
      </c>
      <c r="F593" s="46" t="s">
        <v>2104</v>
      </c>
      <c r="G593" s="24" t="s">
        <v>4116</v>
      </c>
      <c r="H593" s="48" t="n">
        <v>5</v>
      </c>
      <c r="I593" s="46"/>
      <c r="J593" s="47" t="s">
        <v>3103</v>
      </c>
      <c r="K593" s="24" t="s">
        <v>1504</v>
      </c>
      <c r="L593" s="46" t="e">
        <f aca="false">#N/A</f>
        <v>#N/A</v>
      </c>
      <c r="M593" s="24" t="s">
        <v>4092</v>
      </c>
      <c r="N593" s="46" t="s">
        <v>4093</v>
      </c>
      <c r="O593" s="24" t="s">
        <v>3698</v>
      </c>
      <c r="P593" s="46" t="s">
        <v>3699</v>
      </c>
      <c r="Q593" s="46"/>
      <c r="R593" s="47" t="s">
        <v>48</v>
      </c>
      <c r="S593" s="52" t="s">
        <v>2829</v>
      </c>
    </row>
    <row r="594" customFormat="false" ht="15" hidden="false" customHeight="true" outlineLevel="0" collapsed="false">
      <c r="A594" s="49" t="n">
        <v>604</v>
      </c>
      <c r="B594" s="25" t="s">
        <v>2144</v>
      </c>
      <c r="C594" s="50"/>
      <c r="D594" s="50" t="s">
        <v>2144</v>
      </c>
      <c r="E594" s="49" t="s">
        <v>16</v>
      </c>
      <c r="F594" s="49" t="s">
        <v>2104</v>
      </c>
      <c r="G594" s="25" t="s">
        <v>4117</v>
      </c>
      <c r="H594" s="51" t="n">
        <v>5</v>
      </c>
      <c r="I594" s="49"/>
      <c r="J594" s="50" t="s">
        <v>3103</v>
      </c>
      <c r="K594" s="25" t="s">
        <v>1505</v>
      </c>
      <c r="L594" s="49" t="e">
        <f aca="false">#N/A</f>
        <v>#N/A</v>
      </c>
      <c r="M594" s="25" t="s">
        <v>4092</v>
      </c>
      <c r="N594" s="49" t="s">
        <v>4093</v>
      </c>
      <c r="O594" s="25" t="s">
        <v>3698</v>
      </c>
      <c r="P594" s="49" t="s">
        <v>3699</v>
      </c>
      <c r="Q594" s="49"/>
      <c r="R594" s="50" t="s">
        <v>48</v>
      </c>
      <c r="S594" s="52" t="s">
        <v>2829</v>
      </c>
    </row>
    <row r="595" customFormat="false" ht="15" hidden="false" customHeight="true" outlineLevel="0" collapsed="false">
      <c r="A595" s="46" t="n">
        <v>605</v>
      </c>
      <c r="B595" s="24" t="s">
        <v>2144</v>
      </c>
      <c r="C595" s="47"/>
      <c r="D595" s="47" t="s">
        <v>2144</v>
      </c>
      <c r="E595" s="46" t="s">
        <v>16</v>
      </c>
      <c r="F595" s="46" t="s">
        <v>2104</v>
      </c>
      <c r="G595" s="24" t="s">
        <v>4118</v>
      </c>
      <c r="H595" s="48" t="n">
        <v>5</v>
      </c>
      <c r="I595" s="46"/>
      <c r="J595" s="47" t="s">
        <v>3103</v>
      </c>
      <c r="K595" s="24" t="s">
        <v>1506</v>
      </c>
      <c r="L595" s="46" t="e">
        <f aca="false">#N/A</f>
        <v>#N/A</v>
      </c>
      <c r="M595" s="24" t="s">
        <v>4092</v>
      </c>
      <c r="N595" s="46" t="s">
        <v>4093</v>
      </c>
      <c r="O595" s="24" t="s">
        <v>3698</v>
      </c>
      <c r="P595" s="46" t="s">
        <v>3699</v>
      </c>
      <c r="Q595" s="46"/>
      <c r="R595" s="47" t="s">
        <v>48</v>
      </c>
      <c r="S595" s="52" t="s">
        <v>2829</v>
      </c>
    </row>
    <row r="596" customFormat="false" ht="15" hidden="false" customHeight="true" outlineLevel="0" collapsed="false">
      <c r="A596" s="49" t="n">
        <v>606</v>
      </c>
      <c r="B596" s="25" t="s">
        <v>2144</v>
      </c>
      <c r="C596" s="50"/>
      <c r="D596" s="50" t="s">
        <v>2144</v>
      </c>
      <c r="E596" s="49" t="s">
        <v>16</v>
      </c>
      <c r="F596" s="49" t="s">
        <v>2104</v>
      </c>
      <c r="G596" s="25" t="s">
        <v>4119</v>
      </c>
      <c r="H596" s="51" t="n">
        <v>5</v>
      </c>
      <c r="I596" s="49"/>
      <c r="J596" s="50" t="s">
        <v>3103</v>
      </c>
      <c r="K596" s="25" t="s">
        <v>1507</v>
      </c>
      <c r="L596" s="49" t="e">
        <f aca="false">#N/A</f>
        <v>#N/A</v>
      </c>
      <c r="M596" s="25" t="s">
        <v>4092</v>
      </c>
      <c r="N596" s="49" t="s">
        <v>4093</v>
      </c>
      <c r="O596" s="25" t="s">
        <v>3698</v>
      </c>
      <c r="P596" s="49" t="s">
        <v>3699</v>
      </c>
      <c r="Q596" s="49"/>
      <c r="R596" s="50" t="s">
        <v>48</v>
      </c>
      <c r="S596" s="52" t="s">
        <v>2829</v>
      </c>
    </row>
    <row r="597" customFormat="false" ht="15" hidden="false" customHeight="true" outlineLevel="0" collapsed="false">
      <c r="A597" s="46" t="n">
        <v>607</v>
      </c>
      <c r="B597" s="24" t="s">
        <v>2144</v>
      </c>
      <c r="C597" s="47"/>
      <c r="D597" s="47" t="s">
        <v>2144</v>
      </c>
      <c r="E597" s="46" t="s">
        <v>16</v>
      </c>
      <c r="F597" s="46" t="s">
        <v>2104</v>
      </c>
      <c r="G597" s="24" t="s">
        <v>4120</v>
      </c>
      <c r="H597" s="48" t="n">
        <v>5</v>
      </c>
      <c r="I597" s="46"/>
      <c r="J597" s="47" t="s">
        <v>3103</v>
      </c>
      <c r="K597" s="24" t="s">
        <v>1508</v>
      </c>
      <c r="L597" s="46" t="e">
        <f aca="false">#N/A</f>
        <v>#N/A</v>
      </c>
      <c r="M597" s="24" t="s">
        <v>4092</v>
      </c>
      <c r="N597" s="46" t="s">
        <v>4093</v>
      </c>
      <c r="O597" s="24" t="s">
        <v>3698</v>
      </c>
      <c r="P597" s="46" t="s">
        <v>3699</v>
      </c>
      <c r="Q597" s="46"/>
      <c r="R597" s="47" t="s">
        <v>48</v>
      </c>
      <c r="S597" s="52" t="s">
        <v>2829</v>
      </c>
    </row>
    <row r="598" customFormat="false" ht="15" hidden="false" customHeight="true" outlineLevel="0" collapsed="false">
      <c r="A598" s="49" t="n">
        <v>608</v>
      </c>
      <c r="B598" s="25" t="s">
        <v>2144</v>
      </c>
      <c r="C598" s="50"/>
      <c r="D598" s="50" t="s">
        <v>2144</v>
      </c>
      <c r="E598" s="49" t="s">
        <v>16</v>
      </c>
      <c r="F598" s="49" t="s">
        <v>2104</v>
      </c>
      <c r="G598" s="25" t="s">
        <v>4121</v>
      </c>
      <c r="H598" s="51" t="n">
        <v>5</v>
      </c>
      <c r="I598" s="49"/>
      <c r="J598" s="50" t="s">
        <v>3103</v>
      </c>
      <c r="K598" s="25" t="s">
        <v>1509</v>
      </c>
      <c r="L598" s="49" t="e">
        <f aca="false">#N/A</f>
        <v>#N/A</v>
      </c>
      <c r="M598" s="25" t="s">
        <v>4092</v>
      </c>
      <c r="N598" s="49" t="s">
        <v>4093</v>
      </c>
      <c r="O598" s="25" t="s">
        <v>3698</v>
      </c>
      <c r="P598" s="49" t="s">
        <v>3699</v>
      </c>
      <c r="Q598" s="49"/>
      <c r="R598" s="50" t="s">
        <v>48</v>
      </c>
      <c r="S598" s="52" t="s">
        <v>2829</v>
      </c>
    </row>
    <row r="599" customFormat="false" ht="15" hidden="false" customHeight="true" outlineLevel="0" collapsed="false">
      <c r="A599" s="46" t="n">
        <v>609</v>
      </c>
      <c r="B599" s="24" t="s">
        <v>2144</v>
      </c>
      <c r="C599" s="47"/>
      <c r="D599" s="47" t="s">
        <v>2144</v>
      </c>
      <c r="E599" s="46" t="s">
        <v>16</v>
      </c>
      <c r="F599" s="46" t="s">
        <v>2104</v>
      </c>
      <c r="G599" s="24" t="s">
        <v>4122</v>
      </c>
      <c r="H599" s="48" t="n">
        <v>5</v>
      </c>
      <c r="I599" s="46"/>
      <c r="J599" s="47" t="s">
        <v>3103</v>
      </c>
      <c r="K599" s="24" t="s">
        <v>1510</v>
      </c>
      <c r="L599" s="46" t="e">
        <f aca="false">#N/A</f>
        <v>#N/A</v>
      </c>
      <c r="M599" s="24" t="s">
        <v>4092</v>
      </c>
      <c r="N599" s="46" t="s">
        <v>4093</v>
      </c>
      <c r="O599" s="24" t="s">
        <v>3698</v>
      </c>
      <c r="P599" s="46" t="s">
        <v>3699</v>
      </c>
      <c r="Q599" s="46"/>
      <c r="R599" s="47" t="s">
        <v>48</v>
      </c>
      <c r="S599" s="52" t="s">
        <v>2829</v>
      </c>
    </row>
    <row r="600" customFormat="false" ht="15" hidden="false" customHeight="true" outlineLevel="0" collapsed="false">
      <c r="A600" s="49" t="n">
        <v>610</v>
      </c>
      <c r="B600" s="25" t="s">
        <v>2144</v>
      </c>
      <c r="C600" s="50"/>
      <c r="D600" s="50" t="s">
        <v>2144</v>
      </c>
      <c r="E600" s="49" t="s">
        <v>16</v>
      </c>
      <c r="F600" s="49" t="s">
        <v>2104</v>
      </c>
      <c r="G600" s="25" t="s">
        <v>4123</v>
      </c>
      <c r="H600" s="51" t="n">
        <v>5</v>
      </c>
      <c r="I600" s="49"/>
      <c r="J600" s="50" t="s">
        <v>3103</v>
      </c>
      <c r="K600" s="25" t="s">
        <v>1511</v>
      </c>
      <c r="L600" s="49" t="e">
        <f aca="false">#N/A</f>
        <v>#N/A</v>
      </c>
      <c r="M600" s="25" t="s">
        <v>4092</v>
      </c>
      <c r="N600" s="49" t="s">
        <v>4093</v>
      </c>
      <c r="O600" s="25" t="s">
        <v>3698</v>
      </c>
      <c r="P600" s="49" t="s">
        <v>3699</v>
      </c>
      <c r="Q600" s="49"/>
      <c r="R600" s="50" t="s">
        <v>48</v>
      </c>
      <c r="S600" s="52" t="s">
        <v>2829</v>
      </c>
    </row>
    <row r="601" customFormat="false" ht="15" hidden="false" customHeight="true" outlineLevel="0" collapsed="false">
      <c r="A601" s="46" t="n">
        <v>611</v>
      </c>
      <c r="B601" s="24" t="s">
        <v>2144</v>
      </c>
      <c r="C601" s="47"/>
      <c r="D601" s="47" t="s">
        <v>2144</v>
      </c>
      <c r="E601" s="46" t="s">
        <v>16</v>
      </c>
      <c r="F601" s="46" t="s">
        <v>2104</v>
      </c>
      <c r="G601" s="24" t="s">
        <v>4124</v>
      </c>
      <c r="H601" s="48" t="n">
        <v>5</v>
      </c>
      <c r="I601" s="46"/>
      <c r="J601" s="47" t="s">
        <v>3103</v>
      </c>
      <c r="K601" s="24" t="s">
        <v>1512</v>
      </c>
      <c r="L601" s="46" t="e">
        <f aca="false">#N/A</f>
        <v>#N/A</v>
      </c>
      <c r="M601" s="24" t="s">
        <v>4092</v>
      </c>
      <c r="N601" s="46" t="s">
        <v>4093</v>
      </c>
      <c r="O601" s="24" t="s">
        <v>3698</v>
      </c>
      <c r="P601" s="46" t="s">
        <v>3699</v>
      </c>
      <c r="Q601" s="46"/>
      <c r="R601" s="47" t="s">
        <v>48</v>
      </c>
      <c r="S601" s="52" t="s">
        <v>2829</v>
      </c>
    </row>
    <row r="602" customFormat="false" ht="15" hidden="false" customHeight="true" outlineLevel="0" collapsed="false">
      <c r="A602" s="49" t="n">
        <v>612</v>
      </c>
      <c r="B602" s="25" t="s">
        <v>2144</v>
      </c>
      <c r="C602" s="50"/>
      <c r="D602" s="50" t="s">
        <v>2144</v>
      </c>
      <c r="E602" s="49" t="s">
        <v>16</v>
      </c>
      <c r="F602" s="49" t="s">
        <v>2104</v>
      </c>
      <c r="G602" s="25" t="s">
        <v>4125</v>
      </c>
      <c r="H602" s="51" t="n">
        <v>5</v>
      </c>
      <c r="I602" s="49"/>
      <c r="J602" s="50" t="s">
        <v>3103</v>
      </c>
      <c r="K602" s="25" t="s">
        <v>1513</v>
      </c>
      <c r="L602" s="49" t="e">
        <f aca="false">#N/A</f>
        <v>#N/A</v>
      </c>
      <c r="M602" s="25" t="s">
        <v>4092</v>
      </c>
      <c r="N602" s="49" t="s">
        <v>4093</v>
      </c>
      <c r="O602" s="25" t="s">
        <v>3698</v>
      </c>
      <c r="P602" s="49" t="s">
        <v>3699</v>
      </c>
      <c r="Q602" s="49"/>
      <c r="R602" s="50" t="s">
        <v>48</v>
      </c>
      <c r="S602" s="52" t="s">
        <v>2829</v>
      </c>
    </row>
    <row r="603" customFormat="false" ht="15" hidden="false" customHeight="true" outlineLevel="0" collapsed="false">
      <c r="A603" s="46" t="n">
        <v>613</v>
      </c>
      <c r="B603" s="24" t="s">
        <v>2144</v>
      </c>
      <c r="C603" s="47"/>
      <c r="D603" s="47" t="s">
        <v>2144</v>
      </c>
      <c r="E603" s="46" t="s">
        <v>16</v>
      </c>
      <c r="F603" s="46" t="s">
        <v>2104</v>
      </c>
      <c r="G603" s="24" t="s">
        <v>4126</v>
      </c>
      <c r="H603" s="48" t="n">
        <v>5</v>
      </c>
      <c r="I603" s="46"/>
      <c r="J603" s="47" t="s">
        <v>3103</v>
      </c>
      <c r="K603" s="24" t="s">
        <v>1514</v>
      </c>
      <c r="L603" s="46" t="e">
        <f aca="false">#N/A</f>
        <v>#N/A</v>
      </c>
      <c r="M603" s="24" t="s">
        <v>4092</v>
      </c>
      <c r="N603" s="46" t="s">
        <v>4093</v>
      </c>
      <c r="O603" s="24" t="s">
        <v>3698</v>
      </c>
      <c r="P603" s="46" t="s">
        <v>3699</v>
      </c>
      <c r="Q603" s="46"/>
      <c r="R603" s="47" t="s">
        <v>48</v>
      </c>
      <c r="S603" s="52" t="s">
        <v>2829</v>
      </c>
    </row>
    <row r="604" customFormat="false" ht="15" hidden="false" customHeight="true" outlineLevel="0" collapsed="false">
      <c r="A604" s="49" t="n">
        <v>614</v>
      </c>
      <c r="B604" s="25" t="s">
        <v>2144</v>
      </c>
      <c r="C604" s="50"/>
      <c r="D604" s="50" t="s">
        <v>2144</v>
      </c>
      <c r="E604" s="49" t="s">
        <v>16</v>
      </c>
      <c r="F604" s="49" t="s">
        <v>2104</v>
      </c>
      <c r="G604" s="25" t="s">
        <v>4127</v>
      </c>
      <c r="H604" s="51" t="n">
        <v>5</v>
      </c>
      <c r="I604" s="49"/>
      <c r="J604" s="50" t="s">
        <v>3103</v>
      </c>
      <c r="K604" s="25" t="s">
        <v>1515</v>
      </c>
      <c r="L604" s="49" t="e">
        <f aca="false">#N/A</f>
        <v>#N/A</v>
      </c>
      <c r="M604" s="25" t="s">
        <v>4092</v>
      </c>
      <c r="N604" s="49" t="s">
        <v>4093</v>
      </c>
      <c r="O604" s="25" t="s">
        <v>3698</v>
      </c>
      <c r="P604" s="49" t="s">
        <v>3699</v>
      </c>
      <c r="Q604" s="49"/>
      <c r="R604" s="50" t="s">
        <v>48</v>
      </c>
      <c r="S604" s="52" t="s">
        <v>2829</v>
      </c>
    </row>
    <row r="605" customFormat="false" ht="15" hidden="false" customHeight="true" outlineLevel="0" collapsed="false">
      <c r="A605" s="46" t="n">
        <v>615</v>
      </c>
      <c r="B605" s="24" t="s">
        <v>4100</v>
      </c>
      <c r="C605" s="47"/>
      <c r="D605" s="47" t="s">
        <v>2144</v>
      </c>
      <c r="E605" s="46" t="s">
        <v>16</v>
      </c>
      <c r="F605" s="46" t="s">
        <v>2104</v>
      </c>
      <c r="G605" s="24" t="s">
        <v>4128</v>
      </c>
      <c r="H605" s="48" t="n">
        <v>5</v>
      </c>
      <c r="I605" s="46"/>
      <c r="J605" s="47" t="s">
        <v>3103</v>
      </c>
      <c r="K605" s="24" t="s">
        <v>1516</v>
      </c>
      <c r="L605" s="46" t="e">
        <f aca="false">#N/A</f>
        <v>#N/A</v>
      </c>
      <c r="M605" s="24" t="s">
        <v>4083</v>
      </c>
      <c r="N605" s="46" t="s">
        <v>4084</v>
      </c>
      <c r="O605" s="24" t="s">
        <v>3698</v>
      </c>
      <c r="P605" s="46" t="s">
        <v>3699</v>
      </c>
      <c r="Q605" s="46"/>
      <c r="R605" s="47" t="s">
        <v>48</v>
      </c>
      <c r="S605" s="52" t="s">
        <v>2829</v>
      </c>
    </row>
    <row r="606" customFormat="false" ht="15" hidden="false" customHeight="true" outlineLevel="0" collapsed="false">
      <c r="A606" s="49" t="n">
        <v>616</v>
      </c>
      <c r="B606" s="25" t="s">
        <v>4100</v>
      </c>
      <c r="C606" s="50"/>
      <c r="D606" s="50" t="s">
        <v>2144</v>
      </c>
      <c r="E606" s="49" t="s">
        <v>16</v>
      </c>
      <c r="F606" s="49" t="s">
        <v>2104</v>
      </c>
      <c r="G606" s="25" t="s">
        <v>4129</v>
      </c>
      <c r="H606" s="51" t="n">
        <v>5</v>
      </c>
      <c r="I606" s="49"/>
      <c r="J606" s="50" t="s">
        <v>3103</v>
      </c>
      <c r="K606" s="25" t="s">
        <v>1516</v>
      </c>
      <c r="L606" s="49" t="e">
        <f aca="false">#N/A</f>
        <v>#N/A</v>
      </c>
      <c r="M606" s="25" t="s">
        <v>4083</v>
      </c>
      <c r="N606" s="49" t="s">
        <v>4084</v>
      </c>
      <c r="O606" s="25" t="s">
        <v>3698</v>
      </c>
      <c r="P606" s="49" t="s">
        <v>3699</v>
      </c>
      <c r="Q606" s="49"/>
      <c r="R606" s="50" t="s">
        <v>48</v>
      </c>
      <c r="S606" s="52" t="s">
        <v>2829</v>
      </c>
    </row>
    <row r="607" customFormat="false" ht="15" hidden="false" customHeight="true" outlineLevel="0" collapsed="false">
      <c r="A607" s="46" t="n">
        <v>617</v>
      </c>
      <c r="B607" s="24" t="s">
        <v>4100</v>
      </c>
      <c r="C607" s="47"/>
      <c r="D607" s="47" t="s">
        <v>2144</v>
      </c>
      <c r="E607" s="46" t="s">
        <v>16</v>
      </c>
      <c r="F607" s="46" t="s">
        <v>2104</v>
      </c>
      <c r="G607" s="24" t="s">
        <v>4130</v>
      </c>
      <c r="H607" s="48" t="n">
        <v>5</v>
      </c>
      <c r="I607" s="46"/>
      <c r="J607" s="47" t="s">
        <v>3103</v>
      </c>
      <c r="K607" s="24" t="s">
        <v>1479</v>
      </c>
      <c r="L607" s="46" t="e">
        <f aca="false">#N/A</f>
        <v>#N/A</v>
      </c>
      <c r="M607" s="24" t="s">
        <v>4083</v>
      </c>
      <c r="N607" s="46" t="s">
        <v>4084</v>
      </c>
      <c r="O607" s="24" t="s">
        <v>3698</v>
      </c>
      <c r="P607" s="46" t="s">
        <v>3699</v>
      </c>
      <c r="Q607" s="46"/>
      <c r="R607" s="47" t="s">
        <v>48</v>
      </c>
      <c r="S607" s="52" t="s">
        <v>2829</v>
      </c>
    </row>
    <row r="608" customFormat="false" ht="15" hidden="false" customHeight="true" outlineLevel="0" collapsed="false">
      <c r="A608" s="49" t="n">
        <v>618</v>
      </c>
      <c r="B608" s="25" t="s">
        <v>4100</v>
      </c>
      <c r="C608" s="50"/>
      <c r="D608" s="50" t="s">
        <v>2144</v>
      </c>
      <c r="E608" s="49" t="s">
        <v>16</v>
      </c>
      <c r="F608" s="49" t="s">
        <v>2104</v>
      </c>
      <c r="G608" s="25" t="s">
        <v>4131</v>
      </c>
      <c r="H608" s="51" t="n">
        <v>5</v>
      </c>
      <c r="I608" s="49"/>
      <c r="J608" s="50" t="s">
        <v>3103</v>
      </c>
      <c r="K608" s="25" t="s">
        <v>1517</v>
      </c>
      <c r="L608" s="49" t="e">
        <f aca="false">#N/A</f>
        <v>#N/A</v>
      </c>
      <c r="M608" s="25" t="s">
        <v>4083</v>
      </c>
      <c r="N608" s="49" t="s">
        <v>4084</v>
      </c>
      <c r="O608" s="25" t="s">
        <v>3698</v>
      </c>
      <c r="P608" s="49" t="s">
        <v>3699</v>
      </c>
      <c r="Q608" s="49"/>
      <c r="R608" s="50" t="s">
        <v>48</v>
      </c>
      <c r="S608" s="52" t="s">
        <v>2829</v>
      </c>
    </row>
    <row r="609" customFormat="false" ht="15" hidden="false" customHeight="true" outlineLevel="0" collapsed="false">
      <c r="A609" s="46" t="n">
        <v>619</v>
      </c>
      <c r="B609" s="24" t="s">
        <v>4132</v>
      </c>
      <c r="C609" s="47"/>
      <c r="D609" s="47" t="s">
        <v>2102</v>
      </c>
      <c r="E609" s="46" t="s">
        <v>16</v>
      </c>
      <c r="F609" s="46" t="s">
        <v>2104</v>
      </c>
      <c r="G609" s="24" t="s">
        <v>4133</v>
      </c>
      <c r="H609" s="48" t="n">
        <v>5</v>
      </c>
      <c r="I609" s="46"/>
      <c r="J609" s="47" t="s">
        <v>1519</v>
      </c>
      <c r="K609" s="24" t="s">
        <v>4134</v>
      </c>
      <c r="L609" s="46" t="s">
        <v>4135</v>
      </c>
      <c r="M609" s="24" t="s">
        <v>4136</v>
      </c>
      <c r="N609" s="46" t="s">
        <v>4137</v>
      </c>
      <c r="O609" s="24" t="s">
        <v>3698</v>
      </c>
      <c r="P609" s="46" t="s">
        <v>3699</v>
      </c>
      <c r="Q609" s="46"/>
      <c r="R609" s="47" t="s">
        <v>48</v>
      </c>
      <c r="S609" s="52" t="s">
        <v>67</v>
      </c>
    </row>
    <row r="610" customFormat="false" ht="15" hidden="false" customHeight="true" outlineLevel="0" collapsed="false">
      <c r="A610" s="49" t="n">
        <v>620</v>
      </c>
      <c r="B610" s="25" t="s">
        <v>4132</v>
      </c>
      <c r="C610" s="50"/>
      <c r="D610" s="50" t="s">
        <v>2102</v>
      </c>
      <c r="E610" s="49" t="s">
        <v>16</v>
      </c>
      <c r="F610" s="49" t="s">
        <v>2104</v>
      </c>
      <c r="G610" s="25" t="s">
        <v>4138</v>
      </c>
      <c r="H610" s="51" t="n">
        <v>5</v>
      </c>
      <c r="I610" s="49"/>
      <c r="J610" s="50" t="s">
        <v>1522</v>
      </c>
      <c r="K610" s="25" t="s">
        <v>4139</v>
      </c>
      <c r="L610" s="49" t="s">
        <v>4140</v>
      </c>
      <c r="M610" s="25" t="s">
        <v>4136</v>
      </c>
      <c r="N610" s="49" t="s">
        <v>4137</v>
      </c>
      <c r="O610" s="25" t="s">
        <v>3698</v>
      </c>
      <c r="P610" s="49" t="s">
        <v>3699</v>
      </c>
      <c r="Q610" s="49"/>
      <c r="R610" s="50" t="s">
        <v>48</v>
      </c>
      <c r="S610" s="52" t="s">
        <v>67</v>
      </c>
    </row>
    <row r="611" customFormat="false" ht="15" hidden="false" customHeight="true" outlineLevel="0" collapsed="false">
      <c r="A611" s="46" t="n">
        <v>621</v>
      </c>
      <c r="B611" s="24" t="s">
        <v>4132</v>
      </c>
      <c r="C611" s="47"/>
      <c r="D611" s="47" t="s">
        <v>2102</v>
      </c>
      <c r="E611" s="46" t="s">
        <v>16</v>
      </c>
      <c r="F611" s="46" t="s">
        <v>2104</v>
      </c>
      <c r="G611" s="24" t="s">
        <v>4141</v>
      </c>
      <c r="H611" s="48" t="n">
        <v>5</v>
      </c>
      <c r="I611" s="46"/>
      <c r="J611" s="47" t="s">
        <v>1524</v>
      </c>
      <c r="K611" s="24" t="s">
        <v>4142</v>
      </c>
      <c r="L611" s="46" t="s">
        <v>4143</v>
      </c>
      <c r="M611" s="24" t="s">
        <v>4136</v>
      </c>
      <c r="N611" s="46" t="s">
        <v>4137</v>
      </c>
      <c r="O611" s="24" t="s">
        <v>3698</v>
      </c>
      <c r="P611" s="46" t="s">
        <v>3699</v>
      </c>
      <c r="Q611" s="46"/>
      <c r="R611" s="47" t="s">
        <v>48</v>
      </c>
      <c r="S611" s="52" t="s">
        <v>67</v>
      </c>
    </row>
    <row r="612" customFormat="false" ht="15" hidden="false" customHeight="true" outlineLevel="0" collapsed="false">
      <c r="A612" s="49" t="n">
        <v>622</v>
      </c>
      <c r="B612" s="25" t="s">
        <v>4132</v>
      </c>
      <c r="C612" s="50"/>
      <c r="D612" s="50" t="s">
        <v>2102</v>
      </c>
      <c r="E612" s="49" t="s">
        <v>16</v>
      </c>
      <c r="F612" s="49" t="s">
        <v>2104</v>
      </c>
      <c r="G612" s="25" t="s">
        <v>4144</v>
      </c>
      <c r="H612" s="51" t="n">
        <v>5</v>
      </c>
      <c r="I612" s="49"/>
      <c r="J612" s="50" t="s">
        <v>1526</v>
      </c>
      <c r="K612" s="25" t="s">
        <v>4145</v>
      </c>
      <c r="L612" s="49" t="s">
        <v>4146</v>
      </c>
      <c r="M612" s="25" t="s">
        <v>4136</v>
      </c>
      <c r="N612" s="49" t="s">
        <v>4137</v>
      </c>
      <c r="O612" s="25" t="s">
        <v>3698</v>
      </c>
      <c r="P612" s="49" t="s">
        <v>3699</v>
      </c>
      <c r="Q612" s="49"/>
      <c r="R612" s="50" t="s">
        <v>48</v>
      </c>
      <c r="S612" s="52" t="s">
        <v>67</v>
      </c>
    </row>
    <row r="613" customFormat="false" ht="15" hidden="false" customHeight="true" outlineLevel="0" collapsed="false">
      <c r="A613" s="46" t="n">
        <v>623</v>
      </c>
      <c r="B613" s="24" t="s">
        <v>4132</v>
      </c>
      <c r="C613" s="47"/>
      <c r="D613" s="47" t="s">
        <v>2102</v>
      </c>
      <c r="E613" s="46" t="s">
        <v>16</v>
      </c>
      <c r="F613" s="46" t="s">
        <v>2104</v>
      </c>
      <c r="G613" s="24" t="s">
        <v>4147</v>
      </c>
      <c r="H613" s="48" t="n">
        <v>5</v>
      </c>
      <c r="I613" s="46"/>
      <c r="J613" s="47" t="s">
        <v>1528</v>
      </c>
      <c r="K613" s="24" t="s">
        <v>4148</v>
      </c>
      <c r="L613" s="46" t="s">
        <v>4149</v>
      </c>
      <c r="M613" s="24" t="s">
        <v>4136</v>
      </c>
      <c r="N613" s="46" t="s">
        <v>4137</v>
      </c>
      <c r="O613" s="24" t="s">
        <v>3698</v>
      </c>
      <c r="P613" s="46" t="s">
        <v>3699</v>
      </c>
      <c r="Q613" s="46"/>
      <c r="R613" s="47" t="s">
        <v>48</v>
      </c>
      <c r="S613" s="52" t="s">
        <v>67</v>
      </c>
    </row>
    <row r="614" customFormat="false" ht="15" hidden="false" customHeight="true" outlineLevel="0" collapsed="false">
      <c r="A614" s="49" t="n">
        <v>624</v>
      </c>
      <c r="B614" s="25" t="s">
        <v>4132</v>
      </c>
      <c r="C614" s="50"/>
      <c r="D614" s="50" t="s">
        <v>2102</v>
      </c>
      <c r="E614" s="49" t="s">
        <v>16</v>
      </c>
      <c r="F614" s="49" t="s">
        <v>2104</v>
      </c>
      <c r="G614" s="25" t="s">
        <v>4150</v>
      </c>
      <c r="H614" s="51" t="n">
        <v>5</v>
      </c>
      <c r="I614" s="49"/>
      <c r="J614" s="50" t="s">
        <v>1530</v>
      </c>
      <c r="K614" s="25" t="s">
        <v>4151</v>
      </c>
      <c r="L614" s="49" t="s">
        <v>4152</v>
      </c>
      <c r="M614" s="25" t="s">
        <v>4136</v>
      </c>
      <c r="N614" s="49" t="s">
        <v>4137</v>
      </c>
      <c r="O614" s="25" t="s">
        <v>3698</v>
      </c>
      <c r="P614" s="49" t="s">
        <v>3699</v>
      </c>
      <c r="Q614" s="49"/>
      <c r="R614" s="50" t="s">
        <v>48</v>
      </c>
      <c r="S614" s="52" t="s">
        <v>67</v>
      </c>
    </row>
    <row r="615" customFormat="false" ht="15" hidden="false" customHeight="true" outlineLevel="0" collapsed="false">
      <c r="A615" s="46" t="n">
        <v>625</v>
      </c>
      <c r="B615" s="24" t="s">
        <v>4153</v>
      </c>
      <c r="C615" s="47"/>
      <c r="D615" s="47" t="s">
        <v>2102</v>
      </c>
      <c r="E615" s="46" t="s">
        <v>16</v>
      </c>
      <c r="F615" s="46" t="s">
        <v>2104</v>
      </c>
      <c r="G615" s="24" t="s">
        <v>4154</v>
      </c>
      <c r="H615" s="48" t="n">
        <v>5</v>
      </c>
      <c r="I615" s="46"/>
      <c r="J615" s="47" t="s">
        <v>1533</v>
      </c>
      <c r="K615" s="24" t="s">
        <v>4155</v>
      </c>
      <c r="L615" s="46" t="s">
        <v>4156</v>
      </c>
      <c r="M615" s="24" t="s">
        <v>4157</v>
      </c>
      <c r="N615" s="46" t="s">
        <v>4158</v>
      </c>
      <c r="O615" s="24" t="s">
        <v>3698</v>
      </c>
      <c r="P615" s="46" t="s">
        <v>3699</v>
      </c>
      <c r="Q615" s="46"/>
      <c r="R615" s="47" t="s">
        <v>48</v>
      </c>
      <c r="S615" s="52" t="s">
        <v>67</v>
      </c>
    </row>
    <row r="616" customFormat="false" ht="15" hidden="false" customHeight="true" outlineLevel="0" collapsed="false">
      <c r="A616" s="49" t="n">
        <v>626</v>
      </c>
      <c r="B616" s="25" t="s">
        <v>4159</v>
      </c>
      <c r="C616" s="50"/>
      <c r="D616" s="50" t="s">
        <v>2102</v>
      </c>
      <c r="E616" s="49" t="s">
        <v>16</v>
      </c>
      <c r="F616" s="49" t="s">
        <v>2104</v>
      </c>
      <c r="G616" s="25" t="s">
        <v>4160</v>
      </c>
      <c r="H616" s="51" t="n">
        <v>5</v>
      </c>
      <c r="I616" s="49"/>
      <c r="J616" s="50" t="s">
        <v>1537</v>
      </c>
      <c r="K616" s="25" t="s">
        <v>4161</v>
      </c>
      <c r="L616" s="49" t="s">
        <v>4162</v>
      </c>
      <c r="M616" s="25" t="s">
        <v>4136</v>
      </c>
      <c r="N616" s="49" t="s">
        <v>4137</v>
      </c>
      <c r="O616" s="25" t="s">
        <v>3698</v>
      </c>
      <c r="P616" s="49" t="s">
        <v>3699</v>
      </c>
      <c r="Q616" s="49"/>
      <c r="R616" s="50" t="s">
        <v>48</v>
      </c>
      <c r="S616" s="52" t="s">
        <v>67</v>
      </c>
    </row>
    <row r="617" customFormat="false" ht="15" hidden="false" customHeight="true" outlineLevel="0" collapsed="false">
      <c r="A617" s="46" t="n">
        <v>627</v>
      </c>
      <c r="B617" s="24" t="s">
        <v>4159</v>
      </c>
      <c r="C617" s="47"/>
      <c r="D617" s="47" t="s">
        <v>2102</v>
      </c>
      <c r="E617" s="46" t="s">
        <v>16</v>
      </c>
      <c r="F617" s="46" t="s">
        <v>2104</v>
      </c>
      <c r="G617" s="24" t="s">
        <v>4163</v>
      </c>
      <c r="H617" s="48" t="n">
        <v>5</v>
      </c>
      <c r="I617" s="46"/>
      <c r="J617" s="47" t="s">
        <v>1539</v>
      </c>
      <c r="K617" s="24" t="s">
        <v>4164</v>
      </c>
      <c r="L617" s="46" t="s">
        <v>4165</v>
      </c>
      <c r="M617" s="24" t="s">
        <v>4136</v>
      </c>
      <c r="N617" s="46" t="s">
        <v>4137</v>
      </c>
      <c r="O617" s="24" t="s">
        <v>3698</v>
      </c>
      <c r="P617" s="46" t="s">
        <v>3699</v>
      </c>
      <c r="Q617" s="46"/>
      <c r="R617" s="47" t="s">
        <v>48</v>
      </c>
      <c r="S617" s="52" t="s">
        <v>67</v>
      </c>
    </row>
    <row r="618" customFormat="false" ht="15" hidden="false" customHeight="true" outlineLevel="0" collapsed="false">
      <c r="A618" s="49" t="n">
        <v>628</v>
      </c>
      <c r="B618" s="25" t="s">
        <v>4159</v>
      </c>
      <c r="C618" s="50"/>
      <c r="D618" s="50" t="s">
        <v>2102</v>
      </c>
      <c r="E618" s="49" t="s">
        <v>16</v>
      </c>
      <c r="F618" s="49" t="s">
        <v>2104</v>
      </c>
      <c r="G618" s="25" t="s">
        <v>4166</v>
      </c>
      <c r="H618" s="51" t="n">
        <v>5</v>
      </c>
      <c r="I618" s="49"/>
      <c r="J618" s="50" t="s">
        <v>1541</v>
      </c>
      <c r="K618" s="25" t="s">
        <v>4167</v>
      </c>
      <c r="L618" s="49" t="s">
        <v>4168</v>
      </c>
      <c r="M618" s="25" t="s">
        <v>4136</v>
      </c>
      <c r="N618" s="49" t="s">
        <v>4137</v>
      </c>
      <c r="O618" s="25" t="s">
        <v>3698</v>
      </c>
      <c r="P618" s="49" t="s">
        <v>3699</v>
      </c>
      <c r="Q618" s="49"/>
      <c r="R618" s="50" t="s">
        <v>48</v>
      </c>
      <c r="S618" s="52" t="s">
        <v>67</v>
      </c>
    </row>
    <row r="619" customFormat="false" ht="15" hidden="false" customHeight="true" outlineLevel="0" collapsed="false">
      <c r="A619" s="46" t="n">
        <v>629</v>
      </c>
      <c r="B619" s="24" t="s">
        <v>4169</v>
      </c>
      <c r="C619" s="47"/>
      <c r="D619" s="47" t="s">
        <v>2102</v>
      </c>
      <c r="E619" s="46" t="s">
        <v>16</v>
      </c>
      <c r="F619" s="46" t="s">
        <v>2104</v>
      </c>
      <c r="G619" s="24" t="s">
        <v>4170</v>
      </c>
      <c r="H619" s="48" t="n">
        <v>5</v>
      </c>
      <c r="I619" s="46"/>
      <c r="J619" s="47" t="s">
        <v>1544</v>
      </c>
      <c r="K619" s="24" t="s">
        <v>4171</v>
      </c>
      <c r="L619" s="46" t="s">
        <v>4172</v>
      </c>
      <c r="M619" s="24" t="s">
        <v>4157</v>
      </c>
      <c r="N619" s="46" t="s">
        <v>4158</v>
      </c>
      <c r="O619" s="24" t="s">
        <v>3698</v>
      </c>
      <c r="P619" s="46" t="s">
        <v>3699</v>
      </c>
      <c r="Q619" s="46"/>
      <c r="R619" s="47" t="s">
        <v>48</v>
      </c>
      <c r="S619" s="52" t="s">
        <v>67</v>
      </c>
    </row>
    <row r="620" customFormat="false" ht="15" hidden="false" customHeight="true" outlineLevel="0" collapsed="false">
      <c r="A620" s="49" t="n">
        <v>630</v>
      </c>
      <c r="B620" s="25" t="s">
        <v>4132</v>
      </c>
      <c r="C620" s="50"/>
      <c r="D620" s="50" t="s">
        <v>2102</v>
      </c>
      <c r="E620" s="49" t="s">
        <v>16</v>
      </c>
      <c r="F620" s="49" t="s">
        <v>2104</v>
      </c>
      <c r="G620" s="25" t="s">
        <v>4173</v>
      </c>
      <c r="H620" s="51" t="n">
        <v>5</v>
      </c>
      <c r="I620" s="49"/>
      <c r="J620" s="50" t="s">
        <v>4174</v>
      </c>
      <c r="K620" s="25" t="s">
        <v>1507</v>
      </c>
      <c r="L620" s="49" t="s">
        <v>4175</v>
      </c>
      <c r="M620" s="25" t="s">
        <v>4157</v>
      </c>
      <c r="N620" s="49" t="s">
        <v>4158</v>
      </c>
      <c r="O620" s="25" t="s">
        <v>3698</v>
      </c>
      <c r="P620" s="49" t="s">
        <v>3699</v>
      </c>
      <c r="Q620" s="49"/>
      <c r="R620" s="50" t="s">
        <v>48</v>
      </c>
      <c r="S620" s="52" t="s">
        <v>67</v>
      </c>
    </row>
    <row r="621" customFormat="false" ht="15" hidden="false" customHeight="true" outlineLevel="0" collapsed="false">
      <c r="A621" s="46" t="n">
        <v>631</v>
      </c>
      <c r="B621" s="24" t="s">
        <v>4169</v>
      </c>
      <c r="C621" s="47"/>
      <c r="D621" s="47" t="s">
        <v>2102</v>
      </c>
      <c r="E621" s="46" t="s">
        <v>16</v>
      </c>
      <c r="F621" s="46" t="s">
        <v>2104</v>
      </c>
      <c r="G621" s="24" t="s">
        <v>4176</v>
      </c>
      <c r="H621" s="48" t="n">
        <v>5</v>
      </c>
      <c r="I621" s="46"/>
      <c r="J621" s="47" t="s">
        <v>4177</v>
      </c>
      <c r="K621" s="24" t="s">
        <v>3888</v>
      </c>
      <c r="L621" s="46" t="s">
        <v>4178</v>
      </c>
      <c r="M621" s="24" t="s">
        <v>4157</v>
      </c>
      <c r="N621" s="46" t="s">
        <v>4158</v>
      </c>
      <c r="O621" s="24" t="s">
        <v>3698</v>
      </c>
      <c r="P621" s="46" t="s">
        <v>3699</v>
      </c>
      <c r="Q621" s="46"/>
      <c r="R621" s="47" t="s">
        <v>48</v>
      </c>
      <c r="S621" s="52" t="s">
        <v>67</v>
      </c>
    </row>
    <row r="622" customFormat="false" ht="15" hidden="false" customHeight="true" outlineLevel="0" collapsed="false">
      <c r="A622" s="49" t="n">
        <v>632</v>
      </c>
      <c r="B622" s="25" t="s">
        <v>4169</v>
      </c>
      <c r="C622" s="50"/>
      <c r="D622" s="50" t="s">
        <v>2102</v>
      </c>
      <c r="E622" s="49" t="s">
        <v>16</v>
      </c>
      <c r="F622" s="49" t="s">
        <v>2104</v>
      </c>
      <c r="G622" s="25" t="s">
        <v>4179</v>
      </c>
      <c r="H622" s="51" t="n">
        <v>5</v>
      </c>
      <c r="I622" s="49"/>
      <c r="J622" s="50" t="s">
        <v>4180</v>
      </c>
      <c r="K622" s="25" t="s">
        <v>4181</v>
      </c>
      <c r="L622" s="49" t="s">
        <v>4140</v>
      </c>
      <c r="M622" s="25" t="s">
        <v>4157</v>
      </c>
      <c r="N622" s="49" t="s">
        <v>4158</v>
      </c>
      <c r="O622" s="25" t="s">
        <v>3698</v>
      </c>
      <c r="P622" s="49" t="s">
        <v>3699</v>
      </c>
      <c r="Q622" s="49"/>
      <c r="R622" s="50" t="s">
        <v>48</v>
      </c>
      <c r="S622" s="52" t="s">
        <v>67</v>
      </c>
    </row>
    <row r="623" customFormat="false" ht="15" hidden="false" customHeight="true" outlineLevel="0" collapsed="false">
      <c r="A623" s="46" t="n">
        <v>633</v>
      </c>
      <c r="B623" s="24" t="s">
        <v>4169</v>
      </c>
      <c r="C623" s="47"/>
      <c r="D623" s="47" t="s">
        <v>2102</v>
      </c>
      <c r="E623" s="46" t="s">
        <v>16</v>
      </c>
      <c r="F623" s="46" t="s">
        <v>2104</v>
      </c>
      <c r="G623" s="24" t="s">
        <v>4182</v>
      </c>
      <c r="H623" s="48" t="n">
        <v>5</v>
      </c>
      <c r="I623" s="46"/>
      <c r="J623" s="47" t="s">
        <v>1553</v>
      </c>
      <c r="K623" s="24" t="s">
        <v>4183</v>
      </c>
      <c r="L623" s="46" t="s">
        <v>4042</v>
      </c>
      <c r="M623" s="24" t="s">
        <v>4157</v>
      </c>
      <c r="N623" s="46" t="s">
        <v>4158</v>
      </c>
      <c r="O623" s="24" t="s">
        <v>3698</v>
      </c>
      <c r="P623" s="46" t="s">
        <v>3699</v>
      </c>
      <c r="Q623" s="46"/>
      <c r="R623" s="47" t="s">
        <v>48</v>
      </c>
      <c r="S623" s="52" t="s">
        <v>67</v>
      </c>
    </row>
    <row r="624" customFormat="false" ht="15" hidden="false" customHeight="true" outlineLevel="0" collapsed="false">
      <c r="A624" s="49" t="n">
        <v>634</v>
      </c>
      <c r="B624" s="25" t="s">
        <v>4169</v>
      </c>
      <c r="C624" s="50"/>
      <c r="D624" s="50" t="s">
        <v>2102</v>
      </c>
      <c r="E624" s="49" t="s">
        <v>16</v>
      </c>
      <c r="F624" s="49" t="s">
        <v>2104</v>
      </c>
      <c r="G624" s="25" t="s">
        <v>4184</v>
      </c>
      <c r="H624" s="51" t="n">
        <v>5</v>
      </c>
      <c r="I624" s="49"/>
      <c r="J624" s="50" t="s">
        <v>1555</v>
      </c>
      <c r="K624" s="25" t="s">
        <v>4185</v>
      </c>
      <c r="L624" s="49" t="s">
        <v>4186</v>
      </c>
      <c r="M624" s="25" t="s">
        <v>4157</v>
      </c>
      <c r="N624" s="49" t="s">
        <v>4158</v>
      </c>
      <c r="O624" s="25" t="s">
        <v>3698</v>
      </c>
      <c r="P624" s="49" t="s">
        <v>3699</v>
      </c>
      <c r="Q624" s="49"/>
      <c r="R624" s="50" t="s">
        <v>48</v>
      </c>
      <c r="S624" s="52" t="s">
        <v>67</v>
      </c>
    </row>
    <row r="625" customFormat="false" ht="15" hidden="false" customHeight="true" outlineLevel="0" collapsed="false">
      <c r="A625" s="46" t="n">
        <v>635</v>
      </c>
      <c r="B625" s="24" t="s">
        <v>4169</v>
      </c>
      <c r="C625" s="47"/>
      <c r="D625" s="47" t="s">
        <v>2102</v>
      </c>
      <c r="E625" s="46" t="s">
        <v>16</v>
      </c>
      <c r="F625" s="46" t="s">
        <v>2104</v>
      </c>
      <c r="G625" s="24" t="s">
        <v>4187</v>
      </c>
      <c r="H625" s="48" t="n">
        <v>5</v>
      </c>
      <c r="I625" s="46"/>
      <c r="J625" s="47" t="s">
        <v>1557</v>
      </c>
      <c r="K625" s="24" t="s">
        <v>4188</v>
      </c>
      <c r="L625" s="46" t="s">
        <v>4189</v>
      </c>
      <c r="M625" s="24" t="s">
        <v>4157</v>
      </c>
      <c r="N625" s="46" t="s">
        <v>4158</v>
      </c>
      <c r="O625" s="24" t="s">
        <v>3698</v>
      </c>
      <c r="P625" s="46" t="s">
        <v>3699</v>
      </c>
      <c r="Q625" s="46"/>
      <c r="R625" s="47" t="s">
        <v>48</v>
      </c>
      <c r="S625" s="52" t="s">
        <v>67</v>
      </c>
    </row>
    <row r="626" customFormat="false" ht="15" hidden="false" customHeight="true" outlineLevel="0" collapsed="false">
      <c r="A626" s="49" t="n">
        <v>636</v>
      </c>
      <c r="B626" s="25" t="s">
        <v>4169</v>
      </c>
      <c r="C626" s="50"/>
      <c r="D626" s="50" t="s">
        <v>2102</v>
      </c>
      <c r="E626" s="49" t="s">
        <v>16</v>
      </c>
      <c r="F626" s="49" t="s">
        <v>2104</v>
      </c>
      <c r="G626" s="25" t="s">
        <v>4190</v>
      </c>
      <c r="H626" s="51" t="n">
        <v>5</v>
      </c>
      <c r="I626" s="49"/>
      <c r="J626" s="50" t="s">
        <v>1559</v>
      </c>
      <c r="K626" s="25" t="s">
        <v>3851</v>
      </c>
      <c r="L626" s="49" t="s">
        <v>4191</v>
      </c>
      <c r="M626" s="25" t="s">
        <v>4157</v>
      </c>
      <c r="N626" s="49" t="s">
        <v>4158</v>
      </c>
      <c r="O626" s="25" t="s">
        <v>3698</v>
      </c>
      <c r="P626" s="49" t="s">
        <v>3699</v>
      </c>
      <c r="Q626" s="49"/>
      <c r="R626" s="50" t="s">
        <v>48</v>
      </c>
      <c r="S626" s="52" t="s">
        <v>67</v>
      </c>
    </row>
    <row r="627" customFormat="false" ht="15" hidden="false" customHeight="true" outlineLevel="0" collapsed="false">
      <c r="A627" s="46" t="n">
        <v>637</v>
      </c>
      <c r="B627" s="24" t="s">
        <v>4169</v>
      </c>
      <c r="C627" s="47"/>
      <c r="D627" s="47" t="s">
        <v>2102</v>
      </c>
      <c r="E627" s="46" t="s">
        <v>16</v>
      </c>
      <c r="F627" s="46" t="s">
        <v>2104</v>
      </c>
      <c r="G627" s="24" t="s">
        <v>4192</v>
      </c>
      <c r="H627" s="48" t="n">
        <v>5</v>
      </c>
      <c r="I627" s="46"/>
      <c r="J627" s="47" t="s">
        <v>1561</v>
      </c>
      <c r="K627" s="24" t="s">
        <v>4193</v>
      </c>
      <c r="L627" s="46" t="s">
        <v>4194</v>
      </c>
      <c r="M627" s="24" t="s">
        <v>4157</v>
      </c>
      <c r="N627" s="46" t="s">
        <v>4158</v>
      </c>
      <c r="O627" s="24" t="s">
        <v>3698</v>
      </c>
      <c r="P627" s="46" t="s">
        <v>3699</v>
      </c>
      <c r="Q627" s="46"/>
      <c r="R627" s="47" t="s">
        <v>48</v>
      </c>
      <c r="S627" s="52" t="s">
        <v>67</v>
      </c>
    </row>
    <row r="628" customFormat="false" ht="15" hidden="false" customHeight="true" outlineLevel="0" collapsed="false">
      <c r="A628" s="49" t="n">
        <v>638</v>
      </c>
      <c r="B628" s="25" t="s">
        <v>4169</v>
      </c>
      <c r="C628" s="50"/>
      <c r="D628" s="50" t="s">
        <v>2102</v>
      </c>
      <c r="E628" s="49" t="s">
        <v>16</v>
      </c>
      <c r="F628" s="49" t="s">
        <v>2104</v>
      </c>
      <c r="G628" s="25" t="s">
        <v>4195</v>
      </c>
      <c r="H628" s="51" t="n">
        <v>5</v>
      </c>
      <c r="I628" s="49"/>
      <c r="J628" s="50" t="s">
        <v>1563</v>
      </c>
      <c r="K628" s="25" t="s">
        <v>4196</v>
      </c>
      <c r="L628" s="49" t="s">
        <v>4197</v>
      </c>
      <c r="M628" s="25" t="s">
        <v>4157</v>
      </c>
      <c r="N628" s="49" t="s">
        <v>4158</v>
      </c>
      <c r="O628" s="25" t="s">
        <v>3698</v>
      </c>
      <c r="P628" s="49" t="s">
        <v>3699</v>
      </c>
      <c r="Q628" s="49"/>
      <c r="R628" s="50" t="s">
        <v>48</v>
      </c>
      <c r="S628" s="52" t="s">
        <v>67</v>
      </c>
    </row>
    <row r="629" customFormat="false" ht="15" hidden="false" customHeight="true" outlineLevel="0" collapsed="false">
      <c r="A629" s="46" t="n">
        <v>639</v>
      </c>
      <c r="B629" s="24" t="s">
        <v>4169</v>
      </c>
      <c r="C629" s="47"/>
      <c r="D629" s="47" t="s">
        <v>2102</v>
      </c>
      <c r="E629" s="46" t="s">
        <v>16</v>
      </c>
      <c r="F629" s="46" t="s">
        <v>2104</v>
      </c>
      <c r="G629" s="24" t="s">
        <v>4198</v>
      </c>
      <c r="H629" s="48" t="n">
        <v>5</v>
      </c>
      <c r="I629" s="46"/>
      <c r="J629" s="47" t="s">
        <v>1565</v>
      </c>
      <c r="K629" s="24" t="s">
        <v>4199</v>
      </c>
      <c r="L629" s="46" t="s">
        <v>4200</v>
      </c>
      <c r="M629" s="24" t="s">
        <v>4157</v>
      </c>
      <c r="N629" s="46" t="s">
        <v>4158</v>
      </c>
      <c r="O629" s="24" t="s">
        <v>3698</v>
      </c>
      <c r="P629" s="46" t="s">
        <v>3699</v>
      </c>
      <c r="Q629" s="46"/>
      <c r="R629" s="47" t="s">
        <v>48</v>
      </c>
      <c r="S629" s="52" t="s">
        <v>67</v>
      </c>
    </row>
    <row r="630" customFormat="false" ht="15" hidden="false" customHeight="true" outlineLevel="0" collapsed="false">
      <c r="A630" s="49" t="n">
        <v>640</v>
      </c>
      <c r="B630" s="25" t="s">
        <v>4169</v>
      </c>
      <c r="C630" s="50"/>
      <c r="D630" s="50" t="s">
        <v>2102</v>
      </c>
      <c r="E630" s="49" t="s">
        <v>16</v>
      </c>
      <c r="F630" s="49" t="s">
        <v>2104</v>
      </c>
      <c r="G630" s="25" t="s">
        <v>4201</v>
      </c>
      <c r="H630" s="51" t="n">
        <v>5</v>
      </c>
      <c r="I630" s="49"/>
      <c r="J630" s="50" t="s">
        <v>1567</v>
      </c>
      <c r="K630" s="25" t="s">
        <v>4202</v>
      </c>
      <c r="L630" s="49" t="s">
        <v>4203</v>
      </c>
      <c r="M630" s="25" t="s">
        <v>4157</v>
      </c>
      <c r="N630" s="49" t="s">
        <v>4158</v>
      </c>
      <c r="O630" s="25" t="s">
        <v>3698</v>
      </c>
      <c r="P630" s="49" t="s">
        <v>3699</v>
      </c>
      <c r="Q630" s="49"/>
      <c r="R630" s="50" t="s">
        <v>48</v>
      </c>
      <c r="S630" s="52" t="s">
        <v>2829</v>
      </c>
    </row>
    <row r="631" customFormat="false" ht="15" hidden="false" customHeight="true" outlineLevel="0" collapsed="false">
      <c r="A631" s="46" t="n">
        <v>641</v>
      </c>
      <c r="B631" s="24" t="s">
        <v>4169</v>
      </c>
      <c r="C631" s="47"/>
      <c r="D631" s="47" t="s">
        <v>2102</v>
      </c>
      <c r="E631" s="46" t="s">
        <v>16</v>
      </c>
      <c r="F631" s="46" t="s">
        <v>2104</v>
      </c>
      <c r="G631" s="24" t="s">
        <v>4204</v>
      </c>
      <c r="H631" s="48" t="n">
        <v>5</v>
      </c>
      <c r="I631" s="46"/>
      <c r="J631" s="47" t="s">
        <v>4205</v>
      </c>
      <c r="K631" s="24" t="s">
        <v>4206</v>
      </c>
      <c r="L631" s="46" t="s">
        <v>4207</v>
      </c>
      <c r="M631" s="24" t="s">
        <v>4157</v>
      </c>
      <c r="N631" s="46" t="s">
        <v>4158</v>
      </c>
      <c r="O631" s="24" t="s">
        <v>3698</v>
      </c>
      <c r="P631" s="46" t="s">
        <v>3699</v>
      </c>
      <c r="Q631" s="46"/>
      <c r="R631" s="47" t="s">
        <v>48</v>
      </c>
      <c r="S631" s="52" t="s">
        <v>67</v>
      </c>
    </row>
    <row r="632" customFormat="false" ht="15" hidden="false" customHeight="true" outlineLevel="0" collapsed="false">
      <c r="A632" s="49" t="n">
        <v>642</v>
      </c>
      <c r="B632" s="25" t="s">
        <v>4169</v>
      </c>
      <c r="C632" s="50"/>
      <c r="D632" s="50" t="s">
        <v>2102</v>
      </c>
      <c r="E632" s="49" t="s">
        <v>16</v>
      </c>
      <c r="F632" s="49" t="s">
        <v>2104</v>
      </c>
      <c r="G632" s="25" t="s">
        <v>4208</v>
      </c>
      <c r="H632" s="51" t="n">
        <v>5</v>
      </c>
      <c r="I632" s="49"/>
      <c r="J632" s="50" t="s">
        <v>1571</v>
      </c>
      <c r="K632" s="25" t="s">
        <v>4209</v>
      </c>
      <c r="L632" s="49" t="s">
        <v>4210</v>
      </c>
      <c r="M632" s="25" t="s">
        <v>4157</v>
      </c>
      <c r="N632" s="49" t="s">
        <v>4158</v>
      </c>
      <c r="O632" s="25" t="s">
        <v>3698</v>
      </c>
      <c r="P632" s="49" t="s">
        <v>3699</v>
      </c>
      <c r="Q632" s="49"/>
      <c r="R632" s="50" t="s">
        <v>48</v>
      </c>
      <c r="S632" s="52" t="s">
        <v>67</v>
      </c>
    </row>
    <row r="633" customFormat="false" ht="15" hidden="false" customHeight="true" outlineLevel="0" collapsed="false">
      <c r="A633" s="46" t="n">
        <v>643</v>
      </c>
      <c r="B633" s="24" t="s">
        <v>4211</v>
      </c>
      <c r="C633" s="47"/>
      <c r="D633" s="47" t="s">
        <v>2102</v>
      </c>
      <c r="E633" s="46" t="s">
        <v>16</v>
      </c>
      <c r="F633" s="46" t="s">
        <v>2104</v>
      </c>
      <c r="G633" s="24" t="s">
        <v>4212</v>
      </c>
      <c r="H633" s="48" t="n">
        <v>5</v>
      </c>
      <c r="I633" s="46"/>
      <c r="J633" s="47" t="s">
        <v>4213</v>
      </c>
      <c r="K633" s="24" t="s">
        <v>4214</v>
      </c>
      <c r="L633" s="46" t="s">
        <v>4215</v>
      </c>
      <c r="M633" s="24" t="s">
        <v>4157</v>
      </c>
      <c r="N633" s="46" t="s">
        <v>4158</v>
      </c>
      <c r="O633" s="24" t="s">
        <v>3698</v>
      </c>
      <c r="P633" s="46" t="s">
        <v>3699</v>
      </c>
      <c r="Q633" s="46"/>
      <c r="R633" s="47" t="s">
        <v>48</v>
      </c>
      <c r="S633" s="52" t="s">
        <v>67</v>
      </c>
    </row>
    <row r="634" customFormat="false" ht="15" hidden="false" customHeight="true" outlineLevel="0" collapsed="false">
      <c r="A634" s="49" t="n">
        <v>644</v>
      </c>
      <c r="B634" s="25" t="s">
        <v>4169</v>
      </c>
      <c r="C634" s="50"/>
      <c r="D634" s="50" t="s">
        <v>2102</v>
      </c>
      <c r="E634" s="49" t="s">
        <v>16</v>
      </c>
      <c r="F634" s="49" t="s">
        <v>2104</v>
      </c>
      <c r="G634" s="25" t="s">
        <v>4216</v>
      </c>
      <c r="H634" s="51" t="n">
        <v>5</v>
      </c>
      <c r="I634" s="49"/>
      <c r="J634" s="50" t="s">
        <v>1576</v>
      </c>
      <c r="K634" s="25" t="s">
        <v>3983</v>
      </c>
      <c r="L634" s="49" t="s">
        <v>4217</v>
      </c>
      <c r="M634" s="25" t="s">
        <v>4157</v>
      </c>
      <c r="N634" s="49" t="s">
        <v>4158</v>
      </c>
      <c r="O634" s="25" t="s">
        <v>3698</v>
      </c>
      <c r="P634" s="49" t="s">
        <v>3699</v>
      </c>
      <c r="Q634" s="49"/>
      <c r="R634" s="50" t="s">
        <v>48</v>
      </c>
      <c r="S634" s="52" t="s">
        <v>67</v>
      </c>
    </row>
    <row r="635" customFormat="false" ht="15" hidden="false" customHeight="true" outlineLevel="0" collapsed="false">
      <c r="A635" s="46" t="n">
        <v>645</v>
      </c>
      <c r="B635" s="24" t="s">
        <v>4100</v>
      </c>
      <c r="C635" s="47"/>
      <c r="D635" s="47" t="s">
        <v>2144</v>
      </c>
      <c r="E635" s="46" t="s">
        <v>16</v>
      </c>
      <c r="F635" s="46" t="s">
        <v>2104</v>
      </c>
      <c r="G635" s="24" t="s">
        <v>4218</v>
      </c>
      <c r="H635" s="48" t="n">
        <v>5</v>
      </c>
      <c r="I635" s="46"/>
      <c r="J635" s="47" t="s">
        <v>1578</v>
      </c>
      <c r="K635" s="24" t="s">
        <v>4219</v>
      </c>
      <c r="L635" s="46" t="s">
        <v>4220</v>
      </c>
      <c r="M635" s="24" t="s">
        <v>4157</v>
      </c>
      <c r="N635" s="46" t="s">
        <v>4158</v>
      </c>
      <c r="O635" s="24" t="s">
        <v>3698</v>
      </c>
      <c r="P635" s="46" t="s">
        <v>3699</v>
      </c>
      <c r="Q635" s="46"/>
      <c r="R635" s="47" t="s">
        <v>48</v>
      </c>
      <c r="S635" s="52" t="s">
        <v>67</v>
      </c>
    </row>
    <row r="636" customFormat="false" ht="15" hidden="false" customHeight="true" outlineLevel="0" collapsed="false">
      <c r="A636" s="49" t="n">
        <v>646</v>
      </c>
      <c r="B636" s="25" t="s">
        <v>4221</v>
      </c>
      <c r="C636" s="50"/>
      <c r="D636" s="50" t="s">
        <v>2102</v>
      </c>
      <c r="E636" s="49" t="s">
        <v>16</v>
      </c>
      <c r="F636" s="49" t="s">
        <v>2104</v>
      </c>
      <c r="G636" s="25" t="s">
        <v>4222</v>
      </c>
      <c r="H636" s="51" t="n">
        <v>5</v>
      </c>
      <c r="I636" s="49"/>
      <c r="J636" s="50" t="s">
        <v>1581</v>
      </c>
      <c r="K636" s="25" t="s">
        <v>4193</v>
      </c>
      <c r="L636" s="49" t="s">
        <v>4223</v>
      </c>
      <c r="M636" s="25" t="s">
        <v>4157</v>
      </c>
      <c r="N636" s="49" t="s">
        <v>4158</v>
      </c>
      <c r="O636" s="25" t="s">
        <v>3698</v>
      </c>
      <c r="P636" s="49" t="s">
        <v>3699</v>
      </c>
      <c r="Q636" s="49"/>
      <c r="R636" s="50" t="s">
        <v>48</v>
      </c>
      <c r="S636" s="52" t="s">
        <v>67</v>
      </c>
    </row>
    <row r="637" customFormat="false" ht="15" hidden="false" customHeight="true" outlineLevel="0" collapsed="false">
      <c r="A637" s="46" t="n">
        <v>647</v>
      </c>
      <c r="B637" s="24" t="s">
        <v>4132</v>
      </c>
      <c r="C637" s="47"/>
      <c r="D637" s="47" t="s">
        <v>2102</v>
      </c>
      <c r="E637" s="46" t="s">
        <v>16</v>
      </c>
      <c r="F637" s="46" t="s">
        <v>2104</v>
      </c>
      <c r="G637" s="24" t="s">
        <v>4224</v>
      </c>
      <c r="H637" s="48" t="n">
        <v>5</v>
      </c>
      <c r="I637" s="46"/>
      <c r="J637" s="47" t="s">
        <v>4225</v>
      </c>
      <c r="K637" s="24" t="s">
        <v>4226</v>
      </c>
      <c r="L637" s="46" t="s">
        <v>4227</v>
      </c>
      <c r="M637" s="24" t="s">
        <v>4157</v>
      </c>
      <c r="N637" s="46" t="s">
        <v>4158</v>
      </c>
      <c r="O637" s="24" t="s">
        <v>3698</v>
      </c>
      <c r="P637" s="46" t="s">
        <v>3699</v>
      </c>
      <c r="Q637" s="46"/>
      <c r="R637" s="47" t="s">
        <v>48</v>
      </c>
      <c r="S637" s="52" t="s">
        <v>2829</v>
      </c>
    </row>
    <row r="638" customFormat="false" ht="15" hidden="false" customHeight="true" outlineLevel="0" collapsed="false">
      <c r="A638" s="49" t="n">
        <v>648</v>
      </c>
      <c r="B638" s="25" t="s">
        <v>4132</v>
      </c>
      <c r="C638" s="50"/>
      <c r="D638" s="50" t="s">
        <v>2102</v>
      </c>
      <c r="E638" s="49" t="s">
        <v>16</v>
      </c>
      <c r="F638" s="49" t="s">
        <v>2104</v>
      </c>
      <c r="G638" s="25" t="s">
        <v>4228</v>
      </c>
      <c r="H638" s="51" t="n">
        <v>5</v>
      </c>
      <c r="I638" s="49"/>
      <c r="J638" s="50" t="s">
        <v>4229</v>
      </c>
      <c r="K638" s="25" t="s">
        <v>4230</v>
      </c>
      <c r="L638" s="49" t="s">
        <v>4231</v>
      </c>
      <c r="M638" s="25" t="s">
        <v>4157</v>
      </c>
      <c r="N638" s="49" t="s">
        <v>4158</v>
      </c>
      <c r="O638" s="25" t="s">
        <v>3698</v>
      </c>
      <c r="P638" s="49" t="s">
        <v>3699</v>
      </c>
      <c r="Q638" s="49"/>
      <c r="R638" s="50" t="s">
        <v>48</v>
      </c>
      <c r="S638" s="52" t="s">
        <v>67</v>
      </c>
    </row>
    <row r="639" customFormat="false" ht="15" hidden="false" customHeight="true" outlineLevel="0" collapsed="false">
      <c r="A639" s="46" t="n">
        <v>649</v>
      </c>
      <c r="B639" s="24" t="s">
        <v>4221</v>
      </c>
      <c r="C639" s="47"/>
      <c r="D639" s="47" t="s">
        <v>2102</v>
      </c>
      <c r="E639" s="46" t="s">
        <v>16</v>
      </c>
      <c r="F639" s="46" t="s">
        <v>2104</v>
      </c>
      <c r="G639" s="24" t="s">
        <v>4232</v>
      </c>
      <c r="H639" s="48" t="n">
        <v>5</v>
      </c>
      <c r="I639" s="46"/>
      <c r="J639" s="47" t="s">
        <v>1587</v>
      </c>
      <c r="K639" s="24" t="s">
        <v>4050</v>
      </c>
      <c r="L639" s="46" t="s">
        <v>4233</v>
      </c>
      <c r="M639" s="24" t="s">
        <v>4136</v>
      </c>
      <c r="N639" s="46" t="s">
        <v>4137</v>
      </c>
      <c r="O639" s="24" t="s">
        <v>3698</v>
      </c>
      <c r="P639" s="46" t="s">
        <v>3699</v>
      </c>
      <c r="Q639" s="46"/>
      <c r="R639" s="47" t="s">
        <v>48</v>
      </c>
      <c r="S639" s="52" t="s">
        <v>67</v>
      </c>
    </row>
    <row r="640" customFormat="false" ht="15" hidden="false" customHeight="true" outlineLevel="0" collapsed="false">
      <c r="A640" s="49" t="n">
        <v>650</v>
      </c>
      <c r="B640" s="25" t="s">
        <v>4159</v>
      </c>
      <c r="C640" s="50"/>
      <c r="D640" s="50" t="s">
        <v>2102</v>
      </c>
      <c r="E640" s="49" t="s">
        <v>16</v>
      </c>
      <c r="F640" s="49" t="s">
        <v>2104</v>
      </c>
      <c r="G640" s="25" t="s">
        <v>4234</v>
      </c>
      <c r="H640" s="51" t="n">
        <v>5</v>
      </c>
      <c r="I640" s="49"/>
      <c r="J640" s="50" t="s">
        <v>1589</v>
      </c>
      <c r="K640" s="25" t="s">
        <v>4235</v>
      </c>
      <c r="L640" s="49" t="s">
        <v>4236</v>
      </c>
      <c r="M640" s="25" t="s">
        <v>4136</v>
      </c>
      <c r="N640" s="49" t="s">
        <v>4137</v>
      </c>
      <c r="O640" s="25" t="s">
        <v>3698</v>
      </c>
      <c r="P640" s="49" t="s">
        <v>3699</v>
      </c>
      <c r="Q640" s="49"/>
      <c r="R640" s="50" t="s">
        <v>48</v>
      </c>
      <c r="S640" s="52" t="s">
        <v>67</v>
      </c>
    </row>
    <row r="641" customFormat="false" ht="15" hidden="false" customHeight="true" outlineLevel="0" collapsed="false">
      <c r="A641" s="46" t="n">
        <v>651</v>
      </c>
      <c r="B641" s="24" t="s">
        <v>4159</v>
      </c>
      <c r="C641" s="47"/>
      <c r="D641" s="47" t="s">
        <v>2102</v>
      </c>
      <c r="E641" s="46" t="s">
        <v>16</v>
      </c>
      <c r="F641" s="46" t="s">
        <v>2104</v>
      </c>
      <c r="G641" s="24" t="s">
        <v>4237</v>
      </c>
      <c r="H641" s="48" t="n">
        <v>5</v>
      </c>
      <c r="I641" s="46"/>
      <c r="J641" s="47" t="s">
        <v>1591</v>
      </c>
      <c r="K641" s="24" t="s">
        <v>4238</v>
      </c>
      <c r="L641" s="46" t="s">
        <v>4239</v>
      </c>
      <c r="M641" s="24" t="s">
        <v>4136</v>
      </c>
      <c r="N641" s="46" t="s">
        <v>4137</v>
      </c>
      <c r="O641" s="24" t="s">
        <v>3698</v>
      </c>
      <c r="P641" s="46" t="s">
        <v>3699</v>
      </c>
      <c r="Q641" s="46"/>
      <c r="R641" s="47" t="s">
        <v>48</v>
      </c>
      <c r="S641" s="52" t="s">
        <v>2829</v>
      </c>
    </row>
    <row r="642" customFormat="false" ht="15" hidden="false" customHeight="true" outlineLevel="0" collapsed="false">
      <c r="A642" s="49" t="n">
        <v>652</v>
      </c>
      <c r="B642" s="25" t="s">
        <v>4240</v>
      </c>
      <c r="C642" s="50"/>
      <c r="D642" s="50" t="s">
        <v>2102</v>
      </c>
      <c r="E642" s="49" t="s">
        <v>16</v>
      </c>
      <c r="F642" s="49" t="s">
        <v>2104</v>
      </c>
      <c r="G642" s="25" t="s">
        <v>4241</v>
      </c>
      <c r="H642" s="51" t="n">
        <v>5</v>
      </c>
      <c r="I642" s="49"/>
      <c r="J642" s="50" t="s">
        <v>4242</v>
      </c>
      <c r="K642" s="25" t="s">
        <v>4243</v>
      </c>
      <c r="L642" s="49" t="s">
        <v>4244</v>
      </c>
      <c r="M642" s="25" t="s">
        <v>4136</v>
      </c>
      <c r="N642" s="49" t="s">
        <v>4137</v>
      </c>
      <c r="O642" s="25" t="s">
        <v>3698</v>
      </c>
      <c r="P642" s="49" t="s">
        <v>3699</v>
      </c>
      <c r="Q642" s="49"/>
      <c r="R642" s="50" t="s">
        <v>48</v>
      </c>
      <c r="S642" s="52" t="s">
        <v>67</v>
      </c>
    </row>
    <row r="643" customFormat="false" ht="15" hidden="false" customHeight="true" outlineLevel="0" collapsed="false">
      <c r="A643" s="46" t="n">
        <v>653</v>
      </c>
      <c r="B643" s="24" t="s">
        <v>4132</v>
      </c>
      <c r="C643" s="47"/>
      <c r="D643" s="47" t="s">
        <v>2102</v>
      </c>
      <c r="E643" s="46" t="s">
        <v>16</v>
      </c>
      <c r="F643" s="46" t="s">
        <v>2104</v>
      </c>
      <c r="G643" s="24" t="s">
        <v>4245</v>
      </c>
      <c r="H643" s="48" t="n">
        <v>5</v>
      </c>
      <c r="I643" s="46"/>
      <c r="J643" s="47" t="s">
        <v>4246</v>
      </c>
      <c r="K643" s="24" t="s">
        <v>4247</v>
      </c>
      <c r="L643" s="46" t="s">
        <v>4248</v>
      </c>
      <c r="M643" s="24" t="s">
        <v>4136</v>
      </c>
      <c r="N643" s="46" t="s">
        <v>4137</v>
      </c>
      <c r="O643" s="24" t="s">
        <v>3698</v>
      </c>
      <c r="P643" s="46" t="s">
        <v>3699</v>
      </c>
      <c r="Q643" s="46"/>
      <c r="R643" s="47" t="s">
        <v>48</v>
      </c>
      <c r="S643" s="52" t="s">
        <v>67</v>
      </c>
    </row>
    <row r="644" customFormat="false" ht="15" hidden="false" customHeight="true" outlineLevel="0" collapsed="false">
      <c r="A644" s="49" t="n">
        <v>654</v>
      </c>
      <c r="B644" s="25" t="s">
        <v>4159</v>
      </c>
      <c r="C644" s="50"/>
      <c r="D644" s="50" t="s">
        <v>2102</v>
      </c>
      <c r="E644" s="49" t="s">
        <v>16</v>
      </c>
      <c r="F644" s="49" t="s">
        <v>2104</v>
      </c>
      <c r="G644" s="25" t="s">
        <v>4249</v>
      </c>
      <c r="H644" s="51" t="n">
        <v>5</v>
      </c>
      <c r="I644" s="49"/>
      <c r="J644" s="50" t="s">
        <v>1598</v>
      </c>
      <c r="K644" s="25" t="s">
        <v>4003</v>
      </c>
      <c r="L644" s="49" t="s">
        <v>4250</v>
      </c>
      <c r="M644" s="25" t="s">
        <v>4136</v>
      </c>
      <c r="N644" s="49" t="s">
        <v>4137</v>
      </c>
      <c r="O644" s="25" t="s">
        <v>3698</v>
      </c>
      <c r="P644" s="49" t="s">
        <v>3699</v>
      </c>
      <c r="Q644" s="49"/>
      <c r="R644" s="50" t="s">
        <v>48</v>
      </c>
      <c r="S644" s="52" t="s">
        <v>67</v>
      </c>
    </row>
    <row r="645" customFormat="false" ht="15" hidden="false" customHeight="true" outlineLevel="0" collapsed="false">
      <c r="A645" s="46" t="n">
        <v>655</v>
      </c>
      <c r="B645" s="24" t="s">
        <v>4159</v>
      </c>
      <c r="C645" s="47"/>
      <c r="D645" s="47" t="s">
        <v>2102</v>
      </c>
      <c r="E645" s="46" t="s">
        <v>16</v>
      </c>
      <c r="F645" s="46" t="s">
        <v>2104</v>
      </c>
      <c r="G645" s="24" t="s">
        <v>4251</v>
      </c>
      <c r="H645" s="48" t="n">
        <v>5</v>
      </c>
      <c r="I645" s="46"/>
      <c r="J645" s="47" t="s">
        <v>1600</v>
      </c>
      <c r="K645" s="24" t="s">
        <v>4252</v>
      </c>
      <c r="L645" s="46" t="s">
        <v>4253</v>
      </c>
      <c r="M645" s="24" t="s">
        <v>4136</v>
      </c>
      <c r="N645" s="46" t="s">
        <v>4137</v>
      </c>
      <c r="O645" s="24" t="s">
        <v>3698</v>
      </c>
      <c r="P645" s="46" t="s">
        <v>3699</v>
      </c>
      <c r="Q645" s="46"/>
      <c r="R645" s="47" t="s">
        <v>48</v>
      </c>
      <c r="S645" s="52" t="s">
        <v>2829</v>
      </c>
    </row>
    <row r="646" customFormat="false" ht="15" hidden="false" customHeight="true" outlineLevel="0" collapsed="false">
      <c r="A646" s="49" t="n">
        <v>656</v>
      </c>
      <c r="B646" s="25" t="s">
        <v>4159</v>
      </c>
      <c r="C646" s="50"/>
      <c r="D646" s="50" t="s">
        <v>2102</v>
      </c>
      <c r="E646" s="49" t="s">
        <v>16</v>
      </c>
      <c r="F646" s="49" t="s">
        <v>2104</v>
      </c>
      <c r="G646" s="25" t="s">
        <v>4254</v>
      </c>
      <c r="H646" s="51" t="n">
        <v>5</v>
      </c>
      <c r="I646" s="49"/>
      <c r="J646" s="50" t="s">
        <v>1602</v>
      </c>
      <c r="K646" s="25" t="s">
        <v>4255</v>
      </c>
      <c r="L646" s="49" t="s">
        <v>4256</v>
      </c>
      <c r="M646" s="25" t="s">
        <v>4136</v>
      </c>
      <c r="N646" s="49" t="s">
        <v>4137</v>
      </c>
      <c r="O646" s="25" t="s">
        <v>3698</v>
      </c>
      <c r="P646" s="49" t="s">
        <v>3699</v>
      </c>
      <c r="Q646" s="49"/>
      <c r="R646" s="50" t="s">
        <v>48</v>
      </c>
      <c r="S646" s="52" t="s">
        <v>67</v>
      </c>
    </row>
    <row r="647" customFormat="false" ht="15" hidden="false" customHeight="true" outlineLevel="0" collapsed="false">
      <c r="A647" s="46" t="n">
        <v>657</v>
      </c>
      <c r="B647" s="24" t="s">
        <v>4159</v>
      </c>
      <c r="C647" s="47"/>
      <c r="D647" s="47" t="s">
        <v>2102</v>
      </c>
      <c r="E647" s="46" t="s">
        <v>16</v>
      </c>
      <c r="F647" s="46" t="s">
        <v>2104</v>
      </c>
      <c r="G647" s="24" t="s">
        <v>4257</v>
      </c>
      <c r="H647" s="48" t="n">
        <v>5</v>
      </c>
      <c r="I647" s="46"/>
      <c r="J647" s="47" t="s">
        <v>1604</v>
      </c>
      <c r="K647" s="24" t="s">
        <v>4258</v>
      </c>
      <c r="L647" s="46" t="s">
        <v>4259</v>
      </c>
      <c r="M647" s="24" t="s">
        <v>4136</v>
      </c>
      <c r="N647" s="46" t="s">
        <v>4137</v>
      </c>
      <c r="O647" s="24" t="s">
        <v>3698</v>
      </c>
      <c r="P647" s="46" t="s">
        <v>3699</v>
      </c>
      <c r="Q647" s="46"/>
      <c r="R647" s="47" t="s">
        <v>48</v>
      </c>
      <c r="S647" s="52" t="s">
        <v>2829</v>
      </c>
    </row>
    <row r="648" customFormat="false" ht="15" hidden="false" customHeight="true" outlineLevel="0" collapsed="false">
      <c r="A648" s="49" t="n">
        <v>658</v>
      </c>
      <c r="B648" s="25" t="s">
        <v>4260</v>
      </c>
      <c r="C648" s="50"/>
      <c r="D648" s="50" t="s">
        <v>2160</v>
      </c>
      <c r="E648" s="49" t="s">
        <v>16</v>
      </c>
      <c r="F648" s="49" t="s">
        <v>2104</v>
      </c>
      <c r="G648" s="25" t="s">
        <v>4261</v>
      </c>
      <c r="H648" s="51" t="n">
        <v>5</v>
      </c>
      <c r="I648" s="49"/>
      <c r="J648" s="50" t="s">
        <v>3103</v>
      </c>
      <c r="K648" s="25" t="s">
        <v>3862</v>
      </c>
      <c r="L648" s="49" t="s">
        <v>4262</v>
      </c>
      <c r="M648" s="25" t="s">
        <v>4263</v>
      </c>
      <c r="N648" s="49" t="s">
        <v>4264</v>
      </c>
      <c r="O648" s="25" t="s">
        <v>3698</v>
      </c>
      <c r="P648" s="49" t="s">
        <v>3699</v>
      </c>
      <c r="Q648" s="49"/>
      <c r="R648" s="50" t="s">
        <v>48</v>
      </c>
      <c r="S648" s="52" t="s">
        <v>2829</v>
      </c>
    </row>
    <row r="649" customFormat="false" ht="15" hidden="false" customHeight="true" outlineLevel="0" collapsed="false">
      <c r="A649" s="46" t="n">
        <v>659</v>
      </c>
      <c r="B649" s="24" t="s">
        <v>4260</v>
      </c>
      <c r="C649" s="47"/>
      <c r="D649" s="47" t="s">
        <v>2160</v>
      </c>
      <c r="E649" s="46" t="s">
        <v>16</v>
      </c>
      <c r="F649" s="46" t="s">
        <v>2104</v>
      </c>
      <c r="G649" s="24" t="s">
        <v>4265</v>
      </c>
      <c r="H649" s="48" t="n">
        <v>5</v>
      </c>
      <c r="I649" s="46"/>
      <c r="J649" s="47" t="s">
        <v>3103</v>
      </c>
      <c r="K649" s="24" t="s">
        <v>4266</v>
      </c>
      <c r="L649" s="46" t="s">
        <v>4267</v>
      </c>
      <c r="M649" s="24" t="s">
        <v>4263</v>
      </c>
      <c r="N649" s="46" t="s">
        <v>4264</v>
      </c>
      <c r="O649" s="24" t="s">
        <v>3698</v>
      </c>
      <c r="P649" s="46" t="s">
        <v>3699</v>
      </c>
      <c r="Q649" s="46"/>
      <c r="R649" s="47" t="s">
        <v>48</v>
      </c>
      <c r="S649" s="52" t="s">
        <v>2829</v>
      </c>
    </row>
    <row r="650" customFormat="false" ht="15" hidden="false" customHeight="true" outlineLevel="0" collapsed="false">
      <c r="A650" s="49" t="n">
        <v>660</v>
      </c>
      <c r="B650" s="25" t="s">
        <v>4260</v>
      </c>
      <c r="C650" s="50"/>
      <c r="D650" s="50" t="s">
        <v>2160</v>
      </c>
      <c r="E650" s="49" t="s">
        <v>16</v>
      </c>
      <c r="F650" s="49" t="s">
        <v>2104</v>
      </c>
      <c r="G650" s="25" t="s">
        <v>4268</v>
      </c>
      <c r="H650" s="51" t="n">
        <v>5</v>
      </c>
      <c r="I650" s="49"/>
      <c r="J650" s="50" t="s">
        <v>3103</v>
      </c>
      <c r="K650" s="25" t="s">
        <v>4269</v>
      </c>
      <c r="L650" s="49" t="s">
        <v>4270</v>
      </c>
      <c r="M650" s="25" t="s">
        <v>4263</v>
      </c>
      <c r="N650" s="49" t="s">
        <v>4264</v>
      </c>
      <c r="O650" s="25" t="s">
        <v>3698</v>
      </c>
      <c r="P650" s="49" t="s">
        <v>3699</v>
      </c>
      <c r="Q650" s="49"/>
      <c r="R650" s="50" t="s">
        <v>48</v>
      </c>
      <c r="S650" s="52" t="s">
        <v>2829</v>
      </c>
    </row>
    <row r="651" customFormat="false" ht="15" hidden="false" customHeight="true" outlineLevel="0" collapsed="false">
      <c r="A651" s="46" t="n">
        <v>661</v>
      </c>
      <c r="B651" s="24" t="s">
        <v>4260</v>
      </c>
      <c r="C651" s="47"/>
      <c r="D651" s="47" t="s">
        <v>2160</v>
      </c>
      <c r="E651" s="46" t="s">
        <v>16</v>
      </c>
      <c r="F651" s="46" t="s">
        <v>2104</v>
      </c>
      <c r="G651" s="24" t="s">
        <v>4271</v>
      </c>
      <c r="H651" s="48" t="n">
        <v>5</v>
      </c>
      <c r="I651" s="46"/>
      <c r="J651" s="47" t="s">
        <v>3103</v>
      </c>
      <c r="K651" s="24" t="s">
        <v>4272</v>
      </c>
      <c r="L651" s="46" t="s">
        <v>4273</v>
      </c>
      <c r="M651" s="24" t="s">
        <v>4263</v>
      </c>
      <c r="N651" s="46" t="s">
        <v>4264</v>
      </c>
      <c r="O651" s="24" t="s">
        <v>3698</v>
      </c>
      <c r="P651" s="46" t="s">
        <v>3699</v>
      </c>
      <c r="Q651" s="46"/>
      <c r="R651" s="47" t="s">
        <v>48</v>
      </c>
      <c r="S651" s="52" t="s">
        <v>2829</v>
      </c>
    </row>
    <row r="652" customFormat="false" ht="15" hidden="false" customHeight="true" outlineLevel="0" collapsed="false">
      <c r="A652" s="49" t="n">
        <v>662</v>
      </c>
      <c r="B652" s="25" t="s">
        <v>4260</v>
      </c>
      <c r="C652" s="50"/>
      <c r="D652" s="50" t="s">
        <v>2160</v>
      </c>
      <c r="E652" s="49" t="s">
        <v>16</v>
      </c>
      <c r="F652" s="49" t="s">
        <v>2104</v>
      </c>
      <c r="G652" s="25" t="s">
        <v>4274</v>
      </c>
      <c r="H652" s="51" t="n">
        <v>5</v>
      </c>
      <c r="I652" s="49"/>
      <c r="J652" s="50" t="s">
        <v>3103</v>
      </c>
      <c r="K652" s="25" t="s">
        <v>4275</v>
      </c>
      <c r="L652" s="49" t="s">
        <v>4276</v>
      </c>
      <c r="M652" s="25" t="s">
        <v>4263</v>
      </c>
      <c r="N652" s="49" t="s">
        <v>4264</v>
      </c>
      <c r="O652" s="25" t="s">
        <v>3698</v>
      </c>
      <c r="P652" s="49" t="s">
        <v>3699</v>
      </c>
      <c r="Q652" s="49"/>
      <c r="R652" s="50" t="s">
        <v>48</v>
      </c>
      <c r="S652" s="52" t="s">
        <v>2829</v>
      </c>
    </row>
    <row r="653" customFormat="false" ht="15" hidden="false" customHeight="true" outlineLevel="0" collapsed="false">
      <c r="A653" s="46" t="n">
        <v>663</v>
      </c>
      <c r="B653" s="24" t="s">
        <v>4277</v>
      </c>
      <c r="C653" s="47"/>
      <c r="D653" s="47" t="s">
        <v>2160</v>
      </c>
      <c r="E653" s="46" t="s">
        <v>16</v>
      </c>
      <c r="F653" s="46" t="s">
        <v>2104</v>
      </c>
      <c r="G653" s="24" t="s">
        <v>4278</v>
      </c>
      <c r="H653" s="48" t="n">
        <v>5</v>
      </c>
      <c r="I653" s="46"/>
      <c r="J653" s="47" t="s">
        <v>3103</v>
      </c>
      <c r="K653" s="24" t="s">
        <v>3980</v>
      </c>
      <c r="L653" s="46" t="s">
        <v>4279</v>
      </c>
      <c r="M653" s="24" t="s">
        <v>4263</v>
      </c>
      <c r="N653" s="46" t="s">
        <v>4264</v>
      </c>
      <c r="O653" s="24" t="s">
        <v>3698</v>
      </c>
      <c r="P653" s="46" t="s">
        <v>3699</v>
      </c>
      <c r="Q653" s="46"/>
      <c r="R653" s="47" t="s">
        <v>48</v>
      </c>
      <c r="S653" s="52" t="s">
        <v>2829</v>
      </c>
    </row>
    <row r="654" customFormat="false" ht="15" hidden="false" customHeight="true" outlineLevel="0" collapsed="false">
      <c r="A654" s="49" t="n">
        <v>664</v>
      </c>
      <c r="B654" s="25" t="s">
        <v>4260</v>
      </c>
      <c r="C654" s="50"/>
      <c r="D654" s="50" t="s">
        <v>2160</v>
      </c>
      <c r="E654" s="49" t="s">
        <v>16</v>
      </c>
      <c r="F654" s="49" t="s">
        <v>2104</v>
      </c>
      <c r="G654" s="25" t="s">
        <v>4280</v>
      </c>
      <c r="H654" s="51" t="n">
        <v>5</v>
      </c>
      <c r="I654" s="49"/>
      <c r="J654" s="50" t="s">
        <v>3103</v>
      </c>
      <c r="K654" s="25" t="s">
        <v>4281</v>
      </c>
      <c r="L654" s="49" t="s">
        <v>4282</v>
      </c>
      <c r="M654" s="25" t="s">
        <v>4263</v>
      </c>
      <c r="N654" s="49" t="s">
        <v>4264</v>
      </c>
      <c r="O654" s="25" t="s">
        <v>3698</v>
      </c>
      <c r="P654" s="49" t="s">
        <v>3699</v>
      </c>
      <c r="Q654" s="49"/>
      <c r="R654" s="50" t="s">
        <v>48</v>
      </c>
      <c r="S654" s="52" t="s">
        <v>2829</v>
      </c>
    </row>
    <row r="655" customFormat="false" ht="15" hidden="false" customHeight="true" outlineLevel="0" collapsed="false">
      <c r="A655" s="46" t="n">
        <v>665</v>
      </c>
      <c r="B655" s="24" t="s">
        <v>4283</v>
      </c>
      <c r="C655" s="47"/>
      <c r="D655" s="47" t="s">
        <v>2160</v>
      </c>
      <c r="E655" s="46" t="s">
        <v>16</v>
      </c>
      <c r="F655" s="46" t="s">
        <v>2104</v>
      </c>
      <c r="G655" s="24" t="s">
        <v>4284</v>
      </c>
      <c r="H655" s="48" t="n">
        <v>5</v>
      </c>
      <c r="I655" s="46"/>
      <c r="J655" s="47" t="s">
        <v>3103</v>
      </c>
      <c r="K655" s="24" t="s">
        <v>4003</v>
      </c>
      <c r="L655" s="46" t="s">
        <v>4285</v>
      </c>
      <c r="M655" s="24" t="s">
        <v>4263</v>
      </c>
      <c r="N655" s="46" t="s">
        <v>4264</v>
      </c>
      <c r="O655" s="24" t="s">
        <v>3698</v>
      </c>
      <c r="P655" s="46" t="s">
        <v>3699</v>
      </c>
      <c r="Q655" s="46"/>
      <c r="R655" s="47" t="s">
        <v>48</v>
      </c>
      <c r="S655" s="52" t="s">
        <v>2829</v>
      </c>
    </row>
    <row r="656" customFormat="false" ht="15" hidden="false" customHeight="true" outlineLevel="0" collapsed="false">
      <c r="A656" s="49" t="n">
        <v>666</v>
      </c>
      <c r="B656" s="25" t="s">
        <v>4286</v>
      </c>
      <c r="C656" s="50"/>
      <c r="D656" s="50" t="s">
        <v>2160</v>
      </c>
      <c r="E656" s="49" t="s">
        <v>16</v>
      </c>
      <c r="F656" s="49" t="s">
        <v>2104</v>
      </c>
      <c r="G656" s="25" t="s">
        <v>4287</v>
      </c>
      <c r="H656" s="51" t="n">
        <v>5</v>
      </c>
      <c r="I656" s="49"/>
      <c r="J656" s="50" t="s">
        <v>3103</v>
      </c>
      <c r="K656" s="25" t="s">
        <v>4288</v>
      </c>
      <c r="L656" s="49" t="s">
        <v>4289</v>
      </c>
      <c r="M656" s="25" t="s">
        <v>4263</v>
      </c>
      <c r="N656" s="49" t="s">
        <v>4264</v>
      </c>
      <c r="O656" s="25" t="s">
        <v>3698</v>
      </c>
      <c r="P656" s="49" t="s">
        <v>3699</v>
      </c>
      <c r="Q656" s="49"/>
      <c r="R656" s="50" t="s">
        <v>48</v>
      </c>
      <c r="S656" s="52" t="s">
        <v>2829</v>
      </c>
    </row>
    <row r="657" customFormat="false" ht="15" hidden="false" customHeight="true" outlineLevel="0" collapsed="false">
      <c r="A657" s="46" t="n">
        <v>667</v>
      </c>
      <c r="B657" s="24" t="s">
        <v>4286</v>
      </c>
      <c r="C657" s="47"/>
      <c r="D657" s="47" t="s">
        <v>2160</v>
      </c>
      <c r="E657" s="46" t="s">
        <v>16</v>
      </c>
      <c r="F657" s="46" t="s">
        <v>2104</v>
      </c>
      <c r="G657" s="24" t="s">
        <v>4290</v>
      </c>
      <c r="H657" s="48" t="n">
        <v>5</v>
      </c>
      <c r="I657" s="46"/>
      <c r="J657" s="47" t="s">
        <v>3103</v>
      </c>
      <c r="K657" s="24" t="s">
        <v>3837</v>
      </c>
      <c r="L657" s="46" t="s">
        <v>4291</v>
      </c>
      <c r="M657" s="24" t="s">
        <v>4263</v>
      </c>
      <c r="N657" s="46" t="s">
        <v>4264</v>
      </c>
      <c r="O657" s="24" t="s">
        <v>3698</v>
      </c>
      <c r="P657" s="46" t="s">
        <v>3699</v>
      </c>
      <c r="Q657" s="46"/>
      <c r="R657" s="47" t="s">
        <v>48</v>
      </c>
      <c r="S657" s="52" t="s">
        <v>2829</v>
      </c>
    </row>
    <row r="658" customFormat="false" ht="15" hidden="false" customHeight="true" outlineLevel="0" collapsed="false">
      <c r="A658" s="49" t="n">
        <v>668</v>
      </c>
      <c r="B658" s="25" t="s">
        <v>4283</v>
      </c>
      <c r="C658" s="50"/>
      <c r="D658" s="50" t="s">
        <v>2160</v>
      </c>
      <c r="E658" s="49" t="s">
        <v>16</v>
      </c>
      <c r="F658" s="49" t="s">
        <v>2104</v>
      </c>
      <c r="G658" s="25" t="s">
        <v>4292</v>
      </c>
      <c r="H658" s="51" t="n">
        <v>5</v>
      </c>
      <c r="I658" s="49"/>
      <c r="J658" s="50" t="s">
        <v>3103</v>
      </c>
      <c r="K658" s="25" t="s">
        <v>3442</v>
      </c>
      <c r="L658" s="49" t="s">
        <v>4293</v>
      </c>
      <c r="M658" s="25" t="s">
        <v>4263</v>
      </c>
      <c r="N658" s="49" t="s">
        <v>4264</v>
      </c>
      <c r="O658" s="25" t="s">
        <v>3698</v>
      </c>
      <c r="P658" s="49" t="s">
        <v>3699</v>
      </c>
      <c r="Q658" s="49"/>
      <c r="R658" s="50" t="s">
        <v>48</v>
      </c>
      <c r="S658" s="52" t="s">
        <v>2829</v>
      </c>
    </row>
    <row r="659" customFormat="false" ht="15" hidden="false" customHeight="true" outlineLevel="0" collapsed="false">
      <c r="A659" s="46"/>
      <c r="B659" s="24" t="e">
        <f aca="false">#N/A</f>
        <v>#N/A</v>
      </c>
      <c r="C659" s="47"/>
      <c r="D659" s="47" t="s">
        <v>2160</v>
      </c>
      <c r="E659" s="46" t="s">
        <v>16</v>
      </c>
      <c r="F659" s="46" t="s">
        <v>2104</v>
      </c>
      <c r="G659" s="24" t="s">
        <v>4294</v>
      </c>
      <c r="H659" s="48" t="n">
        <v>5</v>
      </c>
      <c r="I659" s="46"/>
      <c r="J659" s="47" t="s">
        <v>3103</v>
      </c>
      <c r="K659" s="24" t="s">
        <v>4295</v>
      </c>
      <c r="L659" s="46" t="s">
        <v>4296</v>
      </c>
      <c r="M659" s="24" t="s">
        <v>4263</v>
      </c>
      <c r="N659" s="46" t="s">
        <v>4264</v>
      </c>
      <c r="O659" s="24" t="s">
        <v>3698</v>
      </c>
      <c r="P659" s="46" t="s">
        <v>3699</v>
      </c>
      <c r="Q659" s="46"/>
      <c r="R659" s="47" t="s">
        <v>48</v>
      </c>
      <c r="S659" s="52" t="s">
        <v>4297</v>
      </c>
    </row>
    <row r="660" customFormat="false" ht="15" hidden="false" customHeight="true" outlineLevel="0" collapsed="false">
      <c r="A660" s="49"/>
      <c r="B660" s="25" t="e">
        <f aca="false">#N/A</f>
        <v>#N/A</v>
      </c>
      <c r="C660" s="50"/>
      <c r="D660" s="50" t="s">
        <v>2160</v>
      </c>
      <c r="E660" s="49" t="s">
        <v>16</v>
      </c>
      <c r="F660" s="49" t="s">
        <v>2104</v>
      </c>
      <c r="G660" s="25" t="s">
        <v>4298</v>
      </c>
      <c r="H660" s="51" t="n">
        <v>5</v>
      </c>
      <c r="I660" s="49"/>
      <c r="J660" s="50" t="s">
        <v>3103</v>
      </c>
      <c r="K660" s="25" t="s">
        <v>4299</v>
      </c>
      <c r="L660" s="49" t="s">
        <v>4300</v>
      </c>
      <c r="M660" s="25" t="s">
        <v>4263</v>
      </c>
      <c r="N660" s="49" t="s">
        <v>4264</v>
      </c>
      <c r="O660" s="25" t="s">
        <v>3698</v>
      </c>
      <c r="P660" s="49" t="s">
        <v>3699</v>
      </c>
      <c r="Q660" s="49"/>
      <c r="R660" s="50" t="s">
        <v>48</v>
      </c>
      <c r="S660" s="52" t="s">
        <v>4297</v>
      </c>
    </row>
    <row r="661" customFormat="false" ht="15" hidden="false" customHeight="true" outlineLevel="0" collapsed="false">
      <c r="A661" s="46"/>
      <c r="B661" s="24" t="e">
        <f aca="false">#N/A</f>
        <v>#N/A</v>
      </c>
      <c r="C661" s="47"/>
      <c r="D661" s="47" t="s">
        <v>2160</v>
      </c>
      <c r="E661" s="46" t="s">
        <v>16</v>
      </c>
      <c r="F661" s="46" t="s">
        <v>2104</v>
      </c>
      <c r="G661" s="24" t="s">
        <v>4301</v>
      </c>
      <c r="H661" s="48" t="n">
        <v>5</v>
      </c>
      <c r="I661" s="46"/>
      <c r="J661" s="47" t="s">
        <v>3103</v>
      </c>
      <c r="K661" s="24" t="s">
        <v>3851</v>
      </c>
      <c r="L661" s="46" t="s">
        <v>4302</v>
      </c>
      <c r="M661" s="24" t="s">
        <v>4263</v>
      </c>
      <c r="N661" s="46" t="s">
        <v>4264</v>
      </c>
      <c r="O661" s="24" t="s">
        <v>3698</v>
      </c>
      <c r="P661" s="46" t="s">
        <v>3699</v>
      </c>
      <c r="Q661" s="46"/>
      <c r="R661" s="47" t="s">
        <v>48</v>
      </c>
      <c r="S661" s="52" t="s">
        <v>4297</v>
      </c>
    </row>
    <row r="662" customFormat="false" ht="15" hidden="false" customHeight="true" outlineLevel="0" collapsed="false">
      <c r="A662" s="49" t="n">
        <v>672</v>
      </c>
      <c r="B662" s="25" t="s">
        <v>4283</v>
      </c>
      <c r="C662" s="50"/>
      <c r="D662" s="50" t="s">
        <v>2160</v>
      </c>
      <c r="E662" s="49" t="s">
        <v>16</v>
      </c>
      <c r="F662" s="49" t="s">
        <v>2104</v>
      </c>
      <c r="G662" s="25" t="s">
        <v>4303</v>
      </c>
      <c r="H662" s="51" t="n">
        <v>5</v>
      </c>
      <c r="I662" s="49"/>
      <c r="J662" s="50" t="s">
        <v>3103</v>
      </c>
      <c r="K662" s="25" t="s">
        <v>4304</v>
      </c>
      <c r="L662" s="49" t="s">
        <v>4305</v>
      </c>
      <c r="M662" s="25" t="s">
        <v>4263</v>
      </c>
      <c r="N662" s="49" t="s">
        <v>4264</v>
      </c>
      <c r="O662" s="25" t="s">
        <v>3698</v>
      </c>
      <c r="P662" s="49" t="s">
        <v>3699</v>
      </c>
      <c r="Q662" s="49"/>
      <c r="R662" s="50" t="s">
        <v>48</v>
      </c>
      <c r="S662" s="52" t="s">
        <v>2829</v>
      </c>
    </row>
    <row r="663" customFormat="false" ht="15" hidden="false" customHeight="true" outlineLevel="0" collapsed="false">
      <c r="A663" s="46" t="n">
        <v>673</v>
      </c>
      <c r="B663" s="24" t="s">
        <v>4286</v>
      </c>
      <c r="C663" s="47"/>
      <c r="D663" s="47" t="s">
        <v>2160</v>
      </c>
      <c r="E663" s="46" t="s">
        <v>16</v>
      </c>
      <c r="F663" s="46" t="s">
        <v>2104</v>
      </c>
      <c r="G663" s="24" t="s">
        <v>4306</v>
      </c>
      <c r="H663" s="48" t="n">
        <v>5</v>
      </c>
      <c r="I663" s="46"/>
      <c r="J663" s="47" t="s">
        <v>3103</v>
      </c>
      <c r="K663" s="24" t="s">
        <v>3957</v>
      </c>
      <c r="L663" s="46" t="s">
        <v>4307</v>
      </c>
      <c r="M663" s="24" t="s">
        <v>4263</v>
      </c>
      <c r="N663" s="46" t="s">
        <v>4264</v>
      </c>
      <c r="O663" s="24" t="s">
        <v>3698</v>
      </c>
      <c r="P663" s="46" t="s">
        <v>3699</v>
      </c>
      <c r="Q663" s="46"/>
      <c r="R663" s="47" t="s">
        <v>48</v>
      </c>
      <c r="S663" s="52" t="s">
        <v>2829</v>
      </c>
    </row>
    <row r="664" customFormat="false" ht="15" hidden="false" customHeight="true" outlineLevel="0" collapsed="false">
      <c r="A664" s="49" t="n">
        <v>674</v>
      </c>
      <c r="B664" s="25" t="s">
        <v>4283</v>
      </c>
      <c r="C664" s="50"/>
      <c r="D664" s="50" t="s">
        <v>2160</v>
      </c>
      <c r="E664" s="49" t="s">
        <v>16</v>
      </c>
      <c r="F664" s="49" t="s">
        <v>2104</v>
      </c>
      <c r="G664" s="25" t="s">
        <v>4308</v>
      </c>
      <c r="H664" s="51" t="n">
        <v>5</v>
      </c>
      <c r="I664" s="49"/>
      <c r="J664" s="50" t="s">
        <v>3103</v>
      </c>
      <c r="K664" s="25" t="s">
        <v>4309</v>
      </c>
      <c r="L664" s="49" t="s">
        <v>4310</v>
      </c>
      <c r="M664" s="25" t="s">
        <v>4263</v>
      </c>
      <c r="N664" s="49" t="s">
        <v>4264</v>
      </c>
      <c r="O664" s="25" t="s">
        <v>3698</v>
      </c>
      <c r="P664" s="49" t="s">
        <v>3699</v>
      </c>
      <c r="Q664" s="49"/>
      <c r="R664" s="50" t="s">
        <v>48</v>
      </c>
      <c r="S664" s="52" t="s">
        <v>2829</v>
      </c>
    </row>
    <row r="665" customFormat="false" ht="15" hidden="false" customHeight="true" outlineLevel="0" collapsed="false">
      <c r="A665" s="46" t="n">
        <v>675</v>
      </c>
      <c r="B665" s="24" t="s">
        <v>4311</v>
      </c>
      <c r="C665" s="47"/>
      <c r="D665" s="47" t="s">
        <v>2160</v>
      </c>
      <c r="E665" s="46" t="s">
        <v>16</v>
      </c>
      <c r="F665" s="46" t="s">
        <v>2104</v>
      </c>
      <c r="G665" s="24" t="s">
        <v>4312</v>
      </c>
      <c r="H665" s="48" t="n">
        <v>5</v>
      </c>
      <c r="I665" s="46"/>
      <c r="J665" s="47" t="s">
        <v>3103</v>
      </c>
      <c r="K665" s="24" t="s">
        <v>4313</v>
      </c>
      <c r="L665" s="46" t="s">
        <v>4314</v>
      </c>
      <c r="M665" s="24" t="s">
        <v>4263</v>
      </c>
      <c r="N665" s="46" t="s">
        <v>4264</v>
      </c>
      <c r="O665" s="24" t="s">
        <v>3698</v>
      </c>
      <c r="P665" s="46" t="s">
        <v>3699</v>
      </c>
      <c r="Q665" s="46"/>
      <c r="R665" s="47" t="s">
        <v>48</v>
      </c>
      <c r="S665" s="52" t="s">
        <v>2829</v>
      </c>
    </row>
    <row r="666" customFormat="false" ht="15" hidden="false" customHeight="true" outlineLevel="0" collapsed="false">
      <c r="A666" s="49" t="n">
        <v>676</v>
      </c>
      <c r="B666" s="25" t="s">
        <v>4311</v>
      </c>
      <c r="C666" s="50"/>
      <c r="D666" s="50" t="s">
        <v>2160</v>
      </c>
      <c r="E666" s="49" t="s">
        <v>16</v>
      </c>
      <c r="F666" s="49" t="s">
        <v>2104</v>
      </c>
      <c r="G666" s="25" t="s">
        <v>4315</v>
      </c>
      <c r="H666" s="51" t="n">
        <v>5</v>
      </c>
      <c r="I666" s="49"/>
      <c r="J666" s="50" t="s">
        <v>3103</v>
      </c>
      <c r="K666" s="25" t="s">
        <v>4316</v>
      </c>
      <c r="L666" s="49" t="s">
        <v>4317</v>
      </c>
      <c r="M666" s="25" t="s">
        <v>4263</v>
      </c>
      <c r="N666" s="49" t="s">
        <v>4264</v>
      </c>
      <c r="O666" s="25" t="s">
        <v>3698</v>
      </c>
      <c r="P666" s="49" t="s">
        <v>3699</v>
      </c>
      <c r="Q666" s="49"/>
      <c r="R666" s="50" t="s">
        <v>48</v>
      </c>
      <c r="S666" s="52" t="s">
        <v>2829</v>
      </c>
    </row>
    <row r="667" customFormat="false" ht="15" hidden="false" customHeight="true" outlineLevel="0" collapsed="false">
      <c r="A667" s="46" t="n">
        <v>677</v>
      </c>
      <c r="B667" s="24" t="s">
        <v>4311</v>
      </c>
      <c r="C667" s="47"/>
      <c r="D667" s="47" t="s">
        <v>2160</v>
      </c>
      <c r="E667" s="46" t="s">
        <v>16</v>
      </c>
      <c r="F667" s="46" t="s">
        <v>2104</v>
      </c>
      <c r="G667" s="24" t="s">
        <v>4318</v>
      </c>
      <c r="H667" s="48" t="n">
        <v>5</v>
      </c>
      <c r="I667" s="46"/>
      <c r="J667" s="47" t="s">
        <v>3103</v>
      </c>
      <c r="K667" s="24" t="s">
        <v>3888</v>
      </c>
      <c r="L667" s="46" t="s">
        <v>4319</v>
      </c>
      <c r="M667" s="24" t="s">
        <v>4263</v>
      </c>
      <c r="N667" s="46" t="s">
        <v>4264</v>
      </c>
      <c r="O667" s="24" t="s">
        <v>3698</v>
      </c>
      <c r="P667" s="46" t="s">
        <v>3699</v>
      </c>
      <c r="Q667" s="46"/>
      <c r="R667" s="47" t="s">
        <v>48</v>
      </c>
      <c r="S667" s="52" t="s">
        <v>2829</v>
      </c>
    </row>
    <row r="668" customFormat="false" ht="15" hidden="false" customHeight="true" outlineLevel="0" collapsed="false">
      <c r="A668" s="49" t="n">
        <v>678</v>
      </c>
      <c r="B668" s="25" t="s">
        <v>4311</v>
      </c>
      <c r="C668" s="50"/>
      <c r="D668" s="50" t="s">
        <v>2160</v>
      </c>
      <c r="E668" s="49" t="s">
        <v>16</v>
      </c>
      <c r="F668" s="49" t="s">
        <v>2104</v>
      </c>
      <c r="G668" s="25" t="s">
        <v>4320</v>
      </c>
      <c r="H668" s="51" t="n">
        <v>5</v>
      </c>
      <c r="I668" s="49"/>
      <c r="J668" s="50" t="s">
        <v>3103</v>
      </c>
      <c r="K668" s="25" t="s">
        <v>2378</v>
      </c>
      <c r="L668" s="49" t="s">
        <v>4321</v>
      </c>
      <c r="M668" s="25" t="s">
        <v>4263</v>
      </c>
      <c r="N668" s="49" t="s">
        <v>4264</v>
      </c>
      <c r="O668" s="25" t="s">
        <v>3698</v>
      </c>
      <c r="P668" s="49" t="s">
        <v>3699</v>
      </c>
      <c r="Q668" s="49"/>
      <c r="R668" s="50" t="s">
        <v>48</v>
      </c>
      <c r="S668" s="52" t="s">
        <v>2829</v>
      </c>
    </row>
    <row r="669" customFormat="false" ht="15" hidden="false" customHeight="true" outlineLevel="0" collapsed="false">
      <c r="A669" s="46" t="n">
        <v>679</v>
      </c>
      <c r="B669" s="24" t="s">
        <v>4311</v>
      </c>
      <c r="C669" s="47"/>
      <c r="D669" s="47" t="s">
        <v>2160</v>
      </c>
      <c r="E669" s="46" t="s">
        <v>16</v>
      </c>
      <c r="F669" s="46" t="s">
        <v>2104</v>
      </c>
      <c r="G669" s="24" t="s">
        <v>4322</v>
      </c>
      <c r="H669" s="48" t="n">
        <v>5</v>
      </c>
      <c r="I669" s="46"/>
      <c r="J669" s="47" t="s">
        <v>3103</v>
      </c>
      <c r="K669" s="24" t="s">
        <v>3983</v>
      </c>
      <c r="L669" s="46" t="s">
        <v>4323</v>
      </c>
      <c r="M669" s="24" t="s">
        <v>4263</v>
      </c>
      <c r="N669" s="46" t="s">
        <v>4264</v>
      </c>
      <c r="O669" s="24" t="s">
        <v>3698</v>
      </c>
      <c r="P669" s="46" t="s">
        <v>3699</v>
      </c>
      <c r="Q669" s="46"/>
      <c r="R669" s="47" t="s">
        <v>48</v>
      </c>
      <c r="S669" s="52" t="s">
        <v>2829</v>
      </c>
    </row>
    <row r="670" customFormat="false" ht="15" hidden="false" customHeight="true" outlineLevel="0" collapsed="false">
      <c r="A670" s="49" t="n">
        <v>680</v>
      </c>
      <c r="B670" s="25" t="s">
        <v>4324</v>
      </c>
      <c r="C670" s="50"/>
      <c r="D670" s="50" t="s">
        <v>2160</v>
      </c>
      <c r="E670" s="49" t="s">
        <v>16</v>
      </c>
      <c r="F670" s="49" t="s">
        <v>2104</v>
      </c>
      <c r="G670" s="25" t="s">
        <v>4325</v>
      </c>
      <c r="H670" s="51" t="n">
        <v>5</v>
      </c>
      <c r="I670" s="49"/>
      <c r="J670" s="50" t="s">
        <v>3103</v>
      </c>
      <c r="K670" s="25" t="s">
        <v>3983</v>
      </c>
      <c r="L670" s="49" t="s">
        <v>4326</v>
      </c>
      <c r="M670" s="25" t="s">
        <v>4263</v>
      </c>
      <c r="N670" s="49" t="s">
        <v>4264</v>
      </c>
      <c r="O670" s="25" t="s">
        <v>3698</v>
      </c>
      <c r="P670" s="49" t="s">
        <v>3699</v>
      </c>
      <c r="Q670" s="49"/>
      <c r="R670" s="50" t="s">
        <v>48</v>
      </c>
      <c r="S670" s="52" t="s">
        <v>2829</v>
      </c>
    </row>
    <row r="671" customFormat="false" ht="15" hidden="false" customHeight="true" outlineLevel="0" collapsed="false">
      <c r="A671" s="46" t="n">
        <v>681</v>
      </c>
      <c r="B671" s="24" t="s">
        <v>4324</v>
      </c>
      <c r="C671" s="47"/>
      <c r="D671" s="47" t="s">
        <v>2160</v>
      </c>
      <c r="E671" s="46" t="s">
        <v>16</v>
      </c>
      <c r="F671" s="46" t="s">
        <v>2104</v>
      </c>
      <c r="G671" s="24" t="s">
        <v>4327</v>
      </c>
      <c r="H671" s="48" t="n">
        <v>5</v>
      </c>
      <c r="I671" s="46"/>
      <c r="J671" s="47" t="s">
        <v>3103</v>
      </c>
      <c r="K671" s="24" t="s">
        <v>4328</v>
      </c>
      <c r="L671" s="46" t="s">
        <v>4329</v>
      </c>
      <c r="M671" s="24" t="s">
        <v>4263</v>
      </c>
      <c r="N671" s="46" t="s">
        <v>4264</v>
      </c>
      <c r="O671" s="24" t="s">
        <v>3698</v>
      </c>
      <c r="P671" s="46" t="s">
        <v>3699</v>
      </c>
      <c r="Q671" s="46"/>
      <c r="R671" s="47" t="s">
        <v>48</v>
      </c>
      <c r="S671" s="52" t="s">
        <v>2829</v>
      </c>
    </row>
    <row r="672" customFormat="false" ht="15" hidden="false" customHeight="true" outlineLevel="0" collapsed="false">
      <c r="A672" s="49" t="n">
        <v>682</v>
      </c>
      <c r="B672" s="25" t="s">
        <v>4324</v>
      </c>
      <c r="C672" s="50"/>
      <c r="D672" s="50" t="s">
        <v>2160</v>
      </c>
      <c r="E672" s="49" t="s">
        <v>16</v>
      </c>
      <c r="F672" s="49" t="s">
        <v>2104</v>
      </c>
      <c r="G672" s="25" t="s">
        <v>4330</v>
      </c>
      <c r="H672" s="51" t="n">
        <v>5</v>
      </c>
      <c r="I672" s="49"/>
      <c r="J672" s="50" t="s">
        <v>3103</v>
      </c>
      <c r="K672" s="25" t="s">
        <v>4331</v>
      </c>
      <c r="L672" s="49" t="s">
        <v>4332</v>
      </c>
      <c r="M672" s="25" t="s">
        <v>4263</v>
      </c>
      <c r="N672" s="49" t="s">
        <v>4264</v>
      </c>
      <c r="O672" s="25" t="s">
        <v>3698</v>
      </c>
      <c r="P672" s="49" t="s">
        <v>3699</v>
      </c>
      <c r="Q672" s="49"/>
      <c r="R672" s="50" t="s">
        <v>48</v>
      </c>
      <c r="S672" s="52" t="s">
        <v>2829</v>
      </c>
    </row>
    <row r="673" customFormat="false" ht="15" hidden="false" customHeight="true" outlineLevel="0" collapsed="false">
      <c r="A673" s="46" t="n">
        <v>683</v>
      </c>
      <c r="B673" s="24" t="s">
        <v>4324</v>
      </c>
      <c r="C673" s="47"/>
      <c r="D673" s="47" t="s">
        <v>2160</v>
      </c>
      <c r="E673" s="46" t="s">
        <v>16</v>
      </c>
      <c r="F673" s="46" t="s">
        <v>2104</v>
      </c>
      <c r="G673" s="24" t="s">
        <v>4333</v>
      </c>
      <c r="H673" s="48" t="n">
        <v>5</v>
      </c>
      <c r="I673" s="46"/>
      <c r="J673" s="47" t="s">
        <v>3103</v>
      </c>
      <c r="K673" s="24" t="s">
        <v>4334</v>
      </c>
      <c r="L673" s="46" t="s">
        <v>4335</v>
      </c>
      <c r="M673" s="24" t="s">
        <v>4263</v>
      </c>
      <c r="N673" s="46" t="s">
        <v>4264</v>
      </c>
      <c r="O673" s="24" t="s">
        <v>3698</v>
      </c>
      <c r="P673" s="46" t="s">
        <v>3699</v>
      </c>
      <c r="Q673" s="46"/>
      <c r="R673" s="47" t="s">
        <v>48</v>
      </c>
      <c r="S673" s="52" t="s">
        <v>2829</v>
      </c>
    </row>
    <row r="674" customFormat="false" ht="15" hidden="false" customHeight="true" outlineLevel="0" collapsed="false">
      <c r="A674" s="49" t="n">
        <v>684</v>
      </c>
      <c r="B674" s="25" t="s">
        <v>4324</v>
      </c>
      <c r="C674" s="50"/>
      <c r="D674" s="50" t="s">
        <v>2160</v>
      </c>
      <c r="E674" s="49" t="s">
        <v>16</v>
      </c>
      <c r="F674" s="49" t="s">
        <v>2104</v>
      </c>
      <c r="G674" s="25" t="s">
        <v>4336</v>
      </c>
      <c r="H674" s="51" t="n">
        <v>5</v>
      </c>
      <c r="I674" s="49"/>
      <c r="J674" s="50" t="s">
        <v>3103</v>
      </c>
      <c r="K674" s="25" t="s">
        <v>4337</v>
      </c>
      <c r="L674" s="49" t="s">
        <v>4338</v>
      </c>
      <c r="M674" s="25" t="s">
        <v>4263</v>
      </c>
      <c r="N674" s="49" t="s">
        <v>4264</v>
      </c>
      <c r="O674" s="25" t="s">
        <v>3698</v>
      </c>
      <c r="P674" s="49" t="s">
        <v>3699</v>
      </c>
      <c r="Q674" s="49"/>
      <c r="R674" s="50" t="s">
        <v>48</v>
      </c>
      <c r="S674" s="52" t="s">
        <v>2829</v>
      </c>
    </row>
    <row r="675" customFormat="false" ht="15" hidden="false" customHeight="true" outlineLevel="0" collapsed="false">
      <c r="A675" s="46" t="n">
        <v>686</v>
      </c>
      <c r="B675" s="24" t="s">
        <v>4324</v>
      </c>
      <c r="C675" s="47"/>
      <c r="D675" s="47" t="s">
        <v>2160</v>
      </c>
      <c r="E675" s="46" t="s">
        <v>16</v>
      </c>
      <c r="F675" s="46" t="s">
        <v>2104</v>
      </c>
      <c r="G675" s="24" t="s">
        <v>4339</v>
      </c>
      <c r="H675" s="48" t="n">
        <v>5</v>
      </c>
      <c r="I675" s="46"/>
      <c r="J675" s="47" t="s">
        <v>3103</v>
      </c>
      <c r="K675" s="24" t="s">
        <v>4340</v>
      </c>
      <c r="L675" s="46" t="s">
        <v>4341</v>
      </c>
      <c r="M675" s="24" t="s">
        <v>4263</v>
      </c>
      <c r="N675" s="46" t="s">
        <v>4264</v>
      </c>
      <c r="O675" s="24" t="s">
        <v>3698</v>
      </c>
      <c r="P675" s="46" t="s">
        <v>3699</v>
      </c>
      <c r="Q675" s="46"/>
      <c r="R675" s="47" t="s">
        <v>48</v>
      </c>
      <c r="S675" s="52" t="s">
        <v>2829</v>
      </c>
    </row>
    <row r="676" customFormat="false" ht="15" hidden="false" customHeight="true" outlineLevel="0" collapsed="false">
      <c r="A676" s="49" t="n">
        <v>687</v>
      </c>
      <c r="B676" s="25" t="s">
        <v>4324</v>
      </c>
      <c r="C676" s="50"/>
      <c r="D676" s="50" t="s">
        <v>2160</v>
      </c>
      <c r="E676" s="49" t="s">
        <v>16</v>
      </c>
      <c r="F676" s="49" t="s">
        <v>2104</v>
      </c>
      <c r="G676" s="25" t="s">
        <v>4342</v>
      </c>
      <c r="H676" s="51" t="n">
        <v>5</v>
      </c>
      <c r="I676" s="49"/>
      <c r="J676" s="50" t="s">
        <v>3103</v>
      </c>
      <c r="K676" s="25" t="s">
        <v>4343</v>
      </c>
      <c r="L676" s="49" t="s">
        <v>4344</v>
      </c>
      <c r="M676" s="25" t="s">
        <v>4263</v>
      </c>
      <c r="N676" s="49" t="s">
        <v>4264</v>
      </c>
      <c r="O676" s="25" t="s">
        <v>3698</v>
      </c>
      <c r="P676" s="49" t="s">
        <v>3699</v>
      </c>
      <c r="Q676" s="49"/>
      <c r="R676" s="50" t="s">
        <v>48</v>
      </c>
      <c r="S676" s="52" t="s">
        <v>2829</v>
      </c>
    </row>
    <row r="677" customFormat="false" ht="15" hidden="false" customHeight="true" outlineLevel="0" collapsed="false">
      <c r="A677" s="46" t="n">
        <v>688</v>
      </c>
      <c r="B677" s="24" t="s">
        <v>4286</v>
      </c>
      <c r="C677" s="47"/>
      <c r="D677" s="47" t="s">
        <v>2160</v>
      </c>
      <c r="E677" s="46" t="s">
        <v>16</v>
      </c>
      <c r="F677" s="46" t="s">
        <v>2104</v>
      </c>
      <c r="G677" s="24" t="s">
        <v>4345</v>
      </c>
      <c r="H677" s="48" t="n">
        <v>5</v>
      </c>
      <c r="I677" s="46"/>
      <c r="J677" s="47" t="s">
        <v>3103</v>
      </c>
      <c r="K677" s="24" t="s">
        <v>3478</v>
      </c>
      <c r="L677" s="46" t="s">
        <v>4346</v>
      </c>
      <c r="M677" s="24" t="s">
        <v>4263</v>
      </c>
      <c r="N677" s="46" t="s">
        <v>4264</v>
      </c>
      <c r="O677" s="24" t="s">
        <v>3698</v>
      </c>
      <c r="P677" s="46" t="s">
        <v>3699</v>
      </c>
      <c r="Q677" s="46"/>
      <c r="R677" s="47" t="s">
        <v>48</v>
      </c>
      <c r="S677" s="52" t="s">
        <v>2829</v>
      </c>
    </row>
    <row r="678" customFormat="false" ht="15" hidden="false" customHeight="true" outlineLevel="0" collapsed="false">
      <c r="A678" s="49" t="n">
        <v>689</v>
      </c>
      <c r="B678" s="25" t="s">
        <v>4283</v>
      </c>
      <c r="C678" s="50"/>
      <c r="D678" s="50" t="s">
        <v>2160</v>
      </c>
      <c r="E678" s="49" t="s">
        <v>16</v>
      </c>
      <c r="F678" s="49" t="s">
        <v>2104</v>
      </c>
      <c r="G678" s="25" t="s">
        <v>4347</v>
      </c>
      <c r="H678" s="51" t="n">
        <v>5</v>
      </c>
      <c r="I678" s="49"/>
      <c r="J678" s="50" t="s">
        <v>3103</v>
      </c>
      <c r="K678" s="25" t="s">
        <v>4348</v>
      </c>
      <c r="L678" s="49" t="s">
        <v>4349</v>
      </c>
      <c r="M678" s="25" t="s">
        <v>4263</v>
      </c>
      <c r="N678" s="49" t="s">
        <v>4264</v>
      </c>
      <c r="O678" s="25" t="s">
        <v>3698</v>
      </c>
      <c r="P678" s="49" t="s">
        <v>3699</v>
      </c>
      <c r="Q678" s="49"/>
      <c r="R678" s="50" t="s">
        <v>48</v>
      </c>
      <c r="S678" s="52" t="s">
        <v>2829</v>
      </c>
    </row>
    <row r="679" customFormat="false" ht="15" hidden="false" customHeight="true" outlineLevel="0" collapsed="false">
      <c r="A679" s="46" t="n">
        <v>690</v>
      </c>
      <c r="B679" s="24" t="s">
        <v>4260</v>
      </c>
      <c r="C679" s="47"/>
      <c r="D679" s="47" t="s">
        <v>2160</v>
      </c>
      <c r="E679" s="46" t="s">
        <v>16</v>
      </c>
      <c r="F679" s="46" t="s">
        <v>2104</v>
      </c>
      <c r="G679" s="24" t="s">
        <v>4350</v>
      </c>
      <c r="H679" s="48" t="n">
        <v>5</v>
      </c>
      <c r="I679" s="46"/>
      <c r="J679" s="47" t="s">
        <v>3103</v>
      </c>
      <c r="K679" s="24" t="s">
        <v>4351</v>
      </c>
      <c r="L679" s="46" t="s">
        <v>4352</v>
      </c>
      <c r="M679" s="24" t="s">
        <v>4263</v>
      </c>
      <c r="N679" s="46" t="s">
        <v>4264</v>
      </c>
      <c r="O679" s="24" t="s">
        <v>3698</v>
      </c>
      <c r="P679" s="46" t="s">
        <v>3699</v>
      </c>
      <c r="Q679" s="46"/>
      <c r="R679" s="47" t="s">
        <v>48</v>
      </c>
      <c r="S679" s="52" t="s">
        <v>2829</v>
      </c>
    </row>
    <row r="680" customFormat="false" ht="15" hidden="false" customHeight="true" outlineLevel="0" collapsed="false">
      <c r="A680" s="49" t="n">
        <v>691</v>
      </c>
      <c r="B680" s="25" t="s">
        <v>4260</v>
      </c>
      <c r="C680" s="50"/>
      <c r="D680" s="50" t="s">
        <v>2160</v>
      </c>
      <c r="E680" s="49" t="s">
        <v>16</v>
      </c>
      <c r="F680" s="49" t="s">
        <v>2104</v>
      </c>
      <c r="G680" s="25" t="s">
        <v>4353</v>
      </c>
      <c r="H680" s="51" t="n">
        <v>5</v>
      </c>
      <c r="I680" s="49"/>
      <c r="J680" s="50" t="s">
        <v>3103</v>
      </c>
      <c r="K680" s="25" t="s">
        <v>4266</v>
      </c>
      <c r="L680" s="49" t="s">
        <v>4354</v>
      </c>
      <c r="M680" s="25" t="s">
        <v>4263</v>
      </c>
      <c r="N680" s="49" t="s">
        <v>4264</v>
      </c>
      <c r="O680" s="25" t="s">
        <v>3698</v>
      </c>
      <c r="P680" s="49" t="s">
        <v>3699</v>
      </c>
      <c r="Q680" s="49"/>
      <c r="R680" s="50" t="s">
        <v>48</v>
      </c>
      <c r="S680" s="52" t="s">
        <v>2829</v>
      </c>
    </row>
    <row r="681" customFormat="false" ht="15" hidden="false" customHeight="true" outlineLevel="0" collapsed="false">
      <c r="A681" s="46" t="n">
        <v>692</v>
      </c>
      <c r="B681" s="24" t="s">
        <v>4260</v>
      </c>
      <c r="C681" s="47"/>
      <c r="D681" s="47" t="s">
        <v>2160</v>
      </c>
      <c r="E681" s="46" t="s">
        <v>16</v>
      </c>
      <c r="F681" s="46" t="s">
        <v>2104</v>
      </c>
      <c r="G681" s="24" t="s">
        <v>4355</v>
      </c>
      <c r="H681" s="48" t="n">
        <v>5</v>
      </c>
      <c r="I681" s="46"/>
      <c r="J681" s="47" t="s">
        <v>3103</v>
      </c>
      <c r="K681" s="24" t="s">
        <v>4356</v>
      </c>
      <c r="L681" s="46" t="s">
        <v>4357</v>
      </c>
      <c r="M681" s="24" t="s">
        <v>4263</v>
      </c>
      <c r="N681" s="46" t="s">
        <v>4264</v>
      </c>
      <c r="O681" s="24" t="s">
        <v>3698</v>
      </c>
      <c r="P681" s="46" t="s">
        <v>3699</v>
      </c>
      <c r="Q681" s="46"/>
      <c r="R681" s="47" t="s">
        <v>48</v>
      </c>
      <c r="S681" s="52" t="s">
        <v>2829</v>
      </c>
    </row>
    <row r="682" customFormat="false" ht="15" hidden="false" customHeight="true" outlineLevel="0" collapsed="false">
      <c r="A682" s="49" t="n">
        <v>693</v>
      </c>
      <c r="B682" s="25" t="s">
        <v>4260</v>
      </c>
      <c r="C682" s="50"/>
      <c r="D682" s="50" t="s">
        <v>2160</v>
      </c>
      <c r="E682" s="49" t="s">
        <v>16</v>
      </c>
      <c r="F682" s="49" t="s">
        <v>2104</v>
      </c>
      <c r="G682" s="25" t="s">
        <v>4358</v>
      </c>
      <c r="H682" s="51" t="n">
        <v>5</v>
      </c>
      <c r="I682" s="49"/>
      <c r="J682" s="50" t="s">
        <v>3103</v>
      </c>
      <c r="K682" s="25" t="s">
        <v>4359</v>
      </c>
      <c r="L682" s="49" t="s">
        <v>4360</v>
      </c>
      <c r="M682" s="25" t="s">
        <v>4263</v>
      </c>
      <c r="N682" s="49" t="s">
        <v>4264</v>
      </c>
      <c r="O682" s="25" t="s">
        <v>3698</v>
      </c>
      <c r="P682" s="49" t="s">
        <v>3699</v>
      </c>
      <c r="Q682" s="49"/>
      <c r="R682" s="50" t="s">
        <v>48</v>
      </c>
      <c r="S682" s="52" t="s">
        <v>2829</v>
      </c>
    </row>
    <row r="683" customFormat="false" ht="15" hidden="false" customHeight="true" outlineLevel="0" collapsed="false">
      <c r="A683" s="46" t="n">
        <v>694</v>
      </c>
      <c r="B683" s="24" t="s">
        <v>4260</v>
      </c>
      <c r="C683" s="47"/>
      <c r="D683" s="47" t="s">
        <v>2160</v>
      </c>
      <c r="E683" s="46" t="s">
        <v>16</v>
      </c>
      <c r="F683" s="46" t="s">
        <v>2104</v>
      </c>
      <c r="G683" s="24" t="s">
        <v>4361</v>
      </c>
      <c r="H683" s="48" t="n">
        <v>5</v>
      </c>
      <c r="I683" s="46"/>
      <c r="J683" s="47" t="s">
        <v>3103</v>
      </c>
      <c r="K683" s="24" t="s">
        <v>4362</v>
      </c>
      <c r="L683" s="46" t="s">
        <v>4363</v>
      </c>
      <c r="M683" s="24" t="s">
        <v>4263</v>
      </c>
      <c r="N683" s="46" t="s">
        <v>4264</v>
      </c>
      <c r="O683" s="24" t="s">
        <v>3698</v>
      </c>
      <c r="P683" s="46" t="s">
        <v>3699</v>
      </c>
      <c r="Q683" s="46"/>
      <c r="R683" s="47" t="s">
        <v>48</v>
      </c>
      <c r="S683" s="52" t="s">
        <v>2829</v>
      </c>
    </row>
    <row r="684" customFormat="false" ht="15" hidden="false" customHeight="true" outlineLevel="0" collapsed="false">
      <c r="A684" s="49" t="n">
        <v>695</v>
      </c>
      <c r="B684" s="25" t="s">
        <v>4260</v>
      </c>
      <c r="C684" s="50"/>
      <c r="D684" s="50" t="s">
        <v>2160</v>
      </c>
      <c r="E684" s="49" t="s">
        <v>16</v>
      </c>
      <c r="F684" s="49" t="s">
        <v>2104</v>
      </c>
      <c r="G684" s="25" t="s">
        <v>4364</v>
      </c>
      <c r="H684" s="51" t="n">
        <v>5</v>
      </c>
      <c r="I684" s="49"/>
      <c r="J684" s="50" t="s">
        <v>3103</v>
      </c>
      <c r="K684" s="25" t="s">
        <v>4365</v>
      </c>
      <c r="L684" s="49" t="s">
        <v>4366</v>
      </c>
      <c r="M684" s="25" t="s">
        <v>4263</v>
      </c>
      <c r="N684" s="49" t="s">
        <v>4264</v>
      </c>
      <c r="O684" s="25" t="s">
        <v>3698</v>
      </c>
      <c r="P684" s="49" t="s">
        <v>3699</v>
      </c>
      <c r="Q684" s="49"/>
      <c r="R684" s="50" t="s">
        <v>48</v>
      </c>
      <c r="S684" s="52" t="s">
        <v>2829</v>
      </c>
    </row>
    <row r="685" customFormat="false" ht="15" hidden="false" customHeight="true" outlineLevel="0" collapsed="false">
      <c r="A685" s="46" t="n">
        <v>696</v>
      </c>
      <c r="B685" s="24" t="s">
        <v>4283</v>
      </c>
      <c r="C685" s="47"/>
      <c r="D685" s="47" t="s">
        <v>2160</v>
      </c>
      <c r="E685" s="46" t="s">
        <v>16</v>
      </c>
      <c r="F685" s="46" t="s">
        <v>2104</v>
      </c>
      <c r="G685" s="24" t="s">
        <v>4367</v>
      </c>
      <c r="H685" s="48" t="n">
        <v>5</v>
      </c>
      <c r="I685" s="46"/>
      <c r="J685" s="47" t="s">
        <v>3103</v>
      </c>
      <c r="K685" s="24" t="s">
        <v>4368</v>
      </c>
      <c r="L685" s="46" t="s">
        <v>4369</v>
      </c>
      <c r="M685" s="24" t="s">
        <v>4263</v>
      </c>
      <c r="N685" s="46" t="s">
        <v>4264</v>
      </c>
      <c r="O685" s="24" t="s">
        <v>3698</v>
      </c>
      <c r="P685" s="46" t="s">
        <v>3699</v>
      </c>
      <c r="Q685" s="46"/>
      <c r="R685" s="47" t="s">
        <v>48</v>
      </c>
      <c r="S685" s="52" t="s">
        <v>2829</v>
      </c>
    </row>
    <row r="686" customFormat="false" ht="15" hidden="false" customHeight="true" outlineLevel="0" collapsed="false">
      <c r="A686" s="49" t="n">
        <v>697</v>
      </c>
      <c r="B686" s="25" t="s">
        <v>4283</v>
      </c>
      <c r="C686" s="50"/>
      <c r="D686" s="50" t="s">
        <v>2160</v>
      </c>
      <c r="E686" s="49" t="s">
        <v>16</v>
      </c>
      <c r="F686" s="49" t="s">
        <v>2104</v>
      </c>
      <c r="G686" s="25" t="s">
        <v>4370</v>
      </c>
      <c r="H686" s="51" t="n">
        <v>5</v>
      </c>
      <c r="I686" s="49"/>
      <c r="J686" s="50" t="s">
        <v>3103</v>
      </c>
      <c r="K686" s="25" t="s">
        <v>4371</v>
      </c>
      <c r="L686" s="49" t="s">
        <v>4372</v>
      </c>
      <c r="M686" s="25" t="s">
        <v>4263</v>
      </c>
      <c r="N686" s="49" t="s">
        <v>4264</v>
      </c>
      <c r="O686" s="25" t="s">
        <v>3698</v>
      </c>
      <c r="P686" s="49" t="s">
        <v>3699</v>
      </c>
      <c r="Q686" s="49"/>
      <c r="R686" s="50" t="s">
        <v>48</v>
      </c>
      <c r="S686" s="52" t="s">
        <v>2829</v>
      </c>
    </row>
    <row r="687" customFormat="false" ht="15" hidden="false" customHeight="true" outlineLevel="0" collapsed="false">
      <c r="A687" s="46" t="n">
        <v>698</v>
      </c>
      <c r="B687" s="24" t="s">
        <v>4260</v>
      </c>
      <c r="C687" s="47"/>
      <c r="D687" s="47" t="s">
        <v>2160</v>
      </c>
      <c r="E687" s="46" t="s">
        <v>16</v>
      </c>
      <c r="F687" s="46" t="s">
        <v>2104</v>
      </c>
      <c r="G687" s="24" t="s">
        <v>4373</v>
      </c>
      <c r="H687" s="48" t="n">
        <v>5</v>
      </c>
      <c r="I687" s="46"/>
      <c r="J687" s="47" t="s">
        <v>3103</v>
      </c>
      <c r="K687" s="24" t="s">
        <v>4374</v>
      </c>
      <c r="L687" s="46" t="s">
        <v>4375</v>
      </c>
      <c r="M687" s="24" t="s">
        <v>4263</v>
      </c>
      <c r="N687" s="46" t="s">
        <v>4264</v>
      </c>
      <c r="O687" s="24" t="s">
        <v>3698</v>
      </c>
      <c r="P687" s="46" t="s">
        <v>3699</v>
      </c>
      <c r="Q687" s="46"/>
      <c r="R687" s="47" t="s">
        <v>48</v>
      </c>
      <c r="S687" s="52" t="s">
        <v>2829</v>
      </c>
    </row>
    <row r="688" customFormat="false" ht="15" hidden="false" customHeight="true" outlineLevel="0" collapsed="false">
      <c r="A688" s="49" t="n">
        <v>699</v>
      </c>
      <c r="B688" s="25" t="s">
        <v>4376</v>
      </c>
      <c r="C688" s="50"/>
      <c r="D688" s="50" t="s">
        <v>4376</v>
      </c>
      <c r="E688" s="49" t="s">
        <v>16</v>
      </c>
      <c r="F688" s="49" t="s">
        <v>2104</v>
      </c>
      <c r="G688" s="25" t="s">
        <v>4377</v>
      </c>
      <c r="H688" s="51" t="n">
        <v>5</v>
      </c>
      <c r="I688" s="49"/>
      <c r="J688" s="50" t="s">
        <v>1657</v>
      </c>
      <c r="K688" s="25" t="s">
        <v>4378</v>
      </c>
      <c r="L688" s="49" t="s">
        <v>4379</v>
      </c>
      <c r="M688" s="25" t="s">
        <v>4380</v>
      </c>
      <c r="N688" s="49" t="s">
        <v>4381</v>
      </c>
      <c r="O688" s="25" t="s">
        <v>3698</v>
      </c>
      <c r="P688" s="49" t="s">
        <v>3699</v>
      </c>
      <c r="Q688" s="49"/>
      <c r="R688" s="50" t="s">
        <v>48</v>
      </c>
      <c r="S688" s="52" t="s">
        <v>67</v>
      </c>
    </row>
    <row r="689" customFormat="false" ht="15" hidden="false" customHeight="true" outlineLevel="0" collapsed="false">
      <c r="A689" s="46" t="n">
        <v>700</v>
      </c>
      <c r="B689" s="24" t="s">
        <v>4376</v>
      </c>
      <c r="C689" s="47"/>
      <c r="D689" s="47" t="s">
        <v>4376</v>
      </c>
      <c r="E689" s="46" t="s">
        <v>16</v>
      </c>
      <c r="F689" s="46" t="s">
        <v>2104</v>
      </c>
      <c r="G689" s="24" t="s">
        <v>4382</v>
      </c>
      <c r="H689" s="48" t="n">
        <v>5</v>
      </c>
      <c r="I689" s="46"/>
      <c r="J689" s="47" t="s">
        <v>4383</v>
      </c>
      <c r="K689" s="24" t="s">
        <v>4384</v>
      </c>
      <c r="L689" s="46" t="s">
        <v>4385</v>
      </c>
      <c r="M689" s="24" t="s">
        <v>4380</v>
      </c>
      <c r="N689" s="46" t="s">
        <v>4381</v>
      </c>
      <c r="O689" s="24" t="s">
        <v>3698</v>
      </c>
      <c r="P689" s="46" t="s">
        <v>3699</v>
      </c>
      <c r="Q689" s="46"/>
      <c r="R689" s="47" t="s">
        <v>48</v>
      </c>
      <c r="S689" s="52" t="s">
        <v>67</v>
      </c>
    </row>
    <row r="690" customFormat="false" ht="15" hidden="false" customHeight="true" outlineLevel="0" collapsed="false">
      <c r="A690" s="49" t="n">
        <v>701</v>
      </c>
      <c r="B690" s="25" t="s">
        <v>4376</v>
      </c>
      <c r="C690" s="50"/>
      <c r="D690" s="50" t="s">
        <v>4376</v>
      </c>
      <c r="E690" s="49" t="s">
        <v>16</v>
      </c>
      <c r="F690" s="49" t="s">
        <v>2104</v>
      </c>
      <c r="G690" s="25" t="s">
        <v>4386</v>
      </c>
      <c r="H690" s="51" t="n">
        <v>5</v>
      </c>
      <c r="I690" s="49"/>
      <c r="J690" s="50" t="s">
        <v>1662</v>
      </c>
      <c r="K690" s="25" t="s">
        <v>4387</v>
      </c>
      <c r="L690" s="49" t="s">
        <v>4388</v>
      </c>
      <c r="M690" s="25" t="s">
        <v>4380</v>
      </c>
      <c r="N690" s="49" t="s">
        <v>4381</v>
      </c>
      <c r="O690" s="25" t="s">
        <v>3698</v>
      </c>
      <c r="P690" s="49" t="s">
        <v>3699</v>
      </c>
      <c r="Q690" s="49"/>
      <c r="R690" s="50" t="s">
        <v>48</v>
      </c>
      <c r="S690" s="52" t="s">
        <v>67</v>
      </c>
    </row>
    <row r="691" customFormat="false" ht="15" hidden="false" customHeight="true" outlineLevel="0" collapsed="false">
      <c r="A691" s="46" t="n">
        <v>702</v>
      </c>
      <c r="B691" s="24" t="s">
        <v>4376</v>
      </c>
      <c r="C691" s="47"/>
      <c r="D691" s="47" t="s">
        <v>4376</v>
      </c>
      <c r="E691" s="46" t="s">
        <v>16</v>
      </c>
      <c r="F691" s="46" t="s">
        <v>2104</v>
      </c>
      <c r="G691" s="24" t="s">
        <v>4389</v>
      </c>
      <c r="H691" s="48" t="n">
        <v>5</v>
      </c>
      <c r="I691" s="46"/>
      <c r="J691" s="47" t="s">
        <v>1664</v>
      </c>
      <c r="K691" s="24" t="s">
        <v>4390</v>
      </c>
      <c r="L691" s="46" t="s">
        <v>4391</v>
      </c>
      <c r="M691" s="24" t="s">
        <v>4380</v>
      </c>
      <c r="N691" s="46" t="s">
        <v>4381</v>
      </c>
      <c r="O691" s="24" t="s">
        <v>3698</v>
      </c>
      <c r="P691" s="46" t="s">
        <v>3699</v>
      </c>
      <c r="Q691" s="46"/>
      <c r="R691" s="47" t="s">
        <v>48</v>
      </c>
      <c r="S691" s="52" t="s">
        <v>67</v>
      </c>
    </row>
    <row r="692" customFormat="false" ht="15" hidden="false" customHeight="true" outlineLevel="0" collapsed="false">
      <c r="A692" s="49" t="n">
        <v>703</v>
      </c>
      <c r="B692" s="25" t="s">
        <v>4376</v>
      </c>
      <c r="C692" s="50"/>
      <c r="D692" s="50" t="s">
        <v>4376</v>
      </c>
      <c r="E692" s="49" t="s">
        <v>16</v>
      </c>
      <c r="F692" s="49" t="s">
        <v>2104</v>
      </c>
      <c r="G692" s="25" t="s">
        <v>4392</v>
      </c>
      <c r="H692" s="51" t="n">
        <v>5</v>
      </c>
      <c r="I692" s="49"/>
      <c r="J692" s="50" t="s">
        <v>1666</v>
      </c>
      <c r="K692" s="25" t="s">
        <v>4393</v>
      </c>
      <c r="L692" s="49" t="s">
        <v>4394</v>
      </c>
      <c r="M692" s="25" t="s">
        <v>4380</v>
      </c>
      <c r="N692" s="49" t="s">
        <v>4381</v>
      </c>
      <c r="O692" s="25" t="s">
        <v>3698</v>
      </c>
      <c r="P692" s="49" t="s">
        <v>3699</v>
      </c>
      <c r="Q692" s="49"/>
      <c r="R692" s="50" t="s">
        <v>48</v>
      </c>
      <c r="S692" s="52" t="s">
        <v>67</v>
      </c>
    </row>
    <row r="693" customFormat="false" ht="15" hidden="false" customHeight="true" outlineLevel="0" collapsed="false">
      <c r="A693" s="46" t="n">
        <v>704</v>
      </c>
      <c r="B693" s="24" t="s">
        <v>4395</v>
      </c>
      <c r="C693" s="47"/>
      <c r="D693" s="47" t="s">
        <v>4376</v>
      </c>
      <c r="E693" s="46" t="s">
        <v>16</v>
      </c>
      <c r="F693" s="46" t="s">
        <v>2104</v>
      </c>
      <c r="G693" s="24" t="s">
        <v>4396</v>
      </c>
      <c r="H693" s="48" t="n">
        <v>5</v>
      </c>
      <c r="I693" s="46"/>
      <c r="J693" s="47" t="s">
        <v>1669</v>
      </c>
      <c r="K693" s="24" t="s">
        <v>4397</v>
      </c>
      <c r="L693" s="46" t="s">
        <v>4398</v>
      </c>
      <c r="M693" s="24" t="s">
        <v>4380</v>
      </c>
      <c r="N693" s="46" t="s">
        <v>4381</v>
      </c>
      <c r="O693" s="24" t="s">
        <v>3698</v>
      </c>
      <c r="P693" s="46" t="s">
        <v>3699</v>
      </c>
      <c r="Q693" s="46"/>
      <c r="R693" s="47" t="s">
        <v>48</v>
      </c>
      <c r="S693" s="52" t="s">
        <v>67</v>
      </c>
    </row>
    <row r="694" customFormat="false" ht="15" hidden="false" customHeight="true" outlineLevel="0" collapsed="false">
      <c r="A694" s="49" t="n">
        <v>705</v>
      </c>
      <c r="B694" s="25" t="s">
        <v>4395</v>
      </c>
      <c r="C694" s="50"/>
      <c r="D694" s="50" t="s">
        <v>4376</v>
      </c>
      <c r="E694" s="49" t="s">
        <v>16</v>
      </c>
      <c r="F694" s="49" t="s">
        <v>2104</v>
      </c>
      <c r="G694" s="25" t="s">
        <v>4399</v>
      </c>
      <c r="H694" s="51" t="n">
        <v>5</v>
      </c>
      <c r="I694" s="49"/>
      <c r="J694" s="50" t="s">
        <v>1671</v>
      </c>
      <c r="K694" s="25" t="s">
        <v>4400</v>
      </c>
      <c r="L694" s="49" t="s">
        <v>4401</v>
      </c>
      <c r="M694" s="25" t="s">
        <v>4380</v>
      </c>
      <c r="N694" s="49" t="s">
        <v>4381</v>
      </c>
      <c r="O694" s="25" t="s">
        <v>3698</v>
      </c>
      <c r="P694" s="49" t="s">
        <v>3699</v>
      </c>
      <c r="Q694" s="49"/>
      <c r="R694" s="50" t="s">
        <v>48</v>
      </c>
      <c r="S694" s="52" t="s">
        <v>67</v>
      </c>
    </row>
    <row r="695" customFormat="false" ht="15" hidden="false" customHeight="true" outlineLevel="0" collapsed="false">
      <c r="A695" s="46" t="n">
        <v>706</v>
      </c>
      <c r="B695" s="24" t="s">
        <v>4395</v>
      </c>
      <c r="C695" s="47"/>
      <c r="D695" s="47" t="s">
        <v>4376</v>
      </c>
      <c r="E695" s="46" t="s">
        <v>16</v>
      </c>
      <c r="F695" s="46" t="s">
        <v>2104</v>
      </c>
      <c r="G695" s="24" t="s">
        <v>4402</v>
      </c>
      <c r="H695" s="48" t="n">
        <v>5</v>
      </c>
      <c r="I695" s="46"/>
      <c r="J695" s="47" t="s">
        <v>4403</v>
      </c>
      <c r="K695" s="24" t="s">
        <v>3970</v>
      </c>
      <c r="L695" s="46" t="s">
        <v>4404</v>
      </c>
      <c r="M695" s="24" t="s">
        <v>4380</v>
      </c>
      <c r="N695" s="46" t="s">
        <v>4381</v>
      </c>
      <c r="O695" s="24" t="s">
        <v>3698</v>
      </c>
      <c r="P695" s="46" t="s">
        <v>3699</v>
      </c>
      <c r="Q695" s="46"/>
      <c r="R695" s="47" t="s">
        <v>48</v>
      </c>
      <c r="S695" s="52" t="s">
        <v>67</v>
      </c>
    </row>
    <row r="696" customFormat="false" ht="15" hidden="false" customHeight="true" outlineLevel="0" collapsed="false">
      <c r="A696" s="49" t="n">
        <v>707</v>
      </c>
      <c r="B696" s="25" t="s">
        <v>4395</v>
      </c>
      <c r="C696" s="50"/>
      <c r="D696" s="50" t="s">
        <v>4376</v>
      </c>
      <c r="E696" s="49" t="s">
        <v>16</v>
      </c>
      <c r="F696" s="49" t="s">
        <v>2104</v>
      </c>
      <c r="G696" s="25" t="s">
        <v>4405</v>
      </c>
      <c r="H696" s="51" t="n">
        <v>5</v>
      </c>
      <c r="I696" s="49"/>
      <c r="J696" s="50" t="s">
        <v>1675</v>
      </c>
      <c r="K696" s="25" t="s">
        <v>4406</v>
      </c>
      <c r="L696" s="49" t="s">
        <v>4407</v>
      </c>
      <c r="M696" s="25" t="s">
        <v>4380</v>
      </c>
      <c r="N696" s="49" t="s">
        <v>4381</v>
      </c>
      <c r="O696" s="25" t="s">
        <v>3698</v>
      </c>
      <c r="P696" s="49" t="s">
        <v>3699</v>
      </c>
      <c r="Q696" s="49"/>
      <c r="R696" s="50" t="s">
        <v>48</v>
      </c>
      <c r="S696" s="52" t="s">
        <v>67</v>
      </c>
    </row>
    <row r="697" customFormat="false" ht="15" hidden="false" customHeight="true" outlineLevel="0" collapsed="false">
      <c r="A697" s="46" t="n">
        <v>708</v>
      </c>
      <c r="B697" s="24" t="s">
        <v>4395</v>
      </c>
      <c r="C697" s="47"/>
      <c r="D697" s="47" t="s">
        <v>4376</v>
      </c>
      <c r="E697" s="46" t="s">
        <v>16</v>
      </c>
      <c r="F697" s="46" t="s">
        <v>2104</v>
      </c>
      <c r="G697" s="24" t="s">
        <v>4408</v>
      </c>
      <c r="H697" s="48" t="n">
        <v>5</v>
      </c>
      <c r="I697" s="46"/>
      <c r="J697" s="47" t="s">
        <v>4409</v>
      </c>
      <c r="K697" s="24" t="s">
        <v>3756</v>
      </c>
      <c r="L697" s="46" t="s">
        <v>4410</v>
      </c>
      <c r="M697" s="24" t="s">
        <v>4380</v>
      </c>
      <c r="N697" s="46" t="s">
        <v>4381</v>
      </c>
      <c r="O697" s="24" t="s">
        <v>3698</v>
      </c>
      <c r="P697" s="46" t="s">
        <v>3699</v>
      </c>
      <c r="Q697" s="46"/>
      <c r="R697" s="47" t="s">
        <v>48</v>
      </c>
      <c r="S697" s="52" t="s">
        <v>67</v>
      </c>
    </row>
    <row r="698" customFormat="false" ht="15" hidden="false" customHeight="true" outlineLevel="0" collapsed="false">
      <c r="A698" s="49" t="n">
        <v>709</v>
      </c>
      <c r="B698" s="25" t="s">
        <v>4395</v>
      </c>
      <c r="C698" s="50"/>
      <c r="D698" s="50" t="s">
        <v>4376</v>
      </c>
      <c r="E698" s="49" t="s">
        <v>16</v>
      </c>
      <c r="F698" s="49" t="s">
        <v>2104</v>
      </c>
      <c r="G698" s="25" t="s">
        <v>4411</v>
      </c>
      <c r="H698" s="51" t="n">
        <v>5</v>
      </c>
      <c r="I698" s="49"/>
      <c r="J698" s="50" t="s">
        <v>1679</v>
      </c>
      <c r="K698" s="25" t="s">
        <v>4050</v>
      </c>
      <c r="L698" s="49" t="s">
        <v>4412</v>
      </c>
      <c r="M698" s="25" t="s">
        <v>4380</v>
      </c>
      <c r="N698" s="49" t="s">
        <v>4381</v>
      </c>
      <c r="O698" s="25" t="s">
        <v>3698</v>
      </c>
      <c r="P698" s="49" t="s">
        <v>3699</v>
      </c>
      <c r="Q698" s="49"/>
      <c r="R698" s="50" t="s">
        <v>48</v>
      </c>
      <c r="S698" s="52" t="s">
        <v>67</v>
      </c>
    </row>
    <row r="699" customFormat="false" ht="15" hidden="false" customHeight="true" outlineLevel="0" collapsed="false">
      <c r="A699" s="46" t="n">
        <v>710</v>
      </c>
      <c r="B699" s="24" t="s">
        <v>4376</v>
      </c>
      <c r="C699" s="47"/>
      <c r="D699" s="47" t="s">
        <v>4376</v>
      </c>
      <c r="E699" s="46" t="s">
        <v>16</v>
      </c>
      <c r="F699" s="46" t="s">
        <v>2104</v>
      </c>
      <c r="G699" s="24" t="s">
        <v>4413</v>
      </c>
      <c r="H699" s="48" t="n">
        <v>5</v>
      </c>
      <c r="I699" s="46"/>
      <c r="J699" s="47" t="s">
        <v>1682</v>
      </c>
      <c r="K699" s="24" t="s">
        <v>3238</v>
      </c>
      <c r="L699" s="46" t="s">
        <v>4414</v>
      </c>
      <c r="M699" s="24" t="s">
        <v>4380</v>
      </c>
      <c r="N699" s="46" t="s">
        <v>4381</v>
      </c>
      <c r="O699" s="24" t="s">
        <v>3698</v>
      </c>
      <c r="P699" s="46" t="s">
        <v>3699</v>
      </c>
      <c r="Q699" s="46"/>
      <c r="R699" s="47" t="s">
        <v>48</v>
      </c>
      <c r="S699" s="52" t="s">
        <v>67</v>
      </c>
    </row>
    <row r="700" customFormat="false" ht="15" hidden="false" customHeight="true" outlineLevel="0" collapsed="false">
      <c r="A700" s="49" t="n">
        <v>711</v>
      </c>
      <c r="B700" s="25" t="s">
        <v>4376</v>
      </c>
      <c r="C700" s="50"/>
      <c r="D700" s="50" t="s">
        <v>4376</v>
      </c>
      <c r="E700" s="49" t="s">
        <v>16</v>
      </c>
      <c r="F700" s="49" t="s">
        <v>2104</v>
      </c>
      <c r="G700" s="25" t="s">
        <v>4415</v>
      </c>
      <c r="H700" s="51" t="n">
        <v>5</v>
      </c>
      <c r="I700" s="49"/>
      <c r="J700" s="50" t="s">
        <v>1684</v>
      </c>
      <c r="K700" s="25" t="s">
        <v>4416</v>
      </c>
      <c r="L700" s="49" t="s">
        <v>4417</v>
      </c>
      <c r="M700" s="25" t="s">
        <v>4380</v>
      </c>
      <c r="N700" s="49" t="s">
        <v>4381</v>
      </c>
      <c r="O700" s="25" t="s">
        <v>3698</v>
      </c>
      <c r="P700" s="49" t="s">
        <v>3699</v>
      </c>
      <c r="Q700" s="49"/>
      <c r="R700" s="50" t="s">
        <v>48</v>
      </c>
      <c r="S700" s="52" t="s">
        <v>67</v>
      </c>
    </row>
    <row r="701" customFormat="false" ht="15" hidden="false" customHeight="true" outlineLevel="0" collapsed="false">
      <c r="A701" s="46" t="n">
        <v>712</v>
      </c>
      <c r="B701" s="24" t="s">
        <v>4376</v>
      </c>
      <c r="C701" s="47"/>
      <c r="D701" s="47" t="s">
        <v>4376</v>
      </c>
      <c r="E701" s="46" t="s">
        <v>16</v>
      </c>
      <c r="F701" s="46" t="s">
        <v>2104</v>
      </c>
      <c r="G701" s="24" t="s">
        <v>4418</v>
      </c>
      <c r="H701" s="48" t="n">
        <v>5</v>
      </c>
      <c r="I701" s="46"/>
      <c r="J701" s="47" t="s">
        <v>1686</v>
      </c>
      <c r="K701" s="24" t="s">
        <v>4419</v>
      </c>
      <c r="L701" s="46" t="s">
        <v>4420</v>
      </c>
      <c r="M701" s="24" t="s">
        <v>4380</v>
      </c>
      <c r="N701" s="46" t="s">
        <v>4381</v>
      </c>
      <c r="O701" s="24" t="s">
        <v>3698</v>
      </c>
      <c r="P701" s="46" t="s">
        <v>3699</v>
      </c>
      <c r="Q701" s="46"/>
      <c r="R701" s="47" t="s">
        <v>48</v>
      </c>
      <c r="S701" s="52" t="s">
        <v>67</v>
      </c>
    </row>
    <row r="702" customFormat="false" ht="15" hidden="false" customHeight="true" outlineLevel="0" collapsed="false">
      <c r="A702" s="49" t="n">
        <v>713</v>
      </c>
      <c r="B702" s="25" t="s">
        <v>4376</v>
      </c>
      <c r="C702" s="50"/>
      <c r="D702" s="50" t="s">
        <v>4376</v>
      </c>
      <c r="E702" s="49" t="s">
        <v>16</v>
      </c>
      <c r="F702" s="49" t="s">
        <v>2104</v>
      </c>
      <c r="G702" s="25" t="s">
        <v>4421</v>
      </c>
      <c r="H702" s="51" t="n">
        <v>5</v>
      </c>
      <c r="I702" s="49"/>
      <c r="J702" s="50" t="s">
        <v>1688</v>
      </c>
      <c r="K702" s="25" t="s">
        <v>4161</v>
      </c>
      <c r="L702" s="49" t="s">
        <v>4422</v>
      </c>
      <c r="M702" s="25" t="s">
        <v>4380</v>
      </c>
      <c r="N702" s="49" t="s">
        <v>4381</v>
      </c>
      <c r="O702" s="25" t="s">
        <v>3698</v>
      </c>
      <c r="P702" s="49" t="s">
        <v>3699</v>
      </c>
      <c r="Q702" s="49"/>
      <c r="R702" s="50" t="s">
        <v>48</v>
      </c>
      <c r="S702" s="52" t="s">
        <v>67</v>
      </c>
    </row>
    <row r="703" customFormat="false" ht="15" hidden="false" customHeight="true" outlineLevel="0" collapsed="false">
      <c r="A703" s="46" t="n">
        <v>714</v>
      </c>
      <c r="B703" s="24" t="s">
        <v>4395</v>
      </c>
      <c r="C703" s="47"/>
      <c r="D703" s="47" t="s">
        <v>4376</v>
      </c>
      <c r="E703" s="46" t="s">
        <v>16</v>
      </c>
      <c r="F703" s="46" t="s">
        <v>2104</v>
      </c>
      <c r="G703" s="24" t="s">
        <v>4423</v>
      </c>
      <c r="H703" s="48" t="n">
        <v>5</v>
      </c>
      <c r="I703" s="46"/>
      <c r="J703" s="47" t="s">
        <v>4424</v>
      </c>
      <c r="K703" s="24" t="s">
        <v>4425</v>
      </c>
      <c r="L703" s="46" t="s">
        <v>4426</v>
      </c>
      <c r="M703" s="24" t="s">
        <v>4380</v>
      </c>
      <c r="N703" s="46" t="s">
        <v>4381</v>
      </c>
      <c r="O703" s="24" t="s">
        <v>3698</v>
      </c>
      <c r="P703" s="46" t="s">
        <v>3699</v>
      </c>
      <c r="Q703" s="46"/>
      <c r="R703" s="47" t="s">
        <v>48</v>
      </c>
      <c r="S703" s="52" t="s">
        <v>67</v>
      </c>
    </row>
    <row r="704" customFormat="false" ht="15" hidden="false" customHeight="true" outlineLevel="0" collapsed="false">
      <c r="A704" s="49" t="n">
        <v>715</v>
      </c>
      <c r="B704" s="25" t="s">
        <v>4395</v>
      </c>
      <c r="C704" s="50"/>
      <c r="D704" s="50" t="s">
        <v>4376</v>
      </c>
      <c r="E704" s="49" t="s">
        <v>16</v>
      </c>
      <c r="F704" s="49" t="s">
        <v>2104</v>
      </c>
      <c r="G704" s="25" t="s">
        <v>4427</v>
      </c>
      <c r="H704" s="51" t="n">
        <v>5</v>
      </c>
      <c r="I704" s="49"/>
      <c r="J704" s="50" t="s">
        <v>1692</v>
      </c>
      <c r="K704" s="25" t="s">
        <v>4428</v>
      </c>
      <c r="L704" s="49" t="s">
        <v>4429</v>
      </c>
      <c r="M704" s="25" t="s">
        <v>4380</v>
      </c>
      <c r="N704" s="49" t="s">
        <v>4381</v>
      </c>
      <c r="O704" s="25" t="s">
        <v>3698</v>
      </c>
      <c r="P704" s="49" t="s">
        <v>3699</v>
      </c>
      <c r="Q704" s="49"/>
      <c r="R704" s="50" t="s">
        <v>48</v>
      </c>
      <c r="S704" s="52" t="s">
        <v>67</v>
      </c>
    </row>
    <row r="705" customFormat="false" ht="15" hidden="false" customHeight="true" outlineLevel="0" collapsed="false">
      <c r="A705" s="46" t="n">
        <v>716</v>
      </c>
      <c r="B705" s="24" t="s">
        <v>4395</v>
      </c>
      <c r="C705" s="47"/>
      <c r="D705" s="47" t="s">
        <v>4376</v>
      </c>
      <c r="E705" s="46" t="s">
        <v>16</v>
      </c>
      <c r="F705" s="46" t="s">
        <v>2104</v>
      </c>
      <c r="G705" s="24" t="s">
        <v>4430</v>
      </c>
      <c r="H705" s="48" t="n">
        <v>5</v>
      </c>
      <c r="I705" s="46"/>
      <c r="J705" s="47" t="s">
        <v>1694</v>
      </c>
      <c r="K705" s="24" t="s">
        <v>4431</v>
      </c>
      <c r="L705" s="46" t="s">
        <v>4432</v>
      </c>
      <c r="M705" s="24" t="s">
        <v>4380</v>
      </c>
      <c r="N705" s="46" t="s">
        <v>4381</v>
      </c>
      <c r="O705" s="24" t="s">
        <v>3698</v>
      </c>
      <c r="P705" s="46" t="s">
        <v>3699</v>
      </c>
      <c r="Q705" s="46"/>
      <c r="R705" s="47" t="s">
        <v>48</v>
      </c>
      <c r="S705" s="52" t="s">
        <v>67</v>
      </c>
    </row>
    <row r="706" customFormat="false" ht="15" hidden="false" customHeight="true" outlineLevel="0" collapsed="false">
      <c r="A706" s="49" t="n">
        <v>717</v>
      </c>
      <c r="B706" s="25" t="s">
        <v>4395</v>
      </c>
      <c r="C706" s="50"/>
      <c r="D706" s="50" t="s">
        <v>4376</v>
      </c>
      <c r="E706" s="49" t="s">
        <v>16</v>
      </c>
      <c r="F706" s="49" t="s">
        <v>2104</v>
      </c>
      <c r="G706" s="25" t="s">
        <v>4433</v>
      </c>
      <c r="H706" s="51" t="n">
        <v>5</v>
      </c>
      <c r="I706" s="49"/>
      <c r="J706" s="50" t="s">
        <v>1696</v>
      </c>
      <c r="K706" s="25" t="s">
        <v>4434</v>
      </c>
      <c r="L706" s="49" t="s">
        <v>4435</v>
      </c>
      <c r="M706" s="25" t="s">
        <v>4380</v>
      </c>
      <c r="N706" s="49" t="s">
        <v>4381</v>
      </c>
      <c r="O706" s="25" t="s">
        <v>3698</v>
      </c>
      <c r="P706" s="49" t="s">
        <v>3699</v>
      </c>
      <c r="Q706" s="49"/>
      <c r="R706" s="50" t="s">
        <v>48</v>
      </c>
      <c r="S706" s="52" t="s">
        <v>67</v>
      </c>
    </row>
    <row r="707" customFormat="false" ht="15" hidden="false" customHeight="true" outlineLevel="0" collapsed="false">
      <c r="A707" s="46" t="n">
        <v>718</v>
      </c>
      <c r="B707" s="24" t="s">
        <v>4395</v>
      </c>
      <c r="C707" s="47"/>
      <c r="D707" s="47" t="s">
        <v>4376</v>
      </c>
      <c r="E707" s="46" t="s">
        <v>16</v>
      </c>
      <c r="F707" s="46" t="s">
        <v>2104</v>
      </c>
      <c r="G707" s="24" t="s">
        <v>4436</v>
      </c>
      <c r="H707" s="48" t="n">
        <v>5</v>
      </c>
      <c r="I707" s="46"/>
      <c r="J707" s="47" t="s">
        <v>1698</v>
      </c>
      <c r="K707" s="24" t="s">
        <v>4437</v>
      </c>
      <c r="L707" s="46" t="s">
        <v>4438</v>
      </c>
      <c r="M707" s="24" t="s">
        <v>4380</v>
      </c>
      <c r="N707" s="46" t="s">
        <v>4381</v>
      </c>
      <c r="O707" s="24" t="s">
        <v>3698</v>
      </c>
      <c r="P707" s="46" t="s">
        <v>3699</v>
      </c>
      <c r="Q707" s="46"/>
      <c r="R707" s="47" t="s">
        <v>48</v>
      </c>
      <c r="S707" s="52" t="s">
        <v>67</v>
      </c>
    </row>
    <row r="708" customFormat="false" ht="15" hidden="false" customHeight="true" outlineLevel="0" collapsed="false">
      <c r="A708" s="49" t="n">
        <v>719</v>
      </c>
      <c r="B708" s="25" t="s">
        <v>4395</v>
      </c>
      <c r="C708" s="50"/>
      <c r="D708" s="50" t="s">
        <v>4376</v>
      </c>
      <c r="E708" s="49" t="s">
        <v>16</v>
      </c>
      <c r="F708" s="49" t="s">
        <v>2104</v>
      </c>
      <c r="G708" s="25" t="s">
        <v>4439</v>
      </c>
      <c r="H708" s="51" t="n">
        <v>5</v>
      </c>
      <c r="I708" s="49"/>
      <c r="J708" s="50" t="s">
        <v>1700</v>
      </c>
      <c r="K708" s="25" t="s">
        <v>4440</v>
      </c>
      <c r="L708" s="49" t="s">
        <v>4441</v>
      </c>
      <c r="M708" s="25" t="s">
        <v>4380</v>
      </c>
      <c r="N708" s="49" t="s">
        <v>4381</v>
      </c>
      <c r="O708" s="25" t="s">
        <v>3698</v>
      </c>
      <c r="P708" s="49" t="s">
        <v>3699</v>
      </c>
      <c r="Q708" s="49"/>
      <c r="R708" s="50" t="s">
        <v>48</v>
      </c>
      <c r="S708" s="52" t="s">
        <v>67</v>
      </c>
    </row>
    <row r="709" customFormat="false" ht="15" hidden="false" customHeight="true" outlineLevel="0" collapsed="false">
      <c r="A709" s="46" t="n">
        <v>720</v>
      </c>
      <c r="B709" s="24" t="s">
        <v>4395</v>
      </c>
      <c r="C709" s="47"/>
      <c r="D709" s="47" t="s">
        <v>4376</v>
      </c>
      <c r="E709" s="46" t="s">
        <v>16</v>
      </c>
      <c r="F709" s="46" t="s">
        <v>2104</v>
      </c>
      <c r="G709" s="24" t="s">
        <v>4442</v>
      </c>
      <c r="H709" s="48" t="n">
        <v>5</v>
      </c>
      <c r="I709" s="46"/>
      <c r="J709" s="47" t="s">
        <v>1702</v>
      </c>
      <c r="K709" s="24" t="s">
        <v>4443</v>
      </c>
      <c r="L709" s="46" t="s">
        <v>4429</v>
      </c>
      <c r="M709" s="24" t="s">
        <v>4380</v>
      </c>
      <c r="N709" s="46" t="s">
        <v>4381</v>
      </c>
      <c r="O709" s="24" t="s">
        <v>3698</v>
      </c>
      <c r="P709" s="46" t="s">
        <v>3699</v>
      </c>
      <c r="Q709" s="46"/>
      <c r="R709" s="47" t="s">
        <v>48</v>
      </c>
      <c r="S709" s="52" t="s">
        <v>67</v>
      </c>
    </row>
    <row r="710" customFormat="false" ht="15" hidden="false" customHeight="true" outlineLevel="0" collapsed="false">
      <c r="A710" s="49" t="n">
        <v>721</v>
      </c>
      <c r="B710" s="25" t="s">
        <v>4395</v>
      </c>
      <c r="C710" s="50"/>
      <c r="D710" s="50" t="s">
        <v>4376</v>
      </c>
      <c r="E710" s="49" t="s">
        <v>16</v>
      </c>
      <c r="F710" s="49" t="s">
        <v>2104</v>
      </c>
      <c r="G710" s="25" t="s">
        <v>4444</v>
      </c>
      <c r="H710" s="51" t="n">
        <v>5</v>
      </c>
      <c r="I710" s="49"/>
      <c r="J710" s="50" t="s">
        <v>1704</v>
      </c>
      <c r="K710" s="25" t="s">
        <v>4445</v>
      </c>
      <c r="L710" s="49" t="s">
        <v>4446</v>
      </c>
      <c r="M710" s="25" t="s">
        <v>4380</v>
      </c>
      <c r="N710" s="49" t="s">
        <v>4381</v>
      </c>
      <c r="O710" s="25" t="s">
        <v>3698</v>
      </c>
      <c r="P710" s="49" t="s">
        <v>3699</v>
      </c>
      <c r="Q710" s="49"/>
      <c r="R710" s="50" t="s">
        <v>48</v>
      </c>
      <c r="S710" s="52" t="s">
        <v>67</v>
      </c>
    </row>
    <row r="711" customFormat="false" ht="15" hidden="false" customHeight="true" outlineLevel="0" collapsed="false">
      <c r="A711" s="46" t="n">
        <v>722</v>
      </c>
      <c r="B711" s="24" t="s">
        <v>4395</v>
      </c>
      <c r="C711" s="47"/>
      <c r="D711" s="47" t="s">
        <v>4376</v>
      </c>
      <c r="E711" s="46" t="s">
        <v>16</v>
      </c>
      <c r="F711" s="46" t="s">
        <v>2104</v>
      </c>
      <c r="G711" s="24" t="s">
        <v>4447</v>
      </c>
      <c r="H711" s="48" t="n">
        <v>5</v>
      </c>
      <c r="I711" s="46"/>
      <c r="J711" s="47" t="s">
        <v>1706</v>
      </c>
      <c r="K711" s="24" t="s">
        <v>4448</v>
      </c>
      <c r="L711" s="46" t="s">
        <v>4449</v>
      </c>
      <c r="M711" s="24" t="s">
        <v>4380</v>
      </c>
      <c r="N711" s="46" t="s">
        <v>4381</v>
      </c>
      <c r="O711" s="24" t="s">
        <v>3698</v>
      </c>
      <c r="P711" s="46" t="s">
        <v>3699</v>
      </c>
      <c r="Q711" s="46"/>
      <c r="R711" s="47" t="s">
        <v>48</v>
      </c>
      <c r="S711" s="52" t="s">
        <v>67</v>
      </c>
    </row>
    <row r="712" customFormat="false" ht="15" hidden="false" customHeight="true" outlineLevel="0" collapsed="false">
      <c r="A712" s="49" t="n">
        <v>723</v>
      </c>
      <c r="B712" s="25" t="s">
        <v>4395</v>
      </c>
      <c r="C712" s="50"/>
      <c r="D712" s="50" t="s">
        <v>4376</v>
      </c>
      <c r="E712" s="49" t="s">
        <v>16</v>
      </c>
      <c r="F712" s="49" t="s">
        <v>2104</v>
      </c>
      <c r="G712" s="25" t="s">
        <v>4450</v>
      </c>
      <c r="H712" s="51" t="n">
        <v>5</v>
      </c>
      <c r="I712" s="49"/>
      <c r="J712" s="50" t="s">
        <v>1708</v>
      </c>
      <c r="K712" s="25" t="s">
        <v>4451</v>
      </c>
      <c r="L712" s="49" t="s">
        <v>4452</v>
      </c>
      <c r="M712" s="25" t="s">
        <v>4380</v>
      </c>
      <c r="N712" s="49" t="s">
        <v>4381</v>
      </c>
      <c r="O712" s="25" t="s">
        <v>3698</v>
      </c>
      <c r="P712" s="49" t="s">
        <v>3699</v>
      </c>
      <c r="Q712" s="49"/>
      <c r="R712" s="50" t="s">
        <v>48</v>
      </c>
      <c r="S712" s="52" t="s">
        <v>67</v>
      </c>
    </row>
    <row r="713" customFormat="false" ht="15" hidden="false" customHeight="true" outlineLevel="0" collapsed="false">
      <c r="A713" s="46" t="n">
        <v>724</v>
      </c>
      <c r="B713" s="24" t="s">
        <v>4395</v>
      </c>
      <c r="C713" s="47"/>
      <c r="D713" s="47" t="s">
        <v>4376</v>
      </c>
      <c r="E713" s="46" t="s">
        <v>16</v>
      </c>
      <c r="F713" s="46" t="s">
        <v>2104</v>
      </c>
      <c r="G713" s="24" t="s">
        <v>4453</v>
      </c>
      <c r="H713" s="48" t="n">
        <v>5</v>
      </c>
      <c r="I713" s="46"/>
      <c r="J713" s="47" t="s">
        <v>1710</v>
      </c>
      <c r="K713" s="24" t="s">
        <v>4454</v>
      </c>
      <c r="L713" s="46" t="s">
        <v>4455</v>
      </c>
      <c r="M713" s="24" t="s">
        <v>4380</v>
      </c>
      <c r="N713" s="46" t="s">
        <v>4381</v>
      </c>
      <c r="O713" s="24" t="s">
        <v>3698</v>
      </c>
      <c r="P713" s="46" t="s">
        <v>3699</v>
      </c>
      <c r="Q713" s="46"/>
      <c r="R713" s="47" t="s">
        <v>48</v>
      </c>
      <c r="S713" s="52" t="s">
        <v>67</v>
      </c>
    </row>
    <row r="714" customFormat="false" ht="15" hidden="false" customHeight="true" outlineLevel="0" collapsed="false">
      <c r="A714" s="49" t="n">
        <v>725</v>
      </c>
      <c r="B714" s="25" t="s">
        <v>4456</v>
      </c>
      <c r="C714" s="50"/>
      <c r="D714" s="50" t="s">
        <v>4376</v>
      </c>
      <c r="E714" s="49" t="s">
        <v>16</v>
      </c>
      <c r="F714" s="49" t="s">
        <v>2104</v>
      </c>
      <c r="G714" s="25" t="s">
        <v>4457</v>
      </c>
      <c r="H714" s="51" t="n">
        <v>5</v>
      </c>
      <c r="I714" s="49"/>
      <c r="J714" s="50" t="s">
        <v>1713</v>
      </c>
      <c r="K714" s="25" t="s">
        <v>4393</v>
      </c>
      <c r="L714" s="49" t="s">
        <v>4458</v>
      </c>
      <c r="M714" s="25" t="s">
        <v>4380</v>
      </c>
      <c r="N714" s="49" t="s">
        <v>4381</v>
      </c>
      <c r="O714" s="25" t="s">
        <v>3698</v>
      </c>
      <c r="P714" s="49" t="s">
        <v>3699</v>
      </c>
      <c r="Q714" s="49"/>
      <c r="R714" s="50" t="s">
        <v>48</v>
      </c>
      <c r="S714" s="52" t="s">
        <v>67</v>
      </c>
    </row>
    <row r="715" customFormat="false" ht="15" hidden="false" customHeight="true" outlineLevel="0" collapsed="false">
      <c r="A715" s="46" t="n">
        <v>726</v>
      </c>
      <c r="B715" s="24" t="s">
        <v>4456</v>
      </c>
      <c r="C715" s="47"/>
      <c r="D715" s="47" t="s">
        <v>4376</v>
      </c>
      <c r="E715" s="46" t="s">
        <v>16</v>
      </c>
      <c r="F715" s="46" t="s">
        <v>2104</v>
      </c>
      <c r="G715" s="24" t="s">
        <v>4459</v>
      </c>
      <c r="H715" s="48" t="n">
        <v>5</v>
      </c>
      <c r="I715" s="46"/>
      <c r="J715" s="47" t="s">
        <v>1715</v>
      </c>
      <c r="K715" s="24" t="s">
        <v>4460</v>
      </c>
      <c r="L715" s="46" t="s">
        <v>4458</v>
      </c>
      <c r="M715" s="24" t="s">
        <v>4380</v>
      </c>
      <c r="N715" s="46" t="s">
        <v>4381</v>
      </c>
      <c r="O715" s="24" t="s">
        <v>3698</v>
      </c>
      <c r="P715" s="46" t="s">
        <v>3699</v>
      </c>
      <c r="Q715" s="46"/>
      <c r="R715" s="47" t="s">
        <v>48</v>
      </c>
      <c r="S715" s="52" t="s">
        <v>67</v>
      </c>
    </row>
    <row r="716" customFormat="false" ht="15" hidden="false" customHeight="true" outlineLevel="0" collapsed="false">
      <c r="A716" s="49" t="n">
        <v>727</v>
      </c>
      <c r="B716" s="25" t="s">
        <v>4456</v>
      </c>
      <c r="C716" s="50"/>
      <c r="D716" s="50" t="s">
        <v>4376</v>
      </c>
      <c r="E716" s="49" t="s">
        <v>16</v>
      </c>
      <c r="F716" s="49" t="s">
        <v>2104</v>
      </c>
      <c r="G716" s="25" t="s">
        <v>4461</v>
      </c>
      <c r="H716" s="51" t="n">
        <v>5</v>
      </c>
      <c r="I716" s="49"/>
      <c r="J716" s="50" t="s">
        <v>1717</v>
      </c>
      <c r="K716" s="25" t="s">
        <v>4462</v>
      </c>
      <c r="L716" s="49" t="s">
        <v>4463</v>
      </c>
      <c r="M716" s="25" t="s">
        <v>4380</v>
      </c>
      <c r="N716" s="49" t="s">
        <v>4381</v>
      </c>
      <c r="O716" s="25" t="s">
        <v>3698</v>
      </c>
      <c r="P716" s="49" t="s">
        <v>3699</v>
      </c>
      <c r="Q716" s="49"/>
      <c r="R716" s="50" t="s">
        <v>48</v>
      </c>
      <c r="S716" s="52" t="s">
        <v>67</v>
      </c>
    </row>
    <row r="717" customFormat="false" ht="15" hidden="false" customHeight="true" outlineLevel="0" collapsed="false">
      <c r="A717" s="46" t="n">
        <v>728</v>
      </c>
      <c r="B717" s="24" t="s">
        <v>4456</v>
      </c>
      <c r="C717" s="47"/>
      <c r="D717" s="47" t="s">
        <v>4376</v>
      </c>
      <c r="E717" s="46" t="s">
        <v>16</v>
      </c>
      <c r="F717" s="46" t="s">
        <v>2104</v>
      </c>
      <c r="G717" s="24" t="s">
        <v>4464</v>
      </c>
      <c r="H717" s="48" t="n">
        <v>5</v>
      </c>
      <c r="I717" s="46"/>
      <c r="J717" s="47" t="s">
        <v>1719</v>
      </c>
      <c r="K717" s="24" t="s">
        <v>4465</v>
      </c>
      <c r="L717" s="46" t="s">
        <v>4463</v>
      </c>
      <c r="M717" s="24" t="s">
        <v>4380</v>
      </c>
      <c r="N717" s="46" t="s">
        <v>4381</v>
      </c>
      <c r="O717" s="24" t="s">
        <v>3698</v>
      </c>
      <c r="P717" s="46" t="s">
        <v>3699</v>
      </c>
      <c r="Q717" s="46"/>
      <c r="R717" s="47" t="s">
        <v>48</v>
      </c>
      <c r="S717" s="52" t="s">
        <v>67</v>
      </c>
    </row>
    <row r="718" customFormat="false" ht="15" hidden="false" customHeight="true" outlineLevel="0" collapsed="false">
      <c r="A718" s="49" t="n">
        <v>729</v>
      </c>
      <c r="B718" s="25" t="s">
        <v>4456</v>
      </c>
      <c r="C718" s="50"/>
      <c r="D718" s="50" t="s">
        <v>4376</v>
      </c>
      <c r="E718" s="49" t="s">
        <v>16</v>
      </c>
      <c r="F718" s="49" t="s">
        <v>2104</v>
      </c>
      <c r="G718" s="25" t="s">
        <v>4466</v>
      </c>
      <c r="H718" s="51" t="n">
        <v>5</v>
      </c>
      <c r="I718" s="49"/>
      <c r="J718" s="50" t="s">
        <v>1721</v>
      </c>
      <c r="K718" s="25" t="s">
        <v>4467</v>
      </c>
      <c r="L718" s="49" t="s">
        <v>4468</v>
      </c>
      <c r="M718" s="25" t="s">
        <v>4380</v>
      </c>
      <c r="N718" s="49" t="s">
        <v>4381</v>
      </c>
      <c r="O718" s="25" t="s">
        <v>3698</v>
      </c>
      <c r="P718" s="49" t="s">
        <v>3699</v>
      </c>
      <c r="Q718" s="49"/>
      <c r="R718" s="50" t="s">
        <v>48</v>
      </c>
      <c r="S718" s="52" t="s">
        <v>67</v>
      </c>
    </row>
    <row r="719" customFormat="false" ht="15" hidden="false" customHeight="true" outlineLevel="0" collapsed="false">
      <c r="A719" s="46" t="n">
        <v>730</v>
      </c>
      <c r="B719" s="24" t="s">
        <v>4456</v>
      </c>
      <c r="C719" s="47"/>
      <c r="D719" s="47" t="s">
        <v>4469</v>
      </c>
      <c r="E719" s="46" t="s">
        <v>16</v>
      </c>
      <c r="F719" s="46" t="s">
        <v>2104</v>
      </c>
      <c r="G719" s="24" t="s">
        <v>4470</v>
      </c>
      <c r="H719" s="48" t="n">
        <v>5</v>
      </c>
      <c r="I719" s="46"/>
      <c r="J719" s="47" t="s">
        <v>1724</v>
      </c>
      <c r="K719" s="24" t="s">
        <v>4431</v>
      </c>
      <c r="L719" s="46" t="s">
        <v>4471</v>
      </c>
      <c r="M719" s="24" t="s">
        <v>4380</v>
      </c>
      <c r="N719" s="46" t="s">
        <v>4381</v>
      </c>
      <c r="O719" s="24" t="s">
        <v>3698</v>
      </c>
      <c r="P719" s="46" t="s">
        <v>3699</v>
      </c>
      <c r="Q719" s="46"/>
      <c r="R719" s="47" t="s">
        <v>48</v>
      </c>
      <c r="S719" s="52" t="s">
        <v>67</v>
      </c>
    </row>
    <row r="720" customFormat="false" ht="15" hidden="false" customHeight="true" outlineLevel="0" collapsed="false">
      <c r="A720" s="49" t="n">
        <v>731</v>
      </c>
      <c r="B720" s="25" t="s">
        <v>4456</v>
      </c>
      <c r="C720" s="50"/>
      <c r="D720" s="50" t="s">
        <v>4376</v>
      </c>
      <c r="E720" s="49" t="s">
        <v>16</v>
      </c>
      <c r="F720" s="49" t="s">
        <v>2104</v>
      </c>
      <c r="G720" s="25" t="s">
        <v>4472</v>
      </c>
      <c r="H720" s="51" t="n">
        <v>5</v>
      </c>
      <c r="I720" s="49"/>
      <c r="J720" s="50" t="s">
        <v>1726</v>
      </c>
      <c r="K720" s="25" t="s">
        <v>4473</v>
      </c>
      <c r="L720" s="49" t="s">
        <v>4471</v>
      </c>
      <c r="M720" s="25" t="s">
        <v>4380</v>
      </c>
      <c r="N720" s="49" t="s">
        <v>4381</v>
      </c>
      <c r="O720" s="25" t="s">
        <v>3698</v>
      </c>
      <c r="P720" s="49" t="s">
        <v>3699</v>
      </c>
      <c r="Q720" s="49"/>
      <c r="R720" s="50" t="s">
        <v>48</v>
      </c>
      <c r="S720" s="52" t="s">
        <v>67</v>
      </c>
    </row>
    <row r="721" customFormat="false" ht="15" hidden="false" customHeight="true" outlineLevel="0" collapsed="false">
      <c r="A721" s="46" t="n">
        <v>732</v>
      </c>
      <c r="B721" s="24" t="s">
        <v>4456</v>
      </c>
      <c r="C721" s="47"/>
      <c r="D721" s="47" t="s">
        <v>4376</v>
      </c>
      <c r="E721" s="46" t="s">
        <v>16</v>
      </c>
      <c r="F721" s="46" t="s">
        <v>2104</v>
      </c>
      <c r="G721" s="24" t="s">
        <v>4474</v>
      </c>
      <c r="H721" s="48" t="n">
        <v>5</v>
      </c>
      <c r="I721" s="46"/>
      <c r="J721" s="47" t="s">
        <v>4475</v>
      </c>
      <c r="K721" s="24" t="s">
        <v>4476</v>
      </c>
      <c r="L721" s="46" t="s">
        <v>4477</v>
      </c>
      <c r="M721" s="24" t="s">
        <v>4380</v>
      </c>
      <c r="N721" s="46" t="s">
        <v>4381</v>
      </c>
      <c r="O721" s="24" t="s">
        <v>3698</v>
      </c>
      <c r="P721" s="46" t="s">
        <v>3699</v>
      </c>
      <c r="Q721" s="46"/>
      <c r="R721" s="47" t="s">
        <v>48</v>
      </c>
      <c r="S721" s="52" t="s">
        <v>67</v>
      </c>
    </row>
    <row r="722" customFormat="false" ht="15" hidden="false" customHeight="true" outlineLevel="0" collapsed="false">
      <c r="A722" s="49" t="n">
        <v>733</v>
      </c>
      <c r="B722" s="25" t="s">
        <v>4456</v>
      </c>
      <c r="C722" s="50"/>
      <c r="D722" s="50" t="s">
        <v>4376</v>
      </c>
      <c r="E722" s="49" t="s">
        <v>16</v>
      </c>
      <c r="F722" s="49" t="s">
        <v>2104</v>
      </c>
      <c r="G722" s="25" t="s">
        <v>4478</v>
      </c>
      <c r="H722" s="51" t="n">
        <v>5</v>
      </c>
      <c r="I722" s="49"/>
      <c r="J722" s="50" t="s">
        <v>1730</v>
      </c>
      <c r="K722" s="25" t="s">
        <v>4479</v>
      </c>
      <c r="L722" s="49" t="s">
        <v>4480</v>
      </c>
      <c r="M722" s="25" t="s">
        <v>4380</v>
      </c>
      <c r="N722" s="49" t="s">
        <v>4381</v>
      </c>
      <c r="O722" s="25" t="s">
        <v>3698</v>
      </c>
      <c r="P722" s="49" t="s">
        <v>3699</v>
      </c>
      <c r="Q722" s="49"/>
      <c r="R722" s="50" t="s">
        <v>48</v>
      </c>
      <c r="S722" s="52" t="s">
        <v>67</v>
      </c>
    </row>
    <row r="723" customFormat="false" ht="15" hidden="false" customHeight="true" outlineLevel="0" collapsed="false">
      <c r="A723" s="46" t="n">
        <v>734</v>
      </c>
      <c r="B723" s="24" t="s">
        <v>4456</v>
      </c>
      <c r="C723" s="47"/>
      <c r="D723" s="47" t="s">
        <v>4376</v>
      </c>
      <c r="E723" s="46" t="s">
        <v>16</v>
      </c>
      <c r="F723" s="46" t="s">
        <v>2104</v>
      </c>
      <c r="G723" s="24" t="s">
        <v>4481</v>
      </c>
      <c r="H723" s="48" t="n">
        <v>5</v>
      </c>
      <c r="I723" s="46"/>
      <c r="J723" s="47" t="s">
        <v>4482</v>
      </c>
      <c r="K723" s="24" t="s">
        <v>4483</v>
      </c>
      <c r="L723" s="46" t="s">
        <v>4484</v>
      </c>
      <c r="M723" s="24" t="s">
        <v>4380</v>
      </c>
      <c r="N723" s="46" t="s">
        <v>4381</v>
      </c>
      <c r="O723" s="24" t="s">
        <v>3698</v>
      </c>
      <c r="P723" s="46" t="s">
        <v>3699</v>
      </c>
      <c r="Q723" s="46"/>
      <c r="R723" s="47" t="s">
        <v>48</v>
      </c>
      <c r="S723" s="52" t="s">
        <v>67</v>
      </c>
    </row>
    <row r="724" customFormat="false" ht="15" hidden="false" customHeight="true" outlineLevel="0" collapsed="false">
      <c r="A724" s="49" t="n">
        <v>735</v>
      </c>
      <c r="B724" s="25" t="s">
        <v>4456</v>
      </c>
      <c r="C724" s="50"/>
      <c r="D724" s="50" t="s">
        <v>4376</v>
      </c>
      <c r="E724" s="49" t="s">
        <v>16</v>
      </c>
      <c r="F724" s="49" t="s">
        <v>2104</v>
      </c>
      <c r="G724" s="25" t="s">
        <v>4485</v>
      </c>
      <c r="H724" s="51" t="n">
        <v>5</v>
      </c>
      <c r="I724" s="49"/>
      <c r="J724" s="50" t="s">
        <v>1734</v>
      </c>
      <c r="K724" s="25" t="s">
        <v>3837</v>
      </c>
      <c r="L724" s="49" t="s">
        <v>4486</v>
      </c>
      <c r="M724" s="25" t="s">
        <v>4380</v>
      </c>
      <c r="N724" s="49" t="s">
        <v>4381</v>
      </c>
      <c r="O724" s="25" t="s">
        <v>3698</v>
      </c>
      <c r="P724" s="49" t="s">
        <v>3699</v>
      </c>
      <c r="Q724" s="49"/>
      <c r="R724" s="50" t="s">
        <v>48</v>
      </c>
      <c r="S724" s="52" t="s">
        <v>67</v>
      </c>
    </row>
    <row r="725" customFormat="false" ht="15" hidden="false" customHeight="true" outlineLevel="0" collapsed="false">
      <c r="A725" s="46" t="n">
        <v>736</v>
      </c>
      <c r="B725" s="24" t="s">
        <v>4456</v>
      </c>
      <c r="C725" s="47"/>
      <c r="D725" s="47" t="s">
        <v>4376</v>
      </c>
      <c r="E725" s="46" t="s">
        <v>16</v>
      </c>
      <c r="F725" s="46" t="s">
        <v>2104</v>
      </c>
      <c r="G725" s="24" t="s">
        <v>4487</v>
      </c>
      <c r="H725" s="48" t="n">
        <v>5</v>
      </c>
      <c r="I725" s="46"/>
      <c r="J725" s="47" t="s">
        <v>1736</v>
      </c>
      <c r="K725" s="24" t="s">
        <v>4488</v>
      </c>
      <c r="L725" s="46" t="s">
        <v>4489</v>
      </c>
      <c r="M725" s="24" t="s">
        <v>4380</v>
      </c>
      <c r="N725" s="46" t="s">
        <v>4381</v>
      </c>
      <c r="O725" s="24" t="s">
        <v>3698</v>
      </c>
      <c r="P725" s="46" t="s">
        <v>3699</v>
      </c>
      <c r="Q725" s="46"/>
      <c r="R725" s="47" t="s">
        <v>48</v>
      </c>
      <c r="S725" s="52" t="s">
        <v>67</v>
      </c>
    </row>
    <row r="726" customFormat="false" ht="15" hidden="false" customHeight="true" outlineLevel="0" collapsed="false">
      <c r="A726" s="49" t="n">
        <v>737</v>
      </c>
      <c r="B726" s="25" t="s">
        <v>4456</v>
      </c>
      <c r="C726" s="50"/>
      <c r="D726" s="50" t="s">
        <v>4376</v>
      </c>
      <c r="E726" s="49" t="s">
        <v>16</v>
      </c>
      <c r="F726" s="49" t="s">
        <v>2104</v>
      </c>
      <c r="G726" s="25" t="s">
        <v>4490</v>
      </c>
      <c r="H726" s="51" t="n">
        <v>5</v>
      </c>
      <c r="I726" s="49"/>
      <c r="J726" s="50" t="s">
        <v>1738</v>
      </c>
      <c r="K726" s="25" t="s">
        <v>3924</v>
      </c>
      <c r="L726" s="49" t="s">
        <v>4491</v>
      </c>
      <c r="M726" s="25" t="s">
        <v>4380</v>
      </c>
      <c r="N726" s="49" t="s">
        <v>4381</v>
      </c>
      <c r="O726" s="25" t="s">
        <v>3698</v>
      </c>
      <c r="P726" s="49" t="s">
        <v>3699</v>
      </c>
      <c r="Q726" s="49"/>
      <c r="R726" s="50" t="s">
        <v>48</v>
      </c>
      <c r="S726" s="52" t="s">
        <v>67</v>
      </c>
    </row>
    <row r="727" customFormat="false" ht="15" hidden="false" customHeight="true" outlineLevel="0" collapsed="false">
      <c r="A727" s="46" t="n">
        <v>738</v>
      </c>
      <c r="B727" s="24" t="s">
        <v>4456</v>
      </c>
      <c r="C727" s="47"/>
      <c r="D727" s="47" t="s">
        <v>4376</v>
      </c>
      <c r="E727" s="46" t="s">
        <v>16</v>
      </c>
      <c r="F727" s="46" t="s">
        <v>2104</v>
      </c>
      <c r="G727" s="24" t="s">
        <v>4492</v>
      </c>
      <c r="H727" s="48" t="n">
        <v>5</v>
      </c>
      <c r="I727" s="46"/>
      <c r="J727" s="47" t="s">
        <v>1740</v>
      </c>
      <c r="K727" s="24" t="s">
        <v>4493</v>
      </c>
      <c r="L727" s="46" t="s">
        <v>4494</v>
      </c>
      <c r="M727" s="24" t="s">
        <v>4380</v>
      </c>
      <c r="N727" s="46" t="s">
        <v>4381</v>
      </c>
      <c r="O727" s="24" t="s">
        <v>3698</v>
      </c>
      <c r="P727" s="46" t="s">
        <v>3699</v>
      </c>
      <c r="Q727" s="46"/>
      <c r="R727" s="47" t="s">
        <v>48</v>
      </c>
      <c r="S727" s="52" t="s">
        <v>67</v>
      </c>
    </row>
    <row r="728" customFormat="false" ht="15" hidden="false" customHeight="true" outlineLevel="0" collapsed="false">
      <c r="A728" s="49" t="n">
        <v>739</v>
      </c>
      <c r="B728" s="25" t="s">
        <v>4456</v>
      </c>
      <c r="C728" s="50"/>
      <c r="D728" s="50" t="s">
        <v>4376</v>
      </c>
      <c r="E728" s="49" t="s">
        <v>16</v>
      </c>
      <c r="F728" s="49" t="s">
        <v>2104</v>
      </c>
      <c r="G728" s="25" t="s">
        <v>4495</v>
      </c>
      <c r="H728" s="51" t="n">
        <v>5</v>
      </c>
      <c r="I728" s="49"/>
      <c r="J728" s="50" t="s">
        <v>1742</v>
      </c>
      <c r="K728" s="25" t="s">
        <v>4496</v>
      </c>
      <c r="L728" s="49" t="s">
        <v>4497</v>
      </c>
      <c r="M728" s="25" t="s">
        <v>4380</v>
      </c>
      <c r="N728" s="49" t="s">
        <v>4381</v>
      </c>
      <c r="O728" s="25" t="s">
        <v>3698</v>
      </c>
      <c r="P728" s="49" t="s">
        <v>3699</v>
      </c>
      <c r="Q728" s="49"/>
      <c r="R728" s="50" t="s">
        <v>48</v>
      </c>
      <c r="S728" s="52" t="s">
        <v>67</v>
      </c>
    </row>
    <row r="729" customFormat="false" ht="15" hidden="false" customHeight="true" outlineLevel="0" collapsed="false">
      <c r="A729" s="46" t="n">
        <v>740</v>
      </c>
      <c r="B729" s="24" t="s">
        <v>4498</v>
      </c>
      <c r="C729" s="47"/>
      <c r="D729" s="47" t="s">
        <v>4499</v>
      </c>
      <c r="E729" s="46" t="s">
        <v>16</v>
      </c>
      <c r="F729" s="46" t="s">
        <v>2104</v>
      </c>
      <c r="G729" s="24" t="s">
        <v>4500</v>
      </c>
      <c r="H729" s="48" t="n">
        <v>5</v>
      </c>
      <c r="I729" s="46"/>
      <c r="J729" s="47" t="s">
        <v>3103</v>
      </c>
      <c r="K729" s="24" t="s">
        <v>4501</v>
      </c>
      <c r="L729" s="46" t="s">
        <v>4502</v>
      </c>
      <c r="M729" s="24" t="s">
        <v>4503</v>
      </c>
      <c r="N729" s="46" t="s">
        <v>4504</v>
      </c>
      <c r="O729" s="24" t="s">
        <v>3698</v>
      </c>
      <c r="P729" s="46" t="s">
        <v>3699</v>
      </c>
      <c r="Q729" s="46"/>
      <c r="R729" s="47" t="s">
        <v>48</v>
      </c>
      <c r="S729" s="52" t="s">
        <v>2829</v>
      </c>
    </row>
    <row r="730" customFormat="false" ht="15" hidden="false" customHeight="true" outlineLevel="0" collapsed="false">
      <c r="A730" s="49" t="n">
        <v>741</v>
      </c>
      <c r="B730" s="25" t="s">
        <v>4498</v>
      </c>
      <c r="C730" s="50"/>
      <c r="D730" s="50" t="s">
        <v>4499</v>
      </c>
      <c r="E730" s="49" t="s">
        <v>16</v>
      </c>
      <c r="F730" s="49" t="s">
        <v>2104</v>
      </c>
      <c r="G730" s="25" t="s">
        <v>4505</v>
      </c>
      <c r="H730" s="51" t="n">
        <v>5</v>
      </c>
      <c r="I730" s="49"/>
      <c r="J730" s="50" t="s">
        <v>3103</v>
      </c>
      <c r="K730" s="25" t="s">
        <v>4506</v>
      </c>
      <c r="L730" s="49" t="s">
        <v>4507</v>
      </c>
      <c r="M730" s="25" t="s">
        <v>4503</v>
      </c>
      <c r="N730" s="49" t="s">
        <v>4504</v>
      </c>
      <c r="O730" s="25" t="s">
        <v>3698</v>
      </c>
      <c r="P730" s="49" t="s">
        <v>3699</v>
      </c>
      <c r="Q730" s="49"/>
      <c r="R730" s="50" t="s">
        <v>48</v>
      </c>
      <c r="S730" s="52" t="s">
        <v>2829</v>
      </c>
    </row>
    <row r="731" customFormat="false" ht="15" hidden="false" customHeight="true" outlineLevel="0" collapsed="false">
      <c r="A731" s="46" t="n">
        <v>742</v>
      </c>
      <c r="B731" s="24" t="s">
        <v>4498</v>
      </c>
      <c r="C731" s="47"/>
      <c r="D731" s="47" t="s">
        <v>4499</v>
      </c>
      <c r="E731" s="46" t="s">
        <v>16</v>
      </c>
      <c r="F731" s="46" t="s">
        <v>2104</v>
      </c>
      <c r="G731" s="24" t="s">
        <v>4508</v>
      </c>
      <c r="H731" s="48" t="n">
        <v>5</v>
      </c>
      <c r="I731" s="46"/>
      <c r="J731" s="47" t="s">
        <v>3103</v>
      </c>
      <c r="K731" s="24" t="s">
        <v>4509</v>
      </c>
      <c r="L731" s="46" t="s">
        <v>4510</v>
      </c>
      <c r="M731" s="24" t="s">
        <v>4503</v>
      </c>
      <c r="N731" s="46" t="s">
        <v>4504</v>
      </c>
      <c r="O731" s="24" t="s">
        <v>3698</v>
      </c>
      <c r="P731" s="46" t="s">
        <v>3699</v>
      </c>
      <c r="Q731" s="46"/>
      <c r="R731" s="47" t="s">
        <v>48</v>
      </c>
      <c r="S731" s="52" t="s">
        <v>2829</v>
      </c>
    </row>
    <row r="732" customFormat="false" ht="15" hidden="false" customHeight="true" outlineLevel="0" collapsed="false">
      <c r="A732" s="49" t="n">
        <v>743</v>
      </c>
      <c r="B732" s="25" t="s">
        <v>4511</v>
      </c>
      <c r="C732" s="50"/>
      <c r="D732" s="50" t="s">
        <v>4499</v>
      </c>
      <c r="E732" s="49" t="s">
        <v>16</v>
      </c>
      <c r="F732" s="49" t="s">
        <v>2104</v>
      </c>
      <c r="G732" s="25" t="s">
        <v>4512</v>
      </c>
      <c r="H732" s="51" t="n">
        <v>5</v>
      </c>
      <c r="I732" s="49"/>
      <c r="J732" s="50" t="s">
        <v>3103</v>
      </c>
      <c r="K732" s="25" t="s">
        <v>4513</v>
      </c>
      <c r="L732" s="49" t="s">
        <v>4514</v>
      </c>
      <c r="M732" s="25" t="s">
        <v>4503</v>
      </c>
      <c r="N732" s="49" t="s">
        <v>4504</v>
      </c>
      <c r="O732" s="25" t="s">
        <v>3698</v>
      </c>
      <c r="P732" s="49" t="s">
        <v>3699</v>
      </c>
      <c r="Q732" s="49"/>
      <c r="R732" s="50" t="s">
        <v>48</v>
      </c>
      <c r="S732" s="52" t="s">
        <v>2829</v>
      </c>
    </row>
    <row r="733" customFormat="false" ht="15" hidden="false" customHeight="true" outlineLevel="0" collapsed="false">
      <c r="A733" s="46" t="n">
        <v>744</v>
      </c>
      <c r="B733" s="24" t="s">
        <v>4515</v>
      </c>
      <c r="C733" s="47"/>
      <c r="D733" s="47" t="s">
        <v>4499</v>
      </c>
      <c r="E733" s="46" t="s">
        <v>16</v>
      </c>
      <c r="F733" s="46" t="s">
        <v>2104</v>
      </c>
      <c r="G733" s="24" t="s">
        <v>4516</v>
      </c>
      <c r="H733" s="48" t="n">
        <v>5</v>
      </c>
      <c r="I733" s="46"/>
      <c r="J733" s="47" t="s">
        <v>3103</v>
      </c>
      <c r="K733" s="24" t="s">
        <v>4517</v>
      </c>
      <c r="L733" s="46" t="s">
        <v>4518</v>
      </c>
      <c r="M733" s="24" t="s">
        <v>4503</v>
      </c>
      <c r="N733" s="46" t="s">
        <v>4504</v>
      </c>
      <c r="O733" s="24" t="s">
        <v>3698</v>
      </c>
      <c r="P733" s="46" t="s">
        <v>3699</v>
      </c>
      <c r="Q733" s="46"/>
      <c r="R733" s="47" t="s">
        <v>48</v>
      </c>
      <c r="S733" s="52" t="s">
        <v>2829</v>
      </c>
    </row>
    <row r="734" customFormat="false" ht="15" hidden="false" customHeight="true" outlineLevel="0" collapsed="false">
      <c r="A734" s="49" t="n">
        <v>745</v>
      </c>
      <c r="B734" s="25" t="s">
        <v>4519</v>
      </c>
      <c r="C734" s="50"/>
      <c r="D734" s="50" t="s">
        <v>4499</v>
      </c>
      <c r="E734" s="49" t="s">
        <v>16</v>
      </c>
      <c r="F734" s="49" t="s">
        <v>2104</v>
      </c>
      <c r="G734" s="25" t="s">
        <v>4520</v>
      </c>
      <c r="H734" s="51" t="n">
        <v>5</v>
      </c>
      <c r="I734" s="49"/>
      <c r="J734" s="50" t="s">
        <v>3103</v>
      </c>
      <c r="K734" s="25" t="s">
        <v>4521</v>
      </c>
      <c r="L734" s="49" t="s">
        <v>4522</v>
      </c>
      <c r="M734" s="25" t="s">
        <v>4503</v>
      </c>
      <c r="N734" s="49" t="s">
        <v>4504</v>
      </c>
      <c r="O734" s="25" t="s">
        <v>3698</v>
      </c>
      <c r="P734" s="49" t="s">
        <v>3699</v>
      </c>
      <c r="Q734" s="49"/>
      <c r="R734" s="50" t="s">
        <v>48</v>
      </c>
      <c r="S734" s="52" t="s">
        <v>2829</v>
      </c>
    </row>
    <row r="735" customFormat="false" ht="15" hidden="false" customHeight="true" outlineLevel="0" collapsed="false">
      <c r="A735" s="46" t="n">
        <v>746</v>
      </c>
      <c r="B735" s="24" t="s">
        <v>4523</v>
      </c>
      <c r="C735" s="47"/>
      <c r="D735" s="47" t="s">
        <v>4499</v>
      </c>
      <c r="E735" s="46" t="s">
        <v>16</v>
      </c>
      <c r="F735" s="46" t="s">
        <v>2104</v>
      </c>
      <c r="G735" s="24" t="s">
        <v>4524</v>
      </c>
      <c r="H735" s="48" t="n">
        <v>5</v>
      </c>
      <c r="I735" s="46"/>
      <c r="J735" s="47" t="s">
        <v>3103</v>
      </c>
      <c r="K735" s="24" t="s">
        <v>4525</v>
      </c>
      <c r="L735" s="46" t="s">
        <v>4526</v>
      </c>
      <c r="M735" s="24" t="s">
        <v>4503</v>
      </c>
      <c r="N735" s="46" t="s">
        <v>4504</v>
      </c>
      <c r="O735" s="24" t="s">
        <v>3698</v>
      </c>
      <c r="P735" s="46" t="s">
        <v>3699</v>
      </c>
      <c r="Q735" s="46"/>
      <c r="R735" s="47" t="s">
        <v>48</v>
      </c>
      <c r="S735" s="52" t="s">
        <v>2829</v>
      </c>
    </row>
    <row r="736" customFormat="false" ht="15" hidden="false" customHeight="true" outlineLevel="0" collapsed="false">
      <c r="A736" s="49" t="n">
        <v>747</v>
      </c>
      <c r="B736" s="25" t="s">
        <v>4527</v>
      </c>
      <c r="C736" s="50"/>
      <c r="D736" s="50" t="s">
        <v>4499</v>
      </c>
      <c r="E736" s="49" t="s">
        <v>16</v>
      </c>
      <c r="F736" s="49" t="s">
        <v>2104</v>
      </c>
      <c r="G736" s="25" t="s">
        <v>4528</v>
      </c>
      <c r="H736" s="51" t="n">
        <v>5</v>
      </c>
      <c r="I736" s="49"/>
      <c r="J736" s="50" t="s">
        <v>3103</v>
      </c>
      <c r="K736" s="25" t="s">
        <v>3913</v>
      </c>
      <c r="L736" s="49" t="s">
        <v>4529</v>
      </c>
      <c r="M736" s="25" t="s">
        <v>4503</v>
      </c>
      <c r="N736" s="49" t="s">
        <v>4504</v>
      </c>
      <c r="O736" s="25" t="s">
        <v>3698</v>
      </c>
      <c r="P736" s="49" t="s">
        <v>3699</v>
      </c>
      <c r="Q736" s="49"/>
      <c r="R736" s="50" t="s">
        <v>48</v>
      </c>
      <c r="S736" s="52" t="s">
        <v>2829</v>
      </c>
    </row>
    <row r="737" customFormat="false" ht="15" hidden="false" customHeight="true" outlineLevel="0" collapsed="false">
      <c r="A737" s="46" t="n">
        <v>748</v>
      </c>
      <c r="B737" s="24" t="s">
        <v>4530</v>
      </c>
      <c r="C737" s="47"/>
      <c r="D737" s="47" t="s">
        <v>4499</v>
      </c>
      <c r="E737" s="46" t="s">
        <v>16</v>
      </c>
      <c r="F737" s="46" t="s">
        <v>2104</v>
      </c>
      <c r="G737" s="24" t="s">
        <v>4531</v>
      </c>
      <c r="H737" s="48" t="n">
        <v>5</v>
      </c>
      <c r="I737" s="46"/>
      <c r="J737" s="47" t="s">
        <v>3103</v>
      </c>
      <c r="K737" s="24" t="s">
        <v>4532</v>
      </c>
      <c r="L737" s="46" t="s">
        <v>4533</v>
      </c>
      <c r="M737" s="24" t="s">
        <v>4503</v>
      </c>
      <c r="N737" s="46" t="s">
        <v>4504</v>
      </c>
      <c r="O737" s="24" t="s">
        <v>3698</v>
      </c>
      <c r="P737" s="46" t="s">
        <v>3699</v>
      </c>
      <c r="Q737" s="46"/>
      <c r="R737" s="47" t="s">
        <v>48</v>
      </c>
      <c r="S737" s="52" t="s">
        <v>2829</v>
      </c>
    </row>
    <row r="738" customFormat="false" ht="15" hidden="false" customHeight="true" outlineLevel="0" collapsed="false">
      <c r="A738" s="49" t="n">
        <v>749</v>
      </c>
      <c r="B738" s="25" t="s">
        <v>4515</v>
      </c>
      <c r="C738" s="50"/>
      <c r="D738" s="50" t="s">
        <v>4499</v>
      </c>
      <c r="E738" s="49" t="s">
        <v>16</v>
      </c>
      <c r="F738" s="49" t="s">
        <v>2104</v>
      </c>
      <c r="G738" s="25" t="s">
        <v>4534</v>
      </c>
      <c r="H738" s="51" t="n">
        <v>5</v>
      </c>
      <c r="I738" s="49"/>
      <c r="J738" s="50" t="s">
        <v>3103</v>
      </c>
      <c r="K738" s="25" t="s">
        <v>3831</v>
      </c>
      <c r="L738" s="49" t="s">
        <v>4535</v>
      </c>
      <c r="M738" s="25" t="s">
        <v>4503</v>
      </c>
      <c r="N738" s="49" t="s">
        <v>4504</v>
      </c>
      <c r="O738" s="25" t="s">
        <v>3698</v>
      </c>
      <c r="P738" s="49" t="s">
        <v>3699</v>
      </c>
      <c r="Q738" s="49"/>
      <c r="R738" s="50" t="s">
        <v>48</v>
      </c>
      <c r="S738" s="52" t="s">
        <v>2829</v>
      </c>
    </row>
    <row r="739" customFormat="false" ht="15" hidden="false" customHeight="true" outlineLevel="0" collapsed="false">
      <c r="A739" s="46" t="n">
        <v>750</v>
      </c>
      <c r="B739" s="24" t="s">
        <v>4515</v>
      </c>
      <c r="C739" s="47"/>
      <c r="D739" s="47" t="s">
        <v>4499</v>
      </c>
      <c r="E739" s="46" t="s">
        <v>16</v>
      </c>
      <c r="F739" s="46" t="s">
        <v>2104</v>
      </c>
      <c r="G739" s="24" t="s">
        <v>4536</v>
      </c>
      <c r="H739" s="48" t="n">
        <v>5</v>
      </c>
      <c r="I739" s="46"/>
      <c r="J739" s="47" t="s">
        <v>3103</v>
      </c>
      <c r="K739" s="24" t="s">
        <v>4537</v>
      </c>
      <c r="L739" s="46" t="s">
        <v>4538</v>
      </c>
      <c r="M739" s="24" t="s">
        <v>4503</v>
      </c>
      <c r="N739" s="46" t="s">
        <v>4504</v>
      </c>
      <c r="O739" s="24" t="s">
        <v>3698</v>
      </c>
      <c r="P739" s="46" t="s">
        <v>3699</v>
      </c>
      <c r="Q739" s="46"/>
      <c r="R739" s="47" t="s">
        <v>48</v>
      </c>
      <c r="S739" s="52" t="s">
        <v>2829</v>
      </c>
    </row>
    <row r="740" customFormat="false" ht="15" hidden="false" customHeight="true" outlineLevel="0" collapsed="false">
      <c r="A740" s="49" t="n">
        <v>751</v>
      </c>
      <c r="B740" s="25" t="s">
        <v>4523</v>
      </c>
      <c r="C740" s="50"/>
      <c r="D740" s="50" t="s">
        <v>4499</v>
      </c>
      <c r="E740" s="49" t="s">
        <v>16</v>
      </c>
      <c r="F740" s="49" t="s">
        <v>2104</v>
      </c>
      <c r="G740" s="25" t="s">
        <v>4539</v>
      </c>
      <c r="H740" s="51" t="n">
        <v>5</v>
      </c>
      <c r="I740" s="49"/>
      <c r="J740" s="50" t="s">
        <v>3103</v>
      </c>
      <c r="K740" s="25" t="s">
        <v>3573</v>
      </c>
      <c r="L740" s="49" t="s">
        <v>4540</v>
      </c>
      <c r="M740" s="25" t="s">
        <v>4503</v>
      </c>
      <c r="N740" s="49" t="s">
        <v>4504</v>
      </c>
      <c r="O740" s="25" t="s">
        <v>3698</v>
      </c>
      <c r="P740" s="49" t="s">
        <v>3699</v>
      </c>
      <c r="Q740" s="49"/>
      <c r="R740" s="50" t="s">
        <v>48</v>
      </c>
      <c r="S740" s="52" t="s">
        <v>2829</v>
      </c>
    </row>
    <row r="741" customFormat="false" ht="15" hidden="false" customHeight="true" outlineLevel="0" collapsed="false">
      <c r="A741" s="46" t="n">
        <v>752</v>
      </c>
      <c r="B741" s="24" t="s">
        <v>4498</v>
      </c>
      <c r="C741" s="47"/>
      <c r="D741" s="47" t="s">
        <v>4499</v>
      </c>
      <c r="E741" s="46" t="s">
        <v>16</v>
      </c>
      <c r="F741" s="46" t="s">
        <v>2104</v>
      </c>
      <c r="G741" s="24" t="s">
        <v>4541</v>
      </c>
      <c r="H741" s="48" t="n">
        <v>5</v>
      </c>
      <c r="I741" s="46"/>
      <c r="J741" s="47" t="s">
        <v>3103</v>
      </c>
      <c r="K741" s="24" t="s">
        <v>4542</v>
      </c>
      <c r="L741" s="46" t="s">
        <v>4543</v>
      </c>
      <c r="M741" s="24" t="s">
        <v>4503</v>
      </c>
      <c r="N741" s="46" t="s">
        <v>4504</v>
      </c>
      <c r="O741" s="24" t="s">
        <v>3698</v>
      </c>
      <c r="P741" s="46" t="s">
        <v>3699</v>
      </c>
      <c r="Q741" s="46"/>
      <c r="R741" s="47" t="s">
        <v>48</v>
      </c>
      <c r="S741" s="52" t="s">
        <v>2829</v>
      </c>
    </row>
    <row r="742" customFormat="false" ht="15" hidden="false" customHeight="true" outlineLevel="0" collapsed="false">
      <c r="A742" s="49" t="n">
        <v>753</v>
      </c>
      <c r="B742" s="25" t="s">
        <v>4530</v>
      </c>
      <c r="C742" s="50"/>
      <c r="D742" s="50" t="s">
        <v>4499</v>
      </c>
      <c r="E742" s="49" t="s">
        <v>16</v>
      </c>
      <c r="F742" s="49" t="s">
        <v>2104</v>
      </c>
      <c r="G742" s="25" t="s">
        <v>4544</v>
      </c>
      <c r="H742" s="51" t="n">
        <v>5</v>
      </c>
      <c r="I742" s="49"/>
      <c r="J742" s="50" t="s">
        <v>3103</v>
      </c>
      <c r="K742" s="25" t="s">
        <v>4545</v>
      </c>
      <c r="L742" s="49" t="s">
        <v>4546</v>
      </c>
      <c r="M742" s="25" t="s">
        <v>4503</v>
      </c>
      <c r="N742" s="49" t="s">
        <v>4504</v>
      </c>
      <c r="O742" s="25" t="s">
        <v>3698</v>
      </c>
      <c r="P742" s="49" t="s">
        <v>3699</v>
      </c>
      <c r="Q742" s="49"/>
      <c r="R742" s="50" t="s">
        <v>48</v>
      </c>
      <c r="S742" s="52" t="s">
        <v>2829</v>
      </c>
    </row>
    <row r="743" customFormat="false" ht="15" hidden="false" customHeight="true" outlineLevel="0" collapsed="false">
      <c r="A743" s="46" t="n">
        <v>754</v>
      </c>
      <c r="B743" s="24" t="s">
        <v>4547</v>
      </c>
      <c r="C743" s="47"/>
      <c r="D743" s="47" t="s">
        <v>4499</v>
      </c>
      <c r="E743" s="46" t="s">
        <v>16</v>
      </c>
      <c r="F743" s="46" t="s">
        <v>2104</v>
      </c>
      <c r="G743" s="24" t="s">
        <v>4548</v>
      </c>
      <c r="H743" s="48" t="n">
        <v>5</v>
      </c>
      <c r="I743" s="46"/>
      <c r="J743" s="47" t="s">
        <v>3103</v>
      </c>
      <c r="K743" s="24" t="s">
        <v>4465</v>
      </c>
      <c r="L743" s="46" t="s">
        <v>4549</v>
      </c>
      <c r="M743" s="24" t="s">
        <v>4503</v>
      </c>
      <c r="N743" s="46" t="s">
        <v>4504</v>
      </c>
      <c r="O743" s="24" t="s">
        <v>3698</v>
      </c>
      <c r="P743" s="46" t="s">
        <v>3699</v>
      </c>
      <c r="Q743" s="46"/>
      <c r="R743" s="47" t="s">
        <v>48</v>
      </c>
      <c r="S743" s="52" t="s">
        <v>2829</v>
      </c>
    </row>
    <row r="744" customFormat="false" ht="15" hidden="false" customHeight="true" outlineLevel="0" collapsed="false">
      <c r="A744" s="49" t="n">
        <v>755</v>
      </c>
      <c r="B744" s="25" t="s">
        <v>4550</v>
      </c>
      <c r="C744" s="50"/>
      <c r="D744" s="50" t="s">
        <v>4499</v>
      </c>
      <c r="E744" s="49" t="s">
        <v>16</v>
      </c>
      <c r="F744" s="49" t="s">
        <v>2104</v>
      </c>
      <c r="G744" s="25" t="s">
        <v>4551</v>
      </c>
      <c r="H744" s="51" t="n">
        <v>5</v>
      </c>
      <c r="I744" s="49"/>
      <c r="J744" s="50" t="s">
        <v>3103</v>
      </c>
      <c r="K744" s="25" t="s">
        <v>3837</v>
      </c>
      <c r="L744" s="49" t="s">
        <v>4552</v>
      </c>
      <c r="M744" s="25" t="s">
        <v>4503</v>
      </c>
      <c r="N744" s="49" t="s">
        <v>4504</v>
      </c>
      <c r="O744" s="25" t="s">
        <v>3698</v>
      </c>
      <c r="P744" s="49" t="s">
        <v>3699</v>
      </c>
      <c r="Q744" s="49"/>
      <c r="R744" s="50" t="s">
        <v>48</v>
      </c>
      <c r="S744" s="52" t="s">
        <v>2829</v>
      </c>
    </row>
    <row r="745" customFormat="false" ht="15" hidden="false" customHeight="true" outlineLevel="0" collapsed="false">
      <c r="A745" s="46" t="n">
        <v>756</v>
      </c>
      <c r="B745" s="24" t="s">
        <v>4550</v>
      </c>
      <c r="C745" s="47"/>
      <c r="D745" s="47" t="s">
        <v>4499</v>
      </c>
      <c r="E745" s="46" t="s">
        <v>16</v>
      </c>
      <c r="F745" s="46" t="s">
        <v>2104</v>
      </c>
      <c r="G745" s="24" t="s">
        <v>4553</v>
      </c>
      <c r="H745" s="48" t="n">
        <v>5</v>
      </c>
      <c r="I745" s="46"/>
      <c r="J745" s="47" t="s">
        <v>3103</v>
      </c>
      <c r="K745" s="24" t="s">
        <v>4554</v>
      </c>
      <c r="L745" s="46" t="s">
        <v>4555</v>
      </c>
      <c r="M745" s="24" t="s">
        <v>4503</v>
      </c>
      <c r="N745" s="46" t="s">
        <v>4504</v>
      </c>
      <c r="O745" s="24" t="s">
        <v>3698</v>
      </c>
      <c r="P745" s="46" t="s">
        <v>3699</v>
      </c>
      <c r="Q745" s="46"/>
      <c r="R745" s="47" t="s">
        <v>48</v>
      </c>
      <c r="S745" s="52" t="s">
        <v>2829</v>
      </c>
    </row>
    <row r="746" customFormat="false" ht="15" hidden="false" customHeight="true" outlineLevel="0" collapsed="false">
      <c r="A746" s="49" t="n">
        <v>757</v>
      </c>
      <c r="B746" s="25" t="s">
        <v>4547</v>
      </c>
      <c r="C746" s="50"/>
      <c r="D746" s="50" t="s">
        <v>4499</v>
      </c>
      <c r="E746" s="49" t="s">
        <v>16</v>
      </c>
      <c r="F746" s="49" t="s">
        <v>2104</v>
      </c>
      <c r="G746" s="25" t="s">
        <v>4556</v>
      </c>
      <c r="H746" s="51" t="n">
        <v>5</v>
      </c>
      <c r="I746" s="49"/>
      <c r="J746" s="50" t="s">
        <v>3103</v>
      </c>
      <c r="K746" s="25" t="s">
        <v>3913</v>
      </c>
      <c r="L746" s="49" t="s">
        <v>4557</v>
      </c>
      <c r="M746" s="25" t="s">
        <v>4503</v>
      </c>
      <c r="N746" s="49" t="s">
        <v>4504</v>
      </c>
      <c r="O746" s="25" t="s">
        <v>3698</v>
      </c>
      <c r="P746" s="49" t="s">
        <v>3699</v>
      </c>
      <c r="Q746" s="49"/>
      <c r="R746" s="50" t="s">
        <v>48</v>
      </c>
      <c r="S746" s="52" t="s">
        <v>2829</v>
      </c>
    </row>
    <row r="747" customFormat="false" ht="15" hidden="false" customHeight="true" outlineLevel="0" collapsed="false">
      <c r="A747" s="46" t="n">
        <v>758</v>
      </c>
      <c r="B747" s="24" t="s">
        <v>4523</v>
      </c>
      <c r="C747" s="47"/>
      <c r="D747" s="47" t="s">
        <v>4499</v>
      </c>
      <c r="E747" s="46" t="s">
        <v>16</v>
      </c>
      <c r="F747" s="46" t="s">
        <v>2104</v>
      </c>
      <c r="G747" s="24" t="s">
        <v>4558</v>
      </c>
      <c r="H747" s="48" t="n">
        <v>5</v>
      </c>
      <c r="I747" s="46"/>
      <c r="J747" s="47" t="s">
        <v>3103</v>
      </c>
      <c r="K747" s="24" t="s">
        <v>4559</v>
      </c>
      <c r="L747" s="46" t="s">
        <v>4560</v>
      </c>
      <c r="M747" s="24" t="s">
        <v>4503</v>
      </c>
      <c r="N747" s="46" t="s">
        <v>4504</v>
      </c>
      <c r="O747" s="24" t="s">
        <v>3698</v>
      </c>
      <c r="P747" s="46" t="s">
        <v>3699</v>
      </c>
      <c r="Q747" s="46"/>
      <c r="R747" s="47" t="s">
        <v>48</v>
      </c>
      <c r="S747" s="52" t="s">
        <v>2829</v>
      </c>
    </row>
    <row r="748" customFormat="false" ht="15" hidden="false" customHeight="true" outlineLevel="0" collapsed="false">
      <c r="A748" s="49" t="n">
        <v>759</v>
      </c>
      <c r="B748" s="25" t="s">
        <v>4523</v>
      </c>
      <c r="C748" s="50"/>
      <c r="D748" s="50" t="s">
        <v>4499</v>
      </c>
      <c r="E748" s="49" t="s">
        <v>16</v>
      </c>
      <c r="F748" s="49" t="s">
        <v>2104</v>
      </c>
      <c r="G748" s="25" t="s">
        <v>4561</v>
      </c>
      <c r="H748" s="51" t="n">
        <v>5</v>
      </c>
      <c r="I748" s="49"/>
      <c r="J748" s="50" t="s">
        <v>3103</v>
      </c>
      <c r="K748" s="25" t="s">
        <v>4562</v>
      </c>
      <c r="L748" s="49" t="s">
        <v>4563</v>
      </c>
      <c r="M748" s="25" t="s">
        <v>4503</v>
      </c>
      <c r="N748" s="49" t="s">
        <v>4504</v>
      </c>
      <c r="O748" s="25" t="s">
        <v>3698</v>
      </c>
      <c r="P748" s="49" t="s">
        <v>3699</v>
      </c>
      <c r="Q748" s="49"/>
      <c r="R748" s="50" t="s">
        <v>48</v>
      </c>
      <c r="S748" s="52" t="s">
        <v>2829</v>
      </c>
    </row>
    <row r="749" customFormat="false" ht="15" hidden="false" customHeight="true" outlineLevel="0" collapsed="false">
      <c r="A749" s="46" t="n">
        <v>760</v>
      </c>
      <c r="B749" s="24" t="s">
        <v>4523</v>
      </c>
      <c r="C749" s="47"/>
      <c r="D749" s="47" t="s">
        <v>4499</v>
      </c>
      <c r="E749" s="46" t="s">
        <v>16</v>
      </c>
      <c r="F749" s="46" t="s">
        <v>2104</v>
      </c>
      <c r="G749" s="24" t="s">
        <v>4564</v>
      </c>
      <c r="H749" s="48" t="n">
        <v>5</v>
      </c>
      <c r="I749" s="46"/>
      <c r="J749" s="47" t="s">
        <v>3103</v>
      </c>
      <c r="K749" s="24" t="s">
        <v>3670</v>
      </c>
      <c r="L749" s="46" t="s">
        <v>4565</v>
      </c>
      <c r="M749" s="24" t="s">
        <v>4503</v>
      </c>
      <c r="N749" s="46" t="s">
        <v>4504</v>
      </c>
      <c r="O749" s="24" t="s">
        <v>3698</v>
      </c>
      <c r="P749" s="46" t="s">
        <v>3699</v>
      </c>
      <c r="Q749" s="46"/>
      <c r="R749" s="47" t="s">
        <v>48</v>
      </c>
      <c r="S749" s="52" t="s">
        <v>2829</v>
      </c>
    </row>
    <row r="750" customFormat="false" ht="15" hidden="false" customHeight="true" outlineLevel="0" collapsed="false">
      <c r="A750" s="49" t="n">
        <v>761</v>
      </c>
      <c r="B750" s="25" t="s">
        <v>4530</v>
      </c>
      <c r="C750" s="50"/>
      <c r="D750" s="50" t="s">
        <v>4499</v>
      </c>
      <c r="E750" s="49" t="s">
        <v>16</v>
      </c>
      <c r="F750" s="49" t="s">
        <v>2104</v>
      </c>
      <c r="G750" s="25" t="s">
        <v>4566</v>
      </c>
      <c r="H750" s="51" t="n">
        <v>5</v>
      </c>
      <c r="I750" s="49"/>
      <c r="J750" s="50" t="s">
        <v>3103</v>
      </c>
      <c r="K750" s="25" t="s">
        <v>4567</v>
      </c>
      <c r="L750" s="49" t="s">
        <v>4568</v>
      </c>
      <c r="M750" s="25" t="s">
        <v>4503</v>
      </c>
      <c r="N750" s="49" t="s">
        <v>4504</v>
      </c>
      <c r="O750" s="25" t="s">
        <v>3698</v>
      </c>
      <c r="P750" s="49" t="s">
        <v>3699</v>
      </c>
      <c r="Q750" s="49"/>
      <c r="R750" s="50" t="s">
        <v>48</v>
      </c>
      <c r="S750" s="52" t="s">
        <v>2829</v>
      </c>
    </row>
    <row r="751" customFormat="false" ht="15" hidden="false" customHeight="true" outlineLevel="0" collapsed="false">
      <c r="A751" s="46" t="n">
        <v>762</v>
      </c>
      <c r="B751" s="24" t="s">
        <v>4519</v>
      </c>
      <c r="C751" s="47"/>
      <c r="D751" s="47" t="s">
        <v>4499</v>
      </c>
      <c r="E751" s="46" t="s">
        <v>16</v>
      </c>
      <c r="F751" s="46" t="s">
        <v>2104</v>
      </c>
      <c r="G751" s="24" t="s">
        <v>4569</v>
      </c>
      <c r="H751" s="48" t="n">
        <v>5</v>
      </c>
      <c r="I751" s="46"/>
      <c r="J751" s="47" t="s">
        <v>3103</v>
      </c>
      <c r="K751" s="24" t="s">
        <v>4570</v>
      </c>
      <c r="L751" s="46" t="s">
        <v>4571</v>
      </c>
      <c r="M751" s="24" t="s">
        <v>4503</v>
      </c>
      <c r="N751" s="46" t="s">
        <v>4504</v>
      </c>
      <c r="O751" s="24" t="s">
        <v>3698</v>
      </c>
      <c r="P751" s="46" t="s">
        <v>3699</v>
      </c>
      <c r="Q751" s="46"/>
      <c r="R751" s="47" t="s">
        <v>48</v>
      </c>
      <c r="S751" s="52" t="s">
        <v>2829</v>
      </c>
    </row>
    <row r="752" customFormat="false" ht="15" hidden="false" customHeight="true" outlineLevel="0" collapsed="false">
      <c r="A752" s="49" t="n">
        <v>763</v>
      </c>
      <c r="B752" s="25" t="s">
        <v>4572</v>
      </c>
      <c r="C752" s="50"/>
      <c r="D752" s="50" t="s">
        <v>4499</v>
      </c>
      <c r="E752" s="49" t="s">
        <v>16</v>
      </c>
      <c r="F752" s="49" t="s">
        <v>2104</v>
      </c>
      <c r="G752" s="25" t="s">
        <v>4573</v>
      </c>
      <c r="H752" s="51" t="n">
        <v>5</v>
      </c>
      <c r="I752" s="49"/>
      <c r="J752" s="50" t="s">
        <v>3103</v>
      </c>
      <c r="K752" s="25" t="s">
        <v>3938</v>
      </c>
      <c r="L752" s="49" t="s">
        <v>4574</v>
      </c>
      <c r="M752" s="25" t="s">
        <v>4503</v>
      </c>
      <c r="N752" s="49" t="s">
        <v>4504</v>
      </c>
      <c r="O752" s="25" t="s">
        <v>3698</v>
      </c>
      <c r="P752" s="49" t="s">
        <v>3699</v>
      </c>
      <c r="Q752" s="49"/>
      <c r="R752" s="50" t="s">
        <v>48</v>
      </c>
      <c r="S752" s="52" t="s">
        <v>2829</v>
      </c>
    </row>
    <row r="753" customFormat="false" ht="15" hidden="false" customHeight="true" outlineLevel="0" collapsed="false">
      <c r="A753" s="46" t="n">
        <v>764</v>
      </c>
      <c r="B753" s="24" t="s">
        <v>4515</v>
      </c>
      <c r="C753" s="47"/>
      <c r="D753" s="47" t="s">
        <v>4499</v>
      </c>
      <c r="E753" s="46" t="s">
        <v>16</v>
      </c>
      <c r="F753" s="46" t="s">
        <v>2104</v>
      </c>
      <c r="G753" s="24" t="s">
        <v>4575</v>
      </c>
      <c r="H753" s="48" t="n">
        <v>5</v>
      </c>
      <c r="I753" s="46"/>
      <c r="J753" s="47" t="s">
        <v>3103</v>
      </c>
      <c r="K753" s="24" t="s">
        <v>4343</v>
      </c>
      <c r="L753" s="46" t="s">
        <v>4576</v>
      </c>
      <c r="M753" s="24" t="s">
        <v>4503</v>
      </c>
      <c r="N753" s="46" t="s">
        <v>4504</v>
      </c>
      <c r="O753" s="24" t="s">
        <v>3698</v>
      </c>
      <c r="P753" s="46" t="s">
        <v>3699</v>
      </c>
      <c r="Q753" s="46"/>
      <c r="R753" s="47" t="s">
        <v>48</v>
      </c>
      <c r="S753" s="52" t="s">
        <v>2829</v>
      </c>
    </row>
    <row r="754" customFormat="false" ht="15" hidden="false" customHeight="true" outlineLevel="0" collapsed="false">
      <c r="A754" s="49" t="n">
        <v>765</v>
      </c>
      <c r="B754" s="25" t="s">
        <v>4511</v>
      </c>
      <c r="C754" s="50"/>
      <c r="D754" s="50" t="s">
        <v>4499</v>
      </c>
      <c r="E754" s="49" t="s">
        <v>16</v>
      </c>
      <c r="F754" s="49" t="s">
        <v>2104</v>
      </c>
      <c r="G754" s="25" t="s">
        <v>4577</v>
      </c>
      <c r="H754" s="51" t="n">
        <v>5</v>
      </c>
      <c r="I754" s="49"/>
      <c r="J754" s="50" t="s">
        <v>3103</v>
      </c>
      <c r="K754" s="25" t="s">
        <v>4578</v>
      </c>
      <c r="L754" s="49" t="s">
        <v>4579</v>
      </c>
      <c r="M754" s="25" t="s">
        <v>4503</v>
      </c>
      <c r="N754" s="49" t="s">
        <v>4504</v>
      </c>
      <c r="O754" s="25" t="s">
        <v>3698</v>
      </c>
      <c r="P754" s="49" t="s">
        <v>3699</v>
      </c>
      <c r="Q754" s="49"/>
      <c r="R754" s="50" t="s">
        <v>48</v>
      </c>
      <c r="S754" s="52" t="s">
        <v>2829</v>
      </c>
    </row>
    <row r="755" customFormat="false" ht="15" hidden="false" customHeight="true" outlineLevel="0" collapsed="false">
      <c r="A755" s="46" t="n">
        <v>766</v>
      </c>
      <c r="B755" s="24" t="s">
        <v>4580</v>
      </c>
      <c r="C755" s="47"/>
      <c r="D755" s="47" t="s">
        <v>4499</v>
      </c>
      <c r="E755" s="46" t="s">
        <v>16</v>
      </c>
      <c r="F755" s="46" t="s">
        <v>2104</v>
      </c>
      <c r="G755" s="24" t="s">
        <v>4581</v>
      </c>
      <c r="H755" s="48" t="n">
        <v>5</v>
      </c>
      <c r="I755" s="46"/>
      <c r="J755" s="47" t="s">
        <v>3103</v>
      </c>
      <c r="K755" s="24" t="s">
        <v>3149</v>
      </c>
      <c r="L755" s="46" t="s">
        <v>4582</v>
      </c>
      <c r="M755" s="24" t="s">
        <v>4503</v>
      </c>
      <c r="N755" s="46" t="s">
        <v>4504</v>
      </c>
      <c r="O755" s="24" t="s">
        <v>3698</v>
      </c>
      <c r="P755" s="46" t="s">
        <v>3699</v>
      </c>
      <c r="Q755" s="46"/>
      <c r="R755" s="47" t="s">
        <v>48</v>
      </c>
      <c r="S755" s="52" t="s">
        <v>2829</v>
      </c>
    </row>
    <row r="756" customFormat="false" ht="15" hidden="false" customHeight="true" outlineLevel="0" collapsed="false">
      <c r="A756" s="49" t="n">
        <v>767</v>
      </c>
      <c r="B756" s="25" t="s">
        <v>4511</v>
      </c>
      <c r="C756" s="50"/>
      <c r="D756" s="50" t="s">
        <v>4499</v>
      </c>
      <c r="E756" s="49" t="s">
        <v>16</v>
      </c>
      <c r="F756" s="49" t="s">
        <v>2104</v>
      </c>
      <c r="G756" s="25" t="s">
        <v>4583</v>
      </c>
      <c r="H756" s="51" t="n">
        <v>5</v>
      </c>
      <c r="I756" s="49"/>
      <c r="J756" s="50" t="s">
        <v>3103</v>
      </c>
      <c r="K756" s="25" t="s">
        <v>3851</v>
      </c>
      <c r="L756" s="49" t="s">
        <v>4584</v>
      </c>
      <c r="M756" s="25" t="s">
        <v>4503</v>
      </c>
      <c r="N756" s="49" t="s">
        <v>4504</v>
      </c>
      <c r="O756" s="25" t="s">
        <v>3698</v>
      </c>
      <c r="P756" s="49" t="s">
        <v>3699</v>
      </c>
      <c r="Q756" s="49"/>
      <c r="R756" s="50" t="s">
        <v>48</v>
      </c>
      <c r="S756" s="52" t="s">
        <v>2829</v>
      </c>
    </row>
    <row r="757" customFormat="false" ht="15" hidden="false" customHeight="true" outlineLevel="0" collapsed="false">
      <c r="A757" s="46" t="n">
        <v>768</v>
      </c>
      <c r="B757" s="24" t="s">
        <v>4519</v>
      </c>
      <c r="C757" s="47"/>
      <c r="D757" s="47" t="s">
        <v>4499</v>
      </c>
      <c r="E757" s="46" t="s">
        <v>16</v>
      </c>
      <c r="F757" s="46" t="s">
        <v>2104</v>
      </c>
      <c r="G757" s="24" t="s">
        <v>4585</v>
      </c>
      <c r="H757" s="48" t="n">
        <v>5</v>
      </c>
      <c r="I757" s="46"/>
      <c r="J757" s="47" t="s">
        <v>3103</v>
      </c>
      <c r="K757" s="24" t="s">
        <v>4586</v>
      </c>
      <c r="L757" s="46" t="s">
        <v>4587</v>
      </c>
      <c r="M757" s="24" t="s">
        <v>4503</v>
      </c>
      <c r="N757" s="46" t="s">
        <v>4504</v>
      </c>
      <c r="O757" s="24" t="s">
        <v>3698</v>
      </c>
      <c r="P757" s="46" t="s">
        <v>3699</v>
      </c>
      <c r="Q757" s="46"/>
      <c r="R757" s="47" t="s">
        <v>48</v>
      </c>
      <c r="S757" s="52" t="s">
        <v>2829</v>
      </c>
    </row>
    <row r="758" customFormat="false" ht="15" hidden="false" customHeight="true" outlineLevel="0" collapsed="false">
      <c r="A758" s="49" t="n">
        <v>769</v>
      </c>
      <c r="B758" s="25" t="s">
        <v>4588</v>
      </c>
      <c r="C758" s="50"/>
      <c r="D758" s="50" t="s">
        <v>4499</v>
      </c>
      <c r="E758" s="49" t="s">
        <v>16</v>
      </c>
      <c r="F758" s="49" t="s">
        <v>2104</v>
      </c>
      <c r="G758" s="25" t="s">
        <v>4589</v>
      </c>
      <c r="H758" s="51" t="n">
        <v>5</v>
      </c>
      <c r="I758" s="49"/>
      <c r="J758" s="50" t="s">
        <v>3103</v>
      </c>
      <c r="K758" s="25" t="s">
        <v>4590</v>
      </c>
      <c r="L758" s="49" t="s">
        <v>4591</v>
      </c>
      <c r="M758" s="25" t="s">
        <v>4503</v>
      </c>
      <c r="N758" s="49" t="s">
        <v>4504</v>
      </c>
      <c r="O758" s="25" t="s">
        <v>3698</v>
      </c>
      <c r="P758" s="49" t="s">
        <v>3699</v>
      </c>
      <c r="Q758" s="49"/>
      <c r="R758" s="50" t="s">
        <v>48</v>
      </c>
      <c r="S758" s="52" t="s">
        <v>2829</v>
      </c>
    </row>
    <row r="759" customFormat="false" ht="15" hidden="false" customHeight="true" outlineLevel="0" collapsed="false">
      <c r="A759" s="46" t="n">
        <v>770</v>
      </c>
      <c r="B759" s="24" t="s">
        <v>4588</v>
      </c>
      <c r="C759" s="47"/>
      <c r="D759" s="47" t="s">
        <v>4499</v>
      </c>
      <c r="E759" s="46" t="s">
        <v>16</v>
      </c>
      <c r="F759" s="46" t="s">
        <v>2104</v>
      </c>
      <c r="G759" s="24" t="s">
        <v>4592</v>
      </c>
      <c r="H759" s="48" t="n">
        <v>5</v>
      </c>
      <c r="I759" s="46"/>
      <c r="J759" s="47" t="s">
        <v>3103</v>
      </c>
      <c r="K759" s="24" t="s">
        <v>4509</v>
      </c>
      <c r="L759" s="46" t="s">
        <v>4593</v>
      </c>
      <c r="M759" s="24" t="s">
        <v>4503</v>
      </c>
      <c r="N759" s="46" t="s">
        <v>4504</v>
      </c>
      <c r="O759" s="24" t="s">
        <v>3698</v>
      </c>
      <c r="P759" s="46" t="s">
        <v>3699</v>
      </c>
      <c r="Q759" s="46"/>
      <c r="R759" s="47" t="s">
        <v>48</v>
      </c>
      <c r="S759" s="52" t="s">
        <v>2829</v>
      </c>
    </row>
    <row r="760" customFormat="false" ht="15" hidden="false" customHeight="true" outlineLevel="0" collapsed="false">
      <c r="A760" s="49" t="n">
        <v>771</v>
      </c>
      <c r="B760" s="25" t="s">
        <v>4530</v>
      </c>
      <c r="C760" s="50"/>
      <c r="D760" s="50" t="s">
        <v>4499</v>
      </c>
      <c r="E760" s="49" t="s">
        <v>16</v>
      </c>
      <c r="F760" s="49" t="s">
        <v>2104</v>
      </c>
      <c r="G760" s="25" t="s">
        <v>4594</v>
      </c>
      <c r="H760" s="51" t="n">
        <v>5</v>
      </c>
      <c r="I760" s="49"/>
      <c r="J760" s="50" t="s">
        <v>3103</v>
      </c>
      <c r="K760" s="25" t="s">
        <v>4595</v>
      </c>
      <c r="L760" s="49" t="s">
        <v>4596</v>
      </c>
      <c r="M760" s="25" t="s">
        <v>4503</v>
      </c>
      <c r="N760" s="49" t="s">
        <v>4504</v>
      </c>
      <c r="O760" s="25" t="s">
        <v>3698</v>
      </c>
      <c r="P760" s="49" t="s">
        <v>3699</v>
      </c>
      <c r="Q760" s="49"/>
      <c r="R760" s="50" t="s">
        <v>48</v>
      </c>
      <c r="S760" s="52" t="s">
        <v>2829</v>
      </c>
    </row>
    <row r="761" customFormat="false" ht="15" hidden="false" customHeight="true" outlineLevel="0" collapsed="false">
      <c r="A761" s="46" t="n">
        <v>772</v>
      </c>
      <c r="B761" s="24" t="s">
        <v>4530</v>
      </c>
      <c r="C761" s="47"/>
      <c r="D761" s="47" t="s">
        <v>4499</v>
      </c>
      <c r="E761" s="46" t="s">
        <v>16</v>
      </c>
      <c r="F761" s="46" t="s">
        <v>2104</v>
      </c>
      <c r="G761" s="24" t="s">
        <v>4597</v>
      </c>
      <c r="H761" s="48" t="n">
        <v>5</v>
      </c>
      <c r="I761" s="46"/>
      <c r="J761" s="47" t="s">
        <v>3103</v>
      </c>
      <c r="K761" s="24" t="s">
        <v>4598</v>
      </c>
      <c r="L761" s="46" t="s">
        <v>4599</v>
      </c>
      <c r="M761" s="24" t="s">
        <v>4503</v>
      </c>
      <c r="N761" s="46" t="s">
        <v>4504</v>
      </c>
      <c r="O761" s="24" t="s">
        <v>3698</v>
      </c>
      <c r="P761" s="46" t="s">
        <v>3699</v>
      </c>
      <c r="Q761" s="46"/>
      <c r="R761" s="47" t="s">
        <v>48</v>
      </c>
      <c r="S761" s="52" t="s">
        <v>2829</v>
      </c>
    </row>
    <row r="762" customFormat="false" ht="15" hidden="false" customHeight="true" outlineLevel="0" collapsed="false">
      <c r="A762" s="49" t="n">
        <v>773</v>
      </c>
      <c r="B762" s="25" t="s">
        <v>4600</v>
      </c>
      <c r="C762" s="50"/>
      <c r="D762" s="50" t="s">
        <v>4499</v>
      </c>
      <c r="E762" s="49" t="s">
        <v>16</v>
      </c>
      <c r="F762" s="49" t="s">
        <v>2104</v>
      </c>
      <c r="G762" s="25" t="s">
        <v>4601</v>
      </c>
      <c r="H762" s="51" t="n">
        <v>5</v>
      </c>
      <c r="I762" s="49"/>
      <c r="J762" s="50" t="s">
        <v>3103</v>
      </c>
      <c r="K762" s="25" t="s">
        <v>4000</v>
      </c>
      <c r="L762" s="49" t="s">
        <v>4602</v>
      </c>
      <c r="M762" s="25" t="s">
        <v>4503</v>
      </c>
      <c r="N762" s="49" t="s">
        <v>4504</v>
      </c>
      <c r="O762" s="25" t="s">
        <v>3698</v>
      </c>
      <c r="P762" s="49" t="s">
        <v>3699</v>
      </c>
      <c r="Q762" s="49"/>
      <c r="R762" s="50" t="s">
        <v>48</v>
      </c>
      <c r="S762" s="52" t="s">
        <v>2829</v>
      </c>
    </row>
    <row r="763" customFormat="false" ht="15" hidden="false" customHeight="true" outlineLevel="0" collapsed="false">
      <c r="A763" s="46" t="n">
        <v>774</v>
      </c>
      <c r="B763" s="24" t="s">
        <v>4600</v>
      </c>
      <c r="C763" s="47"/>
      <c r="D763" s="47" t="s">
        <v>4499</v>
      </c>
      <c r="E763" s="46" t="s">
        <v>16</v>
      </c>
      <c r="F763" s="46" t="s">
        <v>2104</v>
      </c>
      <c r="G763" s="24" t="s">
        <v>4603</v>
      </c>
      <c r="H763" s="48" t="n">
        <v>5</v>
      </c>
      <c r="I763" s="46"/>
      <c r="J763" s="47" t="s">
        <v>3103</v>
      </c>
      <c r="K763" s="24" t="s">
        <v>4578</v>
      </c>
      <c r="L763" s="46" t="s">
        <v>4604</v>
      </c>
      <c r="M763" s="24" t="s">
        <v>4503</v>
      </c>
      <c r="N763" s="46" t="s">
        <v>4504</v>
      </c>
      <c r="O763" s="24" t="s">
        <v>3698</v>
      </c>
      <c r="P763" s="46" t="s">
        <v>3699</v>
      </c>
      <c r="Q763" s="46"/>
      <c r="R763" s="47" t="s">
        <v>48</v>
      </c>
      <c r="S763" s="52" t="s">
        <v>2829</v>
      </c>
    </row>
    <row r="764" customFormat="false" ht="15" hidden="false" customHeight="true" outlineLevel="0" collapsed="false">
      <c r="A764" s="49" t="n">
        <v>775</v>
      </c>
      <c r="B764" s="25" t="s">
        <v>4600</v>
      </c>
      <c r="C764" s="50"/>
      <c r="D764" s="50" t="s">
        <v>4499</v>
      </c>
      <c r="E764" s="49" t="s">
        <v>16</v>
      </c>
      <c r="F764" s="49" t="s">
        <v>2104</v>
      </c>
      <c r="G764" s="25" t="s">
        <v>4605</v>
      </c>
      <c r="H764" s="51" t="n">
        <v>5</v>
      </c>
      <c r="I764" s="49"/>
      <c r="J764" s="50" t="s">
        <v>3103</v>
      </c>
      <c r="K764" s="25" t="s">
        <v>4606</v>
      </c>
      <c r="L764" s="49" t="s">
        <v>4607</v>
      </c>
      <c r="M764" s="25" t="s">
        <v>4503</v>
      </c>
      <c r="N764" s="49" t="s">
        <v>4504</v>
      </c>
      <c r="O764" s="25" t="s">
        <v>3698</v>
      </c>
      <c r="P764" s="49" t="s">
        <v>3699</v>
      </c>
      <c r="Q764" s="49"/>
      <c r="R764" s="50" t="s">
        <v>48</v>
      </c>
      <c r="S764" s="52" t="s">
        <v>2829</v>
      </c>
    </row>
    <row r="765" customFormat="false" ht="15" hidden="false" customHeight="true" outlineLevel="0" collapsed="false">
      <c r="A765" s="46" t="n">
        <v>776</v>
      </c>
      <c r="B765" s="24" t="s">
        <v>4600</v>
      </c>
      <c r="C765" s="47"/>
      <c r="D765" s="47" t="s">
        <v>4499</v>
      </c>
      <c r="E765" s="46" t="s">
        <v>16</v>
      </c>
      <c r="F765" s="46" t="s">
        <v>2104</v>
      </c>
      <c r="G765" s="24" t="s">
        <v>4608</v>
      </c>
      <c r="H765" s="48" t="n">
        <v>5</v>
      </c>
      <c r="I765" s="46"/>
      <c r="J765" s="47" t="s">
        <v>3103</v>
      </c>
      <c r="K765" s="24" t="s">
        <v>3845</v>
      </c>
      <c r="L765" s="46" t="s">
        <v>4609</v>
      </c>
      <c r="M765" s="24" t="s">
        <v>4503</v>
      </c>
      <c r="N765" s="46" t="s">
        <v>4504</v>
      </c>
      <c r="O765" s="24" t="s">
        <v>3698</v>
      </c>
      <c r="P765" s="46" t="s">
        <v>3699</v>
      </c>
      <c r="Q765" s="46"/>
      <c r="R765" s="47" t="s">
        <v>48</v>
      </c>
      <c r="S765" s="52" t="s">
        <v>2829</v>
      </c>
    </row>
    <row r="766" customFormat="false" ht="15" hidden="false" customHeight="true" outlineLevel="0" collapsed="false">
      <c r="A766" s="49" t="n">
        <v>777</v>
      </c>
      <c r="B766" s="25" t="s">
        <v>4600</v>
      </c>
      <c r="C766" s="50"/>
      <c r="D766" s="50" t="s">
        <v>4499</v>
      </c>
      <c r="E766" s="49" t="s">
        <v>16</v>
      </c>
      <c r="F766" s="49" t="s">
        <v>2104</v>
      </c>
      <c r="G766" s="25" t="s">
        <v>4610</v>
      </c>
      <c r="H766" s="51" t="n">
        <v>5</v>
      </c>
      <c r="I766" s="49"/>
      <c r="J766" s="50" t="s">
        <v>3103</v>
      </c>
      <c r="K766" s="25" t="s">
        <v>4611</v>
      </c>
      <c r="L766" s="49" t="s">
        <v>4612</v>
      </c>
      <c r="M766" s="25" t="s">
        <v>4503</v>
      </c>
      <c r="N766" s="49" t="s">
        <v>4504</v>
      </c>
      <c r="O766" s="25" t="s">
        <v>3698</v>
      </c>
      <c r="P766" s="49" t="s">
        <v>3699</v>
      </c>
      <c r="Q766" s="49"/>
      <c r="R766" s="50" t="s">
        <v>48</v>
      </c>
      <c r="S766" s="52" t="s">
        <v>2829</v>
      </c>
    </row>
    <row r="767" customFormat="false" ht="15" hidden="false" customHeight="true" outlineLevel="0" collapsed="false">
      <c r="A767" s="46" t="n">
        <v>778</v>
      </c>
      <c r="B767" s="24" t="s">
        <v>4600</v>
      </c>
      <c r="C767" s="47"/>
      <c r="D767" s="47" t="s">
        <v>4499</v>
      </c>
      <c r="E767" s="46" t="s">
        <v>16</v>
      </c>
      <c r="F767" s="46" t="s">
        <v>2104</v>
      </c>
      <c r="G767" s="24" t="s">
        <v>4613</v>
      </c>
      <c r="H767" s="48" t="n">
        <v>5</v>
      </c>
      <c r="I767" s="46"/>
      <c r="J767" s="47" t="s">
        <v>3103</v>
      </c>
      <c r="K767" s="24" t="s">
        <v>4614</v>
      </c>
      <c r="L767" s="46" t="s">
        <v>4615</v>
      </c>
      <c r="M767" s="24" t="s">
        <v>4503</v>
      </c>
      <c r="N767" s="46" t="s">
        <v>4504</v>
      </c>
      <c r="O767" s="24" t="s">
        <v>3698</v>
      </c>
      <c r="P767" s="46" t="s">
        <v>3699</v>
      </c>
      <c r="Q767" s="46"/>
      <c r="R767" s="47" t="s">
        <v>48</v>
      </c>
      <c r="S767" s="52" t="s">
        <v>2829</v>
      </c>
    </row>
    <row r="768" customFormat="false" ht="15" hidden="false" customHeight="true" outlineLevel="0" collapsed="false">
      <c r="A768" s="49" t="n">
        <v>779</v>
      </c>
      <c r="B768" s="25" t="s">
        <v>4600</v>
      </c>
      <c r="C768" s="50"/>
      <c r="D768" s="50" t="s">
        <v>4499</v>
      </c>
      <c r="E768" s="49" t="s">
        <v>16</v>
      </c>
      <c r="F768" s="49" t="s">
        <v>2104</v>
      </c>
      <c r="G768" s="25" t="s">
        <v>4616</v>
      </c>
      <c r="H768" s="51" t="n">
        <v>5</v>
      </c>
      <c r="I768" s="49"/>
      <c r="J768" s="50" t="s">
        <v>3103</v>
      </c>
      <c r="K768" s="25" t="s">
        <v>3812</v>
      </c>
      <c r="L768" s="49" t="s">
        <v>4617</v>
      </c>
      <c r="M768" s="25" t="s">
        <v>4503</v>
      </c>
      <c r="N768" s="49" t="s">
        <v>4504</v>
      </c>
      <c r="O768" s="25" t="s">
        <v>3698</v>
      </c>
      <c r="P768" s="49" t="s">
        <v>3699</v>
      </c>
      <c r="Q768" s="49"/>
      <c r="R768" s="50" t="s">
        <v>48</v>
      </c>
      <c r="S768" s="52" t="s">
        <v>2829</v>
      </c>
    </row>
    <row r="769" customFormat="false" ht="15" hidden="false" customHeight="true" outlineLevel="0" collapsed="false">
      <c r="A769" s="46" t="n">
        <v>780</v>
      </c>
      <c r="B769" s="24" t="s">
        <v>4600</v>
      </c>
      <c r="C769" s="47"/>
      <c r="D769" s="47" t="s">
        <v>4499</v>
      </c>
      <c r="E769" s="46" t="s">
        <v>16</v>
      </c>
      <c r="F769" s="46" t="s">
        <v>2104</v>
      </c>
      <c r="G769" s="24" t="s">
        <v>4618</v>
      </c>
      <c r="H769" s="48" t="n">
        <v>5</v>
      </c>
      <c r="I769" s="46"/>
      <c r="J769" s="47" t="s">
        <v>3103</v>
      </c>
      <c r="K769" s="24" t="s">
        <v>3810</v>
      </c>
      <c r="L769" s="46" t="s">
        <v>4619</v>
      </c>
      <c r="M769" s="24" t="s">
        <v>4503</v>
      </c>
      <c r="N769" s="46" t="s">
        <v>4504</v>
      </c>
      <c r="O769" s="24" t="s">
        <v>3698</v>
      </c>
      <c r="P769" s="46" t="s">
        <v>3699</v>
      </c>
      <c r="Q769" s="46"/>
      <c r="R769" s="47" t="s">
        <v>48</v>
      </c>
      <c r="S769" s="52" t="s">
        <v>2829</v>
      </c>
    </row>
    <row r="770" customFormat="false" ht="15" hidden="false" customHeight="true" outlineLevel="0" collapsed="false">
      <c r="A770" s="49" t="n">
        <v>781</v>
      </c>
      <c r="B770" s="25" t="s">
        <v>4620</v>
      </c>
      <c r="C770" s="50"/>
      <c r="D770" s="50" t="s">
        <v>2137</v>
      </c>
      <c r="E770" s="49" t="s">
        <v>16</v>
      </c>
      <c r="F770" s="49" t="s">
        <v>2104</v>
      </c>
      <c r="G770" s="25" t="s">
        <v>4621</v>
      </c>
      <c r="H770" s="51" t="n">
        <v>5</v>
      </c>
      <c r="I770" s="49"/>
      <c r="J770" s="50" t="s">
        <v>4622</v>
      </c>
      <c r="K770" s="25" t="s">
        <v>4623</v>
      </c>
      <c r="L770" s="49" t="s">
        <v>4624</v>
      </c>
      <c r="M770" s="25" t="s">
        <v>4625</v>
      </c>
      <c r="N770" s="49" t="s">
        <v>4626</v>
      </c>
      <c r="O770" s="25" t="s">
        <v>3698</v>
      </c>
      <c r="P770" s="49" t="s">
        <v>3699</v>
      </c>
      <c r="Q770" s="49"/>
      <c r="R770" s="50" t="s">
        <v>48</v>
      </c>
      <c r="S770" s="52" t="s">
        <v>67</v>
      </c>
    </row>
    <row r="771" customFormat="false" ht="15" hidden="false" customHeight="true" outlineLevel="0" collapsed="false">
      <c r="A771" s="46" t="n">
        <v>782</v>
      </c>
      <c r="B771" s="24" t="s">
        <v>4620</v>
      </c>
      <c r="C771" s="47"/>
      <c r="D771" s="47" t="s">
        <v>2137</v>
      </c>
      <c r="E771" s="46" t="s">
        <v>16</v>
      </c>
      <c r="F771" s="46" t="s">
        <v>2104</v>
      </c>
      <c r="G771" s="24" t="s">
        <v>4627</v>
      </c>
      <c r="H771" s="48" t="n">
        <v>5</v>
      </c>
      <c r="I771" s="46"/>
      <c r="J771" s="47" t="s">
        <v>1804</v>
      </c>
      <c r="K771" s="24" t="s">
        <v>4590</v>
      </c>
      <c r="L771" s="46" t="s">
        <v>4628</v>
      </c>
      <c r="M771" s="24" t="s">
        <v>4625</v>
      </c>
      <c r="N771" s="46" t="s">
        <v>4626</v>
      </c>
      <c r="O771" s="24" t="s">
        <v>3698</v>
      </c>
      <c r="P771" s="46" t="s">
        <v>3699</v>
      </c>
      <c r="Q771" s="46"/>
      <c r="R771" s="47" t="s">
        <v>48</v>
      </c>
      <c r="S771" s="52" t="s">
        <v>67</v>
      </c>
    </row>
    <row r="772" customFormat="false" ht="15" hidden="false" customHeight="true" outlineLevel="0" collapsed="false">
      <c r="A772" s="49" t="n">
        <v>783</v>
      </c>
      <c r="B772" s="25" t="s">
        <v>4620</v>
      </c>
      <c r="C772" s="50"/>
      <c r="D772" s="50" t="s">
        <v>2137</v>
      </c>
      <c r="E772" s="49" t="s">
        <v>16</v>
      </c>
      <c r="F772" s="49" t="s">
        <v>2104</v>
      </c>
      <c r="G772" s="25" t="s">
        <v>4629</v>
      </c>
      <c r="H772" s="51" t="n">
        <v>5</v>
      </c>
      <c r="I772" s="49"/>
      <c r="J772" s="50" t="s">
        <v>1806</v>
      </c>
      <c r="K772" s="25" t="s">
        <v>4630</v>
      </c>
      <c r="L772" s="49" t="s">
        <v>4631</v>
      </c>
      <c r="M772" s="25" t="s">
        <v>4625</v>
      </c>
      <c r="N772" s="49" t="s">
        <v>4626</v>
      </c>
      <c r="O772" s="25" t="s">
        <v>3698</v>
      </c>
      <c r="P772" s="49" t="s">
        <v>3699</v>
      </c>
      <c r="Q772" s="49"/>
      <c r="R772" s="50" t="s">
        <v>48</v>
      </c>
      <c r="S772" s="52" t="s">
        <v>67</v>
      </c>
    </row>
    <row r="773" customFormat="false" ht="15" hidden="false" customHeight="true" outlineLevel="0" collapsed="false">
      <c r="A773" s="46" t="n">
        <v>784</v>
      </c>
      <c r="B773" s="24" t="s">
        <v>4620</v>
      </c>
      <c r="C773" s="47"/>
      <c r="D773" s="47" t="s">
        <v>2137</v>
      </c>
      <c r="E773" s="46" t="s">
        <v>16</v>
      </c>
      <c r="F773" s="46" t="s">
        <v>2104</v>
      </c>
      <c r="G773" s="24" t="s">
        <v>4632</v>
      </c>
      <c r="H773" s="48" t="n">
        <v>5</v>
      </c>
      <c r="I773" s="46"/>
      <c r="J773" s="47" t="s">
        <v>1808</v>
      </c>
      <c r="K773" s="24" t="s">
        <v>4633</v>
      </c>
      <c r="L773" s="46" t="s">
        <v>4634</v>
      </c>
      <c r="M773" s="24" t="s">
        <v>4625</v>
      </c>
      <c r="N773" s="46" t="s">
        <v>4626</v>
      </c>
      <c r="O773" s="24" t="s">
        <v>3698</v>
      </c>
      <c r="P773" s="46" t="s">
        <v>3699</v>
      </c>
      <c r="Q773" s="46"/>
      <c r="R773" s="47" t="s">
        <v>48</v>
      </c>
      <c r="S773" s="52" t="s">
        <v>67</v>
      </c>
    </row>
    <row r="774" customFormat="false" ht="15" hidden="false" customHeight="true" outlineLevel="0" collapsed="false">
      <c r="A774" s="49" t="n">
        <v>785</v>
      </c>
      <c r="B774" s="25" t="s">
        <v>4620</v>
      </c>
      <c r="C774" s="50"/>
      <c r="D774" s="50" t="s">
        <v>2137</v>
      </c>
      <c r="E774" s="49" t="s">
        <v>16</v>
      </c>
      <c r="F774" s="49" t="s">
        <v>2104</v>
      </c>
      <c r="G774" s="25" t="s">
        <v>4635</v>
      </c>
      <c r="H774" s="51" t="n">
        <v>5</v>
      </c>
      <c r="I774" s="49"/>
      <c r="J774" s="50" t="s">
        <v>1810</v>
      </c>
      <c r="K774" s="25" t="s">
        <v>3825</v>
      </c>
      <c r="L774" s="49" t="s">
        <v>4636</v>
      </c>
      <c r="M774" s="25" t="s">
        <v>4625</v>
      </c>
      <c r="N774" s="49" t="s">
        <v>4626</v>
      </c>
      <c r="O774" s="25" t="s">
        <v>3698</v>
      </c>
      <c r="P774" s="49" t="s">
        <v>3699</v>
      </c>
      <c r="Q774" s="49"/>
      <c r="R774" s="50" t="s">
        <v>48</v>
      </c>
      <c r="S774" s="52" t="s">
        <v>67</v>
      </c>
    </row>
    <row r="775" customFormat="false" ht="15" hidden="false" customHeight="true" outlineLevel="0" collapsed="false">
      <c r="A775" s="46" t="n">
        <v>786</v>
      </c>
      <c r="B775" s="24" t="s">
        <v>4620</v>
      </c>
      <c r="C775" s="47"/>
      <c r="D775" s="47" t="s">
        <v>2137</v>
      </c>
      <c r="E775" s="46" t="s">
        <v>16</v>
      </c>
      <c r="F775" s="46" t="s">
        <v>2104</v>
      </c>
      <c r="G775" s="24" t="s">
        <v>4637</v>
      </c>
      <c r="H775" s="48" t="n">
        <v>5</v>
      </c>
      <c r="I775" s="46"/>
      <c r="J775" s="47" t="s">
        <v>1812</v>
      </c>
      <c r="K775" s="24" t="s">
        <v>4638</v>
      </c>
      <c r="L775" s="46" t="s">
        <v>4639</v>
      </c>
      <c r="M775" s="24" t="s">
        <v>4625</v>
      </c>
      <c r="N775" s="46" t="s">
        <v>4626</v>
      </c>
      <c r="O775" s="24" t="s">
        <v>3698</v>
      </c>
      <c r="P775" s="46" t="s">
        <v>3699</v>
      </c>
      <c r="Q775" s="46"/>
      <c r="R775" s="47" t="s">
        <v>48</v>
      </c>
      <c r="S775" s="52" t="s">
        <v>67</v>
      </c>
    </row>
    <row r="776" customFormat="false" ht="15" hidden="false" customHeight="true" outlineLevel="0" collapsed="false">
      <c r="A776" s="49" t="n">
        <v>787</v>
      </c>
      <c r="B776" s="25" t="s">
        <v>4620</v>
      </c>
      <c r="C776" s="50"/>
      <c r="D776" s="50" t="s">
        <v>2137</v>
      </c>
      <c r="E776" s="49" t="s">
        <v>16</v>
      </c>
      <c r="F776" s="49" t="s">
        <v>2104</v>
      </c>
      <c r="G776" s="25" t="s">
        <v>4640</v>
      </c>
      <c r="H776" s="51" t="n">
        <v>5</v>
      </c>
      <c r="I776" s="49"/>
      <c r="J776" s="50" t="s">
        <v>4641</v>
      </c>
      <c r="K776" s="25" t="s">
        <v>4642</v>
      </c>
      <c r="L776" s="49" t="s">
        <v>4643</v>
      </c>
      <c r="M776" s="25" t="s">
        <v>4625</v>
      </c>
      <c r="N776" s="49" t="s">
        <v>4626</v>
      </c>
      <c r="O776" s="25" t="s">
        <v>3698</v>
      </c>
      <c r="P776" s="49" t="s">
        <v>3699</v>
      </c>
      <c r="Q776" s="49"/>
      <c r="R776" s="50" t="s">
        <v>48</v>
      </c>
      <c r="S776" s="52" t="s">
        <v>67</v>
      </c>
    </row>
    <row r="777" customFormat="false" ht="15" hidden="false" customHeight="true" outlineLevel="0" collapsed="false">
      <c r="A777" s="46" t="n">
        <v>788</v>
      </c>
      <c r="B777" s="24" t="s">
        <v>4620</v>
      </c>
      <c r="C777" s="47"/>
      <c r="D777" s="47" t="s">
        <v>2137</v>
      </c>
      <c r="E777" s="46" t="s">
        <v>16</v>
      </c>
      <c r="F777" s="46" t="s">
        <v>2104</v>
      </c>
      <c r="G777" s="24" t="s">
        <v>4644</v>
      </c>
      <c r="H777" s="48" t="n">
        <v>5</v>
      </c>
      <c r="I777" s="46"/>
      <c r="J777" s="47" t="s">
        <v>1816</v>
      </c>
      <c r="K777" s="24" t="s">
        <v>4645</v>
      </c>
      <c r="L777" s="46" t="s">
        <v>4646</v>
      </c>
      <c r="M777" s="24" t="s">
        <v>4625</v>
      </c>
      <c r="N777" s="46" t="s">
        <v>4626</v>
      </c>
      <c r="O777" s="24" t="s">
        <v>3698</v>
      </c>
      <c r="P777" s="46" t="s">
        <v>3699</v>
      </c>
      <c r="Q777" s="46"/>
      <c r="R777" s="47" t="s">
        <v>48</v>
      </c>
      <c r="S777" s="52" t="s">
        <v>67</v>
      </c>
    </row>
    <row r="778" customFormat="false" ht="15" hidden="false" customHeight="true" outlineLevel="0" collapsed="false">
      <c r="A778" s="49" t="n">
        <v>789</v>
      </c>
      <c r="B778" s="25" t="s">
        <v>4620</v>
      </c>
      <c r="C778" s="50"/>
      <c r="D778" s="50" t="s">
        <v>2137</v>
      </c>
      <c r="E778" s="49" t="s">
        <v>16</v>
      </c>
      <c r="F778" s="49" t="s">
        <v>2104</v>
      </c>
      <c r="G778" s="25" t="s">
        <v>4647</v>
      </c>
      <c r="H778" s="51" t="n">
        <v>5</v>
      </c>
      <c r="I778" s="49"/>
      <c r="J778" s="50" t="s">
        <v>4648</v>
      </c>
      <c r="K778" s="25" t="s">
        <v>3614</v>
      </c>
      <c r="L778" s="49" t="s">
        <v>4649</v>
      </c>
      <c r="M778" s="25" t="s">
        <v>4625</v>
      </c>
      <c r="N778" s="49" t="s">
        <v>4626</v>
      </c>
      <c r="O778" s="25" t="s">
        <v>3698</v>
      </c>
      <c r="P778" s="49" t="s">
        <v>3699</v>
      </c>
      <c r="Q778" s="49"/>
      <c r="R778" s="50" t="s">
        <v>48</v>
      </c>
      <c r="S778" s="52" t="s">
        <v>67</v>
      </c>
    </row>
    <row r="779" customFormat="false" ht="15" hidden="false" customHeight="true" outlineLevel="0" collapsed="false">
      <c r="A779" s="46" t="n">
        <v>790</v>
      </c>
      <c r="B779" s="24" t="s">
        <v>4620</v>
      </c>
      <c r="C779" s="47"/>
      <c r="D779" s="47" t="s">
        <v>2137</v>
      </c>
      <c r="E779" s="46" t="s">
        <v>16</v>
      </c>
      <c r="F779" s="46" t="s">
        <v>2104</v>
      </c>
      <c r="G779" s="24" t="s">
        <v>4650</v>
      </c>
      <c r="H779" s="48" t="n">
        <v>5</v>
      </c>
      <c r="I779" s="46"/>
      <c r="J779" s="47" t="s">
        <v>1820</v>
      </c>
      <c r="K779" s="24" t="s">
        <v>4651</v>
      </c>
      <c r="L779" s="46" t="s">
        <v>4652</v>
      </c>
      <c r="M779" s="24" t="s">
        <v>4625</v>
      </c>
      <c r="N779" s="46" t="s">
        <v>4626</v>
      </c>
      <c r="O779" s="24" t="s">
        <v>3698</v>
      </c>
      <c r="P779" s="46" t="s">
        <v>3699</v>
      </c>
      <c r="Q779" s="46"/>
      <c r="R779" s="47" t="s">
        <v>48</v>
      </c>
      <c r="S779" s="52" t="s">
        <v>67</v>
      </c>
    </row>
    <row r="780" customFormat="false" ht="15" hidden="false" customHeight="true" outlineLevel="0" collapsed="false">
      <c r="A780" s="49" t="n">
        <v>791</v>
      </c>
      <c r="B780" s="25" t="s">
        <v>2137</v>
      </c>
      <c r="C780" s="50"/>
      <c r="D780" s="50" t="s">
        <v>2137</v>
      </c>
      <c r="E780" s="49" t="s">
        <v>16</v>
      </c>
      <c r="F780" s="49" t="s">
        <v>2104</v>
      </c>
      <c r="G780" s="25" t="s">
        <v>4653</v>
      </c>
      <c r="H780" s="51" t="n">
        <v>5</v>
      </c>
      <c r="I780" s="49"/>
      <c r="J780" s="50" t="s">
        <v>1823</v>
      </c>
      <c r="K780" s="25" t="s">
        <v>3812</v>
      </c>
      <c r="L780" s="49" t="s">
        <v>4654</v>
      </c>
      <c r="M780" s="25" t="s">
        <v>4625</v>
      </c>
      <c r="N780" s="49" t="s">
        <v>4626</v>
      </c>
      <c r="O780" s="25" t="s">
        <v>3698</v>
      </c>
      <c r="P780" s="49" t="s">
        <v>3699</v>
      </c>
      <c r="Q780" s="49"/>
      <c r="R780" s="50" t="s">
        <v>48</v>
      </c>
      <c r="S780" s="52" t="s">
        <v>67</v>
      </c>
    </row>
    <row r="781" customFormat="false" ht="15" hidden="false" customHeight="true" outlineLevel="0" collapsed="false">
      <c r="A781" s="46" t="n">
        <v>792</v>
      </c>
      <c r="B781" s="24" t="s">
        <v>2137</v>
      </c>
      <c r="C781" s="47"/>
      <c r="D781" s="47" t="s">
        <v>2137</v>
      </c>
      <c r="E781" s="46" t="s">
        <v>16</v>
      </c>
      <c r="F781" s="46" t="s">
        <v>2104</v>
      </c>
      <c r="G781" s="24" t="s">
        <v>4655</v>
      </c>
      <c r="H781" s="48" t="n">
        <v>5</v>
      </c>
      <c r="I781" s="46"/>
      <c r="J781" s="47" t="s">
        <v>1825</v>
      </c>
      <c r="K781" s="24" t="s">
        <v>4656</v>
      </c>
      <c r="L781" s="46" t="s">
        <v>4657</v>
      </c>
      <c r="M781" s="24" t="s">
        <v>4625</v>
      </c>
      <c r="N781" s="46" t="s">
        <v>4626</v>
      </c>
      <c r="O781" s="24" t="s">
        <v>3698</v>
      </c>
      <c r="P781" s="46" t="s">
        <v>3699</v>
      </c>
      <c r="Q781" s="46"/>
      <c r="R781" s="47" t="s">
        <v>48</v>
      </c>
      <c r="S781" s="52" t="s">
        <v>67</v>
      </c>
    </row>
    <row r="782" customFormat="false" ht="15" hidden="false" customHeight="true" outlineLevel="0" collapsed="false">
      <c r="A782" s="49" t="n">
        <v>793</v>
      </c>
      <c r="B782" s="25" t="s">
        <v>2137</v>
      </c>
      <c r="C782" s="50"/>
      <c r="D782" s="50" t="s">
        <v>2137</v>
      </c>
      <c r="E782" s="49" t="s">
        <v>16</v>
      </c>
      <c r="F782" s="49" t="s">
        <v>2104</v>
      </c>
      <c r="G782" s="25" t="s">
        <v>4658</v>
      </c>
      <c r="H782" s="51" t="n">
        <v>5</v>
      </c>
      <c r="I782" s="49"/>
      <c r="J782" s="50" t="s">
        <v>1827</v>
      </c>
      <c r="K782" s="25" t="s">
        <v>4659</v>
      </c>
      <c r="L782" s="49" t="s">
        <v>4660</v>
      </c>
      <c r="M782" s="25" t="s">
        <v>4625</v>
      </c>
      <c r="N782" s="49" t="s">
        <v>4626</v>
      </c>
      <c r="O782" s="25" t="s">
        <v>3698</v>
      </c>
      <c r="P782" s="49" t="s">
        <v>3699</v>
      </c>
      <c r="Q782" s="49"/>
      <c r="R782" s="50" t="s">
        <v>48</v>
      </c>
      <c r="S782" s="52" t="s">
        <v>67</v>
      </c>
    </row>
    <row r="783" customFormat="false" ht="15" hidden="false" customHeight="true" outlineLevel="0" collapsed="false">
      <c r="A783" s="46" t="n">
        <v>794</v>
      </c>
      <c r="B783" s="24" t="s">
        <v>2137</v>
      </c>
      <c r="C783" s="47"/>
      <c r="D783" s="47" t="s">
        <v>2137</v>
      </c>
      <c r="E783" s="46" t="s">
        <v>16</v>
      </c>
      <c r="F783" s="46" t="s">
        <v>2104</v>
      </c>
      <c r="G783" s="24" t="s">
        <v>4661</v>
      </c>
      <c r="H783" s="48" t="n">
        <v>5</v>
      </c>
      <c r="I783" s="46"/>
      <c r="J783" s="47" t="s">
        <v>1829</v>
      </c>
      <c r="K783" s="24" t="s">
        <v>4662</v>
      </c>
      <c r="L783" s="46" t="s">
        <v>4663</v>
      </c>
      <c r="M783" s="24" t="s">
        <v>4625</v>
      </c>
      <c r="N783" s="46" t="s">
        <v>4626</v>
      </c>
      <c r="O783" s="24" t="s">
        <v>3698</v>
      </c>
      <c r="P783" s="46" t="s">
        <v>3699</v>
      </c>
      <c r="Q783" s="46"/>
      <c r="R783" s="47" t="s">
        <v>48</v>
      </c>
      <c r="S783" s="52" t="s">
        <v>67</v>
      </c>
    </row>
    <row r="784" customFormat="false" ht="15" hidden="false" customHeight="true" outlineLevel="0" collapsed="false">
      <c r="A784" s="49" t="n">
        <v>795</v>
      </c>
      <c r="B784" s="25" t="s">
        <v>2137</v>
      </c>
      <c r="C784" s="50"/>
      <c r="D784" s="50" t="s">
        <v>2137</v>
      </c>
      <c r="E784" s="49" t="s">
        <v>16</v>
      </c>
      <c r="F784" s="49" t="s">
        <v>2104</v>
      </c>
      <c r="G784" s="25" t="s">
        <v>4664</v>
      </c>
      <c r="H784" s="51" t="n">
        <v>5</v>
      </c>
      <c r="I784" s="49"/>
      <c r="J784" s="50" t="s">
        <v>4665</v>
      </c>
      <c r="K784" s="25" t="s">
        <v>4666</v>
      </c>
      <c r="L784" s="49" t="s">
        <v>4667</v>
      </c>
      <c r="M784" s="25" t="s">
        <v>4625</v>
      </c>
      <c r="N784" s="49" t="s">
        <v>4626</v>
      </c>
      <c r="O784" s="25" t="s">
        <v>3698</v>
      </c>
      <c r="P784" s="49" t="s">
        <v>3699</v>
      </c>
      <c r="Q784" s="49"/>
      <c r="R784" s="50" t="s">
        <v>48</v>
      </c>
      <c r="S784" s="52" t="s">
        <v>67</v>
      </c>
    </row>
    <row r="785" customFormat="false" ht="15" hidden="false" customHeight="true" outlineLevel="0" collapsed="false">
      <c r="A785" s="46" t="n">
        <v>796</v>
      </c>
      <c r="B785" s="24" t="s">
        <v>2137</v>
      </c>
      <c r="C785" s="47"/>
      <c r="D785" s="47" t="s">
        <v>2137</v>
      </c>
      <c r="E785" s="46" t="s">
        <v>16</v>
      </c>
      <c r="F785" s="46" t="s">
        <v>2104</v>
      </c>
      <c r="G785" s="24" t="s">
        <v>4668</v>
      </c>
      <c r="H785" s="48" t="n">
        <v>5</v>
      </c>
      <c r="I785" s="46"/>
      <c r="J785" s="47" t="s">
        <v>1833</v>
      </c>
      <c r="K785" s="24" t="s">
        <v>3992</v>
      </c>
      <c r="L785" s="46" t="s">
        <v>4669</v>
      </c>
      <c r="M785" s="24" t="s">
        <v>4625</v>
      </c>
      <c r="N785" s="46" t="s">
        <v>4626</v>
      </c>
      <c r="O785" s="24" t="s">
        <v>3698</v>
      </c>
      <c r="P785" s="46" t="s">
        <v>3699</v>
      </c>
      <c r="Q785" s="46"/>
      <c r="R785" s="47" t="s">
        <v>48</v>
      </c>
      <c r="S785" s="52" t="s">
        <v>67</v>
      </c>
    </row>
    <row r="786" customFormat="false" ht="15" hidden="false" customHeight="true" outlineLevel="0" collapsed="false">
      <c r="A786" s="49" t="n">
        <v>797</v>
      </c>
      <c r="B786" s="25" t="s">
        <v>2137</v>
      </c>
      <c r="C786" s="50"/>
      <c r="D786" s="50" t="s">
        <v>2137</v>
      </c>
      <c r="E786" s="49" t="s">
        <v>16</v>
      </c>
      <c r="F786" s="49" t="s">
        <v>2104</v>
      </c>
      <c r="G786" s="25" t="s">
        <v>4670</v>
      </c>
      <c r="H786" s="51" t="n">
        <v>5</v>
      </c>
      <c r="I786" s="49"/>
      <c r="J786" s="50" t="s">
        <v>1835</v>
      </c>
      <c r="K786" s="25" t="s">
        <v>4671</v>
      </c>
      <c r="L786" s="49" t="s">
        <v>4672</v>
      </c>
      <c r="M786" s="25" t="s">
        <v>4625</v>
      </c>
      <c r="N786" s="49" t="s">
        <v>4626</v>
      </c>
      <c r="O786" s="25" t="s">
        <v>3698</v>
      </c>
      <c r="P786" s="49" t="s">
        <v>3699</v>
      </c>
      <c r="Q786" s="49"/>
      <c r="R786" s="50" t="s">
        <v>48</v>
      </c>
      <c r="S786" s="52" t="s">
        <v>67</v>
      </c>
    </row>
    <row r="787" customFormat="false" ht="15" hidden="false" customHeight="true" outlineLevel="0" collapsed="false">
      <c r="A787" s="46" t="n">
        <v>798</v>
      </c>
      <c r="B787" s="24" t="s">
        <v>2137</v>
      </c>
      <c r="C787" s="47"/>
      <c r="D787" s="47" t="s">
        <v>2137</v>
      </c>
      <c r="E787" s="46" t="s">
        <v>16</v>
      </c>
      <c r="F787" s="46" t="s">
        <v>2104</v>
      </c>
      <c r="G787" s="24" t="s">
        <v>4673</v>
      </c>
      <c r="H787" s="48" t="n">
        <v>5</v>
      </c>
      <c r="I787" s="46"/>
      <c r="J787" s="47" t="s">
        <v>1837</v>
      </c>
      <c r="K787" s="24" t="s">
        <v>3924</v>
      </c>
      <c r="L787" s="46" t="s">
        <v>4674</v>
      </c>
      <c r="M787" s="24" t="s">
        <v>4625</v>
      </c>
      <c r="N787" s="46" t="s">
        <v>4626</v>
      </c>
      <c r="O787" s="24" t="s">
        <v>3698</v>
      </c>
      <c r="P787" s="46" t="s">
        <v>3699</v>
      </c>
      <c r="Q787" s="46"/>
      <c r="R787" s="47" t="s">
        <v>48</v>
      </c>
      <c r="S787" s="52" t="s">
        <v>67</v>
      </c>
    </row>
    <row r="788" customFormat="false" ht="15" hidden="false" customHeight="true" outlineLevel="0" collapsed="false">
      <c r="A788" s="49" t="n">
        <v>799</v>
      </c>
      <c r="B788" s="25" t="s">
        <v>2137</v>
      </c>
      <c r="C788" s="50"/>
      <c r="D788" s="50" t="s">
        <v>2137</v>
      </c>
      <c r="E788" s="49" t="s">
        <v>16</v>
      </c>
      <c r="F788" s="49" t="s">
        <v>2104</v>
      </c>
      <c r="G788" s="25" t="s">
        <v>4675</v>
      </c>
      <c r="H788" s="51" t="n">
        <v>5</v>
      </c>
      <c r="I788" s="49"/>
      <c r="J788" s="50" t="s">
        <v>4676</v>
      </c>
      <c r="K788" s="25" t="s">
        <v>4677</v>
      </c>
      <c r="L788" s="49" t="s">
        <v>4678</v>
      </c>
      <c r="M788" s="25" t="s">
        <v>4625</v>
      </c>
      <c r="N788" s="49" t="s">
        <v>4626</v>
      </c>
      <c r="O788" s="25" t="s">
        <v>3698</v>
      </c>
      <c r="P788" s="49" t="s">
        <v>3699</v>
      </c>
      <c r="Q788" s="49"/>
      <c r="R788" s="50" t="s">
        <v>48</v>
      </c>
      <c r="S788" s="52" t="s">
        <v>67</v>
      </c>
    </row>
    <row r="789" customFormat="false" ht="15" hidden="false" customHeight="true" outlineLevel="0" collapsed="false">
      <c r="A789" s="46" t="n">
        <v>800</v>
      </c>
      <c r="B789" s="24" t="s">
        <v>4679</v>
      </c>
      <c r="C789" s="47"/>
      <c r="D789" s="47" t="s">
        <v>4680</v>
      </c>
      <c r="E789" s="46" t="s">
        <v>16</v>
      </c>
      <c r="F789" s="46" t="s">
        <v>2104</v>
      </c>
      <c r="G789" s="24" t="s">
        <v>4681</v>
      </c>
      <c r="H789" s="48" t="n">
        <v>5</v>
      </c>
      <c r="I789" s="46"/>
      <c r="J789" s="47" t="s">
        <v>1842</v>
      </c>
      <c r="K789" s="24" t="s">
        <v>4682</v>
      </c>
      <c r="L789" s="46" t="s">
        <v>4683</v>
      </c>
      <c r="M789" s="24" t="s">
        <v>4625</v>
      </c>
      <c r="N789" s="46" t="s">
        <v>4626</v>
      </c>
      <c r="O789" s="24" t="s">
        <v>3698</v>
      </c>
      <c r="P789" s="46" t="s">
        <v>3699</v>
      </c>
      <c r="Q789" s="46"/>
      <c r="R789" s="47" t="s">
        <v>48</v>
      </c>
      <c r="S789" s="52" t="s">
        <v>67</v>
      </c>
    </row>
    <row r="790" customFormat="false" ht="15" hidden="false" customHeight="true" outlineLevel="0" collapsed="false">
      <c r="A790" s="49" t="n">
        <v>801</v>
      </c>
      <c r="B790" s="25" t="s">
        <v>4684</v>
      </c>
      <c r="C790" s="50"/>
      <c r="D790" s="50" t="s">
        <v>4680</v>
      </c>
      <c r="E790" s="49" t="s">
        <v>16</v>
      </c>
      <c r="F790" s="49" t="s">
        <v>2104</v>
      </c>
      <c r="G790" s="25" t="s">
        <v>4685</v>
      </c>
      <c r="H790" s="51" t="n">
        <v>5</v>
      </c>
      <c r="I790" s="49"/>
      <c r="J790" s="50" t="s">
        <v>4686</v>
      </c>
      <c r="K790" s="25" t="s">
        <v>4687</v>
      </c>
      <c r="L790" s="49" t="s">
        <v>4688</v>
      </c>
      <c r="M790" s="25" t="s">
        <v>4625</v>
      </c>
      <c r="N790" s="49" t="s">
        <v>4626</v>
      </c>
      <c r="O790" s="25" t="s">
        <v>3698</v>
      </c>
      <c r="P790" s="49" t="s">
        <v>3699</v>
      </c>
      <c r="Q790" s="49"/>
      <c r="R790" s="50" t="s">
        <v>48</v>
      </c>
      <c r="S790" s="52" t="s">
        <v>67</v>
      </c>
    </row>
    <row r="791" customFormat="false" ht="15" hidden="false" customHeight="true" outlineLevel="0" collapsed="false">
      <c r="A791" s="46" t="n">
        <v>802</v>
      </c>
      <c r="B791" s="24" t="s">
        <v>4684</v>
      </c>
      <c r="C791" s="47"/>
      <c r="D791" s="47" t="s">
        <v>4680</v>
      </c>
      <c r="E791" s="46" t="s">
        <v>16</v>
      </c>
      <c r="F791" s="46" t="s">
        <v>2104</v>
      </c>
      <c r="G791" s="24" t="s">
        <v>4689</v>
      </c>
      <c r="H791" s="48" t="n">
        <v>5</v>
      </c>
      <c r="I791" s="46"/>
      <c r="J791" s="47" t="s">
        <v>4690</v>
      </c>
      <c r="K791" s="24" t="s">
        <v>4691</v>
      </c>
      <c r="L791" s="46" t="s">
        <v>4692</v>
      </c>
      <c r="M791" s="24" t="s">
        <v>4693</v>
      </c>
      <c r="N791" s="46" t="s">
        <v>4694</v>
      </c>
      <c r="O791" s="24" t="s">
        <v>3698</v>
      </c>
      <c r="P791" s="46" t="s">
        <v>3699</v>
      </c>
      <c r="Q791" s="46"/>
      <c r="R791" s="47" t="s">
        <v>48</v>
      </c>
      <c r="S791" s="52" t="s">
        <v>67</v>
      </c>
    </row>
    <row r="792" customFormat="false" ht="15" hidden="false" customHeight="true" outlineLevel="0" collapsed="false">
      <c r="A792" s="49" t="n">
        <v>803</v>
      </c>
      <c r="B792" s="25" t="s">
        <v>4684</v>
      </c>
      <c r="C792" s="50"/>
      <c r="D792" s="50" t="s">
        <v>4680</v>
      </c>
      <c r="E792" s="49" t="s">
        <v>16</v>
      </c>
      <c r="F792" s="49" t="s">
        <v>2104</v>
      </c>
      <c r="G792" s="25" t="s">
        <v>4695</v>
      </c>
      <c r="H792" s="51" t="n">
        <v>5</v>
      </c>
      <c r="I792" s="49"/>
      <c r="J792" s="50" t="s">
        <v>1850</v>
      </c>
      <c r="K792" s="25" t="s">
        <v>4696</v>
      </c>
      <c r="L792" s="49" t="s">
        <v>4697</v>
      </c>
      <c r="M792" s="25" t="s">
        <v>4693</v>
      </c>
      <c r="N792" s="49" t="s">
        <v>4694</v>
      </c>
      <c r="O792" s="25" t="s">
        <v>3698</v>
      </c>
      <c r="P792" s="49" t="s">
        <v>3699</v>
      </c>
      <c r="Q792" s="49"/>
      <c r="R792" s="50" t="s">
        <v>48</v>
      </c>
      <c r="S792" s="52" t="s">
        <v>67</v>
      </c>
    </row>
    <row r="793" customFormat="false" ht="15" hidden="false" customHeight="true" outlineLevel="0" collapsed="false">
      <c r="A793" s="46" t="n">
        <v>804</v>
      </c>
      <c r="B793" s="24" t="s">
        <v>4684</v>
      </c>
      <c r="C793" s="47"/>
      <c r="D793" s="47" t="s">
        <v>4680</v>
      </c>
      <c r="E793" s="46" t="s">
        <v>16</v>
      </c>
      <c r="F793" s="46" t="s">
        <v>2104</v>
      </c>
      <c r="G793" s="24" t="s">
        <v>4698</v>
      </c>
      <c r="H793" s="48" t="n">
        <v>5</v>
      </c>
      <c r="I793" s="46"/>
      <c r="J793" s="47" t="s">
        <v>1852</v>
      </c>
      <c r="K793" s="24" t="s">
        <v>4699</v>
      </c>
      <c r="L793" s="46" t="s">
        <v>4700</v>
      </c>
      <c r="M793" s="24" t="s">
        <v>4693</v>
      </c>
      <c r="N793" s="46" t="s">
        <v>4694</v>
      </c>
      <c r="O793" s="24" t="s">
        <v>3698</v>
      </c>
      <c r="P793" s="46" t="s">
        <v>3699</v>
      </c>
      <c r="Q793" s="46"/>
      <c r="R793" s="47" t="s">
        <v>48</v>
      </c>
      <c r="S793" s="52" t="s">
        <v>67</v>
      </c>
    </row>
    <row r="794" customFormat="false" ht="15" hidden="false" customHeight="true" outlineLevel="0" collapsed="false">
      <c r="A794" s="49" t="n">
        <v>805</v>
      </c>
      <c r="B794" s="25" t="s">
        <v>4684</v>
      </c>
      <c r="C794" s="50"/>
      <c r="D794" s="50" t="s">
        <v>4680</v>
      </c>
      <c r="E794" s="49" t="s">
        <v>16</v>
      </c>
      <c r="F794" s="49" t="s">
        <v>2104</v>
      </c>
      <c r="G794" s="25" t="s">
        <v>4701</v>
      </c>
      <c r="H794" s="51" t="n">
        <v>5</v>
      </c>
      <c r="I794" s="49"/>
      <c r="J794" s="50" t="s">
        <v>1854</v>
      </c>
      <c r="K794" s="25" t="s">
        <v>4702</v>
      </c>
      <c r="L794" s="49" t="s">
        <v>4703</v>
      </c>
      <c r="M794" s="25" t="s">
        <v>4693</v>
      </c>
      <c r="N794" s="49" t="s">
        <v>4694</v>
      </c>
      <c r="O794" s="25" t="s">
        <v>3698</v>
      </c>
      <c r="P794" s="49" t="s">
        <v>3699</v>
      </c>
      <c r="Q794" s="49"/>
      <c r="R794" s="50" t="s">
        <v>48</v>
      </c>
      <c r="S794" s="52" t="s">
        <v>67</v>
      </c>
    </row>
    <row r="795" customFormat="false" ht="15" hidden="false" customHeight="true" outlineLevel="0" collapsed="false">
      <c r="A795" s="46" t="n">
        <v>806</v>
      </c>
      <c r="B795" s="24" t="s">
        <v>4704</v>
      </c>
      <c r="C795" s="47"/>
      <c r="D795" s="47" t="s">
        <v>4680</v>
      </c>
      <c r="E795" s="46" t="s">
        <v>16</v>
      </c>
      <c r="F795" s="46" t="s">
        <v>2104</v>
      </c>
      <c r="G795" s="24" t="s">
        <v>4705</v>
      </c>
      <c r="H795" s="48" t="n">
        <v>5</v>
      </c>
      <c r="I795" s="46"/>
      <c r="J795" s="47" t="s">
        <v>1857</v>
      </c>
      <c r="K795" s="24" t="s">
        <v>3522</v>
      </c>
      <c r="L795" s="46" t="s">
        <v>4706</v>
      </c>
      <c r="M795" s="24" t="s">
        <v>4693</v>
      </c>
      <c r="N795" s="46" t="s">
        <v>4694</v>
      </c>
      <c r="O795" s="24" t="s">
        <v>3698</v>
      </c>
      <c r="P795" s="46" t="s">
        <v>3699</v>
      </c>
      <c r="Q795" s="46"/>
      <c r="R795" s="47" t="s">
        <v>48</v>
      </c>
      <c r="S795" s="52" t="s">
        <v>67</v>
      </c>
    </row>
    <row r="796" customFormat="false" ht="15" hidden="false" customHeight="true" outlineLevel="0" collapsed="false">
      <c r="A796" s="49" t="n">
        <v>807</v>
      </c>
      <c r="B796" s="25" t="s">
        <v>4704</v>
      </c>
      <c r="C796" s="50"/>
      <c r="D796" s="50" t="s">
        <v>4680</v>
      </c>
      <c r="E796" s="49" t="s">
        <v>16</v>
      </c>
      <c r="F796" s="49" t="s">
        <v>2104</v>
      </c>
      <c r="G796" s="25" t="s">
        <v>4707</v>
      </c>
      <c r="H796" s="51" t="n">
        <v>5</v>
      </c>
      <c r="I796" s="49"/>
      <c r="J796" s="50" t="s">
        <v>1859</v>
      </c>
      <c r="K796" s="25" t="s">
        <v>3882</v>
      </c>
      <c r="L796" s="49" t="s">
        <v>4708</v>
      </c>
      <c r="M796" s="25" t="s">
        <v>4693</v>
      </c>
      <c r="N796" s="49" t="s">
        <v>4694</v>
      </c>
      <c r="O796" s="25" t="s">
        <v>3698</v>
      </c>
      <c r="P796" s="49" t="s">
        <v>3699</v>
      </c>
      <c r="Q796" s="49"/>
      <c r="R796" s="50" t="s">
        <v>48</v>
      </c>
      <c r="S796" s="52" t="s">
        <v>67</v>
      </c>
    </row>
    <row r="797" customFormat="false" ht="15" hidden="false" customHeight="true" outlineLevel="0" collapsed="false">
      <c r="A797" s="46" t="n">
        <v>808</v>
      </c>
      <c r="B797" s="24" t="s">
        <v>4704</v>
      </c>
      <c r="C797" s="47"/>
      <c r="D797" s="47" t="s">
        <v>4680</v>
      </c>
      <c r="E797" s="46" t="s">
        <v>16</v>
      </c>
      <c r="F797" s="46" t="s">
        <v>2104</v>
      </c>
      <c r="G797" s="24" t="s">
        <v>4709</v>
      </c>
      <c r="H797" s="48" t="n">
        <v>5</v>
      </c>
      <c r="I797" s="46"/>
      <c r="J797" s="47" t="s">
        <v>1861</v>
      </c>
      <c r="K797" s="24" t="s">
        <v>4710</v>
      </c>
      <c r="L797" s="46" t="s">
        <v>4711</v>
      </c>
      <c r="M797" s="24" t="s">
        <v>4693</v>
      </c>
      <c r="N797" s="46" t="s">
        <v>4694</v>
      </c>
      <c r="O797" s="24" t="s">
        <v>3698</v>
      </c>
      <c r="P797" s="46" t="s">
        <v>3699</v>
      </c>
      <c r="Q797" s="46"/>
      <c r="R797" s="47" t="s">
        <v>48</v>
      </c>
      <c r="S797" s="52" t="s">
        <v>67</v>
      </c>
    </row>
    <row r="798" customFormat="false" ht="15" hidden="false" customHeight="true" outlineLevel="0" collapsed="false">
      <c r="A798" s="49" t="n">
        <v>809</v>
      </c>
      <c r="B798" s="25" t="s">
        <v>4704</v>
      </c>
      <c r="C798" s="50"/>
      <c r="D798" s="50" t="s">
        <v>4680</v>
      </c>
      <c r="E798" s="49" t="s">
        <v>16</v>
      </c>
      <c r="F798" s="49" t="s">
        <v>2104</v>
      </c>
      <c r="G798" s="25" t="s">
        <v>4712</v>
      </c>
      <c r="H798" s="51" t="n">
        <v>5</v>
      </c>
      <c r="I798" s="49"/>
      <c r="J798" s="50" t="s">
        <v>1863</v>
      </c>
      <c r="K798" s="25" t="s">
        <v>4713</v>
      </c>
      <c r="L798" s="49" t="s">
        <v>4714</v>
      </c>
      <c r="M798" s="25" t="s">
        <v>4693</v>
      </c>
      <c r="N798" s="49" t="s">
        <v>4694</v>
      </c>
      <c r="O798" s="25" t="s">
        <v>3698</v>
      </c>
      <c r="P798" s="49" t="s">
        <v>3699</v>
      </c>
      <c r="Q798" s="49"/>
      <c r="R798" s="50" t="s">
        <v>48</v>
      </c>
      <c r="S798" s="52" t="s">
        <v>67</v>
      </c>
    </row>
    <row r="799" customFormat="false" ht="15" hidden="false" customHeight="true" outlineLevel="0" collapsed="false">
      <c r="A799" s="46" t="n">
        <v>810</v>
      </c>
      <c r="B799" s="24" t="s">
        <v>4684</v>
      </c>
      <c r="C799" s="47"/>
      <c r="D799" s="47" t="s">
        <v>4680</v>
      </c>
      <c r="E799" s="46" t="s">
        <v>16</v>
      </c>
      <c r="F799" s="46" t="s">
        <v>2104</v>
      </c>
      <c r="G799" s="24" t="s">
        <v>4715</v>
      </c>
      <c r="H799" s="48" t="n">
        <v>5</v>
      </c>
      <c r="I799" s="46"/>
      <c r="J799" s="47" t="s">
        <v>1865</v>
      </c>
      <c r="K799" s="24" t="s">
        <v>4716</v>
      </c>
      <c r="L799" s="46" t="s">
        <v>4717</v>
      </c>
      <c r="M799" s="24" t="s">
        <v>4693</v>
      </c>
      <c r="N799" s="46" t="s">
        <v>4694</v>
      </c>
      <c r="O799" s="24" t="s">
        <v>3698</v>
      </c>
      <c r="P799" s="46" t="s">
        <v>3699</v>
      </c>
      <c r="Q799" s="46"/>
      <c r="R799" s="47" t="s">
        <v>48</v>
      </c>
      <c r="S799" s="52" t="s">
        <v>67</v>
      </c>
    </row>
    <row r="800" customFormat="false" ht="15" hidden="false" customHeight="true" outlineLevel="0" collapsed="false">
      <c r="A800" s="49" t="n">
        <v>811</v>
      </c>
      <c r="B800" s="25" t="s">
        <v>4684</v>
      </c>
      <c r="C800" s="50"/>
      <c r="D800" s="50" t="s">
        <v>4680</v>
      </c>
      <c r="E800" s="49" t="s">
        <v>16</v>
      </c>
      <c r="F800" s="49" t="s">
        <v>2104</v>
      </c>
      <c r="G800" s="25" t="s">
        <v>4718</v>
      </c>
      <c r="H800" s="51" t="n">
        <v>5</v>
      </c>
      <c r="I800" s="49"/>
      <c r="J800" s="50" t="s">
        <v>1867</v>
      </c>
      <c r="K800" s="25" t="s">
        <v>4719</v>
      </c>
      <c r="L800" s="49" t="s">
        <v>4720</v>
      </c>
      <c r="M800" s="25" t="s">
        <v>4693</v>
      </c>
      <c r="N800" s="49" t="s">
        <v>4694</v>
      </c>
      <c r="O800" s="25" t="s">
        <v>3698</v>
      </c>
      <c r="P800" s="49" t="s">
        <v>3699</v>
      </c>
      <c r="Q800" s="49"/>
      <c r="R800" s="50" t="s">
        <v>48</v>
      </c>
      <c r="S800" s="52" t="s">
        <v>67</v>
      </c>
    </row>
    <row r="801" customFormat="false" ht="15" hidden="false" customHeight="true" outlineLevel="0" collapsed="false">
      <c r="A801" s="46" t="n">
        <v>812</v>
      </c>
      <c r="B801" s="24" t="s">
        <v>4684</v>
      </c>
      <c r="C801" s="47"/>
      <c r="D801" s="47" t="s">
        <v>4680</v>
      </c>
      <c r="E801" s="46" t="s">
        <v>16</v>
      </c>
      <c r="F801" s="46" t="s">
        <v>2104</v>
      </c>
      <c r="G801" s="24" t="s">
        <v>4721</v>
      </c>
      <c r="H801" s="48" t="n">
        <v>5</v>
      </c>
      <c r="I801" s="46"/>
      <c r="J801" s="47" t="s">
        <v>1869</v>
      </c>
      <c r="K801" s="24" t="s">
        <v>4722</v>
      </c>
      <c r="L801" s="46" t="s">
        <v>4723</v>
      </c>
      <c r="M801" s="24" t="s">
        <v>4693</v>
      </c>
      <c r="N801" s="46" t="s">
        <v>4694</v>
      </c>
      <c r="O801" s="24" t="s">
        <v>3698</v>
      </c>
      <c r="P801" s="46" t="s">
        <v>3699</v>
      </c>
      <c r="Q801" s="46"/>
      <c r="R801" s="47" t="s">
        <v>48</v>
      </c>
      <c r="S801" s="52" t="s">
        <v>67</v>
      </c>
    </row>
    <row r="802" customFormat="false" ht="15" hidden="false" customHeight="true" outlineLevel="0" collapsed="false">
      <c r="A802" s="49" t="n">
        <v>813</v>
      </c>
      <c r="B802" s="25" t="s">
        <v>4684</v>
      </c>
      <c r="C802" s="50"/>
      <c r="D802" s="50" t="s">
        <v>4680</v>
      </c>
      <c r="E802" s="49" t="s">
        <v>16</v>
      </c>
      <c r="F802" s="49" t="s">
        <v>2104</v>
      </c>
      <c r="G802" s="25" t="s">
        <v>4724</v>
      </c>
      <c r="H802" s="51" t="n">
        <v>5</v>
      </c>
      <c r="I802" s="49"/>
      <c r="J802" s="50" t="s">
        <v>1871</v>
      </c>
      <c r="K802" s="25" t="s">
        <v>4725</v>
      </c>
      <c r="L802" s="49" t="s">
        <v>4726</v>
      </c>
      <c r="M802" s="25" t="s">
        <v>4693</v>
      </c>
      <c r="N802" s="49" t="s">
        <v>4694</v>
      </c>
      <c r="O802" s="25" t="s">
        <v>3698</v>
      </c>
      <c r="P802" s="49" t="s">
        <v>3699</v>
      </c>
      <c r="Q802" s="49"/>
      <c r="R802" s="50" t="s">
        <v>48</v>
      </c>
      <c r="S802" s="52" t="s">
        <v>67</v>
      </c>
    </row>
    <row r="803" customFormat="false" ht="15" hidden="false" customHeight="true" outlineLevel="0" collapsed="false">
      <c r="A803" s="46" t="n">
        <v>814</v>
      </c>
      <c r="B803" s="24" t="s">
        <v>4684</v>
      </c>
      <c r="C803" s="47"/>
      <c r="D803" s="47" t="s">
        <v>4680</v>
      </c>
      <c r="E803" s="46" t="s">
        <v>16</v>
      </c>
      <c r="F803" s="46" t="s">
        <v>2104</v>
      </c>
      <c r="G803" s="24" t="s">
        <v>4727</v>
      </c>
      <c r="H803" s="48" t="n">
        <v>5</v>
      </c>
      <c r="I803" s="46"/>
      <c r="J803" s="47" t="s">
        <v>1873</v>
      </c>
      <c r="K803" s="24" t="s">
        <v>4728</v>
      </c>
      <c r="L803" s="46" t="s">
        <v>4729</v>
      </c>
      <c r="M803" s="24" t="s">
        <v>4693</v>
      </c>
      <c r="N803" s="46" t="s">
        <v>4694</v>
      </c>
      <c r="O803" s="24" t="s">
        <v>3698</v>
      </c>
      <c r="P803" s="46" t="s">
        <v>3699</v>
      </c>
      <c r="Q803" s="46"/>
      <c r="R803" s="47" t="s">
        <v>48</v>
      </c>
      <c r="S803" s="52" t="s">
        <v>67</v>
      </c>
    </row>
    <row r="804" customFormat="false" ht="15" hidden="false" customHeight="true" outlineLevel="0" collapsed="false">
      <c r="A804" s="49" t="n">
        <v>815</v>
      </c>
      <c r="B804" s="25" t="s">
        <v>4684</v>
      </c>
      <c r="C804" s="50"/>
      <c r="D804" s="50" t="s">
        <v>4680</v>
      </c>
      <c r="E804" s="49" t="s">
        <v>16</v>
      </c>
      <c r="F804" s="49" t="s">
        <v>2104</v>
      </c>
      <c r="G804" s="25" t="s">
        <v>4730</v>
      </c>
      <c r="H804" s="51" t="n">
        <v>5</v>
      </c>
      <c r="I804" s="49"/>
      <c r="J804" s="50" t="s">
        <v>1875</v>
      </c>
      <c r="K804" s="25" t="s">
        <v>4731</v>
      </c>
      <c r="L804" s="49" t="s">
        <v>4732</v>
      </c>
      <c r="M804" s="25" t="s">
        <v>4693</v>
      </c>
      <c r="N804" s="49" t="s">
        <v>4694</v>
      </c>
      <c r="O804" s="25" t="s">
        <v>3698</v>
      </c>
      <c r="P804" s="49" t="s">
        <v>3699</v>
      </c>
      <c r="Q804" s="49"/>
      <c r="R804" s="50" t="s">
        <v>48</v>
      </c>
      <c r="S804" s="52" t="s">
        <v>67</v>
      </c>
    </row>
    <row r="805" customFormat="false" ht="15" hidden="false" customHeight="true" outlineLevel="0" collapsed="false">
      <c r="A805" s="46" t="n">
        <v>816</v>
      </c>
      <c r="B805" s="24" t="s">
        <v>4684</v>
      </c>
      <c r="C805" s="47"/>
      <c r="D805" s="47" t="s">
        <v>4680</v>
      </c>
      <c r="E805" s="46" t="s">
        <v>16</v>
      </c>
      <c r="F805" s="46" t="s">
        <v>2104</v>
      </c>
      <c r="G805" s="24" t="s">
        <v>4733</v>
      </c>
      <c r="H805" s="48" t="n">
        <v>5</v>
      </c>
      <c r="I805" s="46"/>
      <c r="J805" s="47" t="s">
        <v>1877</v>
      </c>
      <c r="K805" s="24" t="s">
        <v>4161</v>
      </c>
      <c r="L805" s="46" t="s">
        <v>4734</v>
      </c>
      <c r="M805" s="24" t="s">
        <v>4693</v>
      </c>
      <c r="N805" s="46" t="s">
        <v>4694</v>
      </c>
      <c r="O805" s="24" t="s">
        <v>3698</v>
      </c>
      <c r="P805" s="46" t="s">
        <v>3699</v>
      </c>
      <c r="Q805" s="46"/>
      <c r="R805" s="47" t="s">
        <v>48</v>
      </c>
      <c r="S805" s="52" t="s">
        <v>67</v>
      </c>
    </row>
    <row r="806" customFormat="false" ht="15" hidden="false" customHeight="true" outlineLevel="0" collapsed="false">
      <c r="A806" s="49" t="n">
        <v>817</v>
      </c>
      <c r="B806" s="25" t="s">
        <v>4684</v>
      </c>
      <c r="C806" s="50"/>
      <c r="D806" s="50" t="s">
        <v>4680</v>
      </c>
      <c r="E806" s="49" t="s">
        <v>16</v>
      </c>
      <c r="F806" s="49" t="s">
        <v>2104</v>
      </c>
      <c r="G806" s="25" t="s">
        <v>4735</v>
      </c>
      <c r="H806" s="51" t="n">
        <v>5</v>
      </c>
      <c r="I806" s="49"/>
      <c r="J806" s="50" t="s">
        <v>1879</v>
      </c>
      <c r="K806" s="25" t="s">
        <v>4736</v>
      </c>
      <c r="L806" s="49" t="s">
        <v>4737</v>
      </c>
      <c r="M806" s="25" t="s">
        <v>4693</v>
      </c>
      <c r="N806" s="49" t="s">
        <v>4694</v>
      </c>
      <c r="O806" s="25" t="s">
        <v>3698</v>
      </c>
      <c r="P806" s="49" t="s">
        <v>3699</v>
      </c>
      <c r="Q806" s="49"/>
      <c r="R806" s="50" t="s">
        <v>48</v>
      </c>
      <c r="S806" s="52" t="s">
        <v>67</v>
      </c>
    </row>
    <row r="807" customFormat="false" ht="15" hidden="false" customHeight="true" outlineLevel="0" collapsed="false">
      <c r="A807" s="46" t="n">
        <v>818</v>
      </c>
      <c r="B807" s="24" t="s">
        <v>4684</v>
      </c>
      <c r="C807" s="47"/>
      <c r="D807" s="47" t="s">
        <v>4680</v>
      </c>
      <c r="E807" s="46" t="s">
        <v>16</v>
      </c>
      <c r="F807" s="46" t="s">
        <v>2104</v>
      </c>
      <c r="G807" s="24" t="s">
        <v>4738</v>
      </c>
      <c r="H807" s="48" t="n">
        <v>5</v>
      </c>
      <c r="I807" s="46"/>
      <c r="J807" s="47" t="s">
        <v>1881</v>
      </c>
      <c r="K807" s="24" t="s">
        <v>4739</v>
      </c>
      <c r="L807" s="46" t="s">
        <v>4740</v>
      </c>
      <c r="M807" s="24" t="s">
        <v>4693</v>
      </c>
      <c r="N807" s="46" t="s">
        <v>4694</v>
      </c>
      <c r="O807" s="24" t="s">
        <v>3698</v>
      </c>
      <c r="P807" s="46" t="s">
        <v>3699</v>
      </c>
      <c r="Q807" s="46"/>
      <c r="R807" s="47" t="s">
        <v>48</v>
      </c>
      <c r="S807" s="52" t="s">
        <v>67</v>
      </c>
    </row>
    <row r="808" customFormat="false" ht="15" hidden="false" customHeight="true" outlineLevel="0" collapsed="false">
      <c r="A808" s="49" t="n">
        <v>819</v>
      </c>
      <c r="B808" s="25" t="s">
        <v>4684</v>
      </c>
      <c r="C808" s="50"/>
      <c r="D808" s="50" t="s">
        <v>4680</v>
      </c>
      <c r="E808" s="49" t="s">
        <v>16</v>
      </c>
      <c r="F808" s="49" t="s">
        <v>2104</v>
      </c>
      <c r="G808" s="25" t="s">
        <v>4741</v>
      </c>
      <c r="H808" s="51" t="n">
        <v>5</v>
      </c>
      <c r="I808" s="49"/>
      <c r="J808" s="50" t="s">
        <v>1883</v>
      </c>
      <c r="K808" s="25" t="s">
        <v>4742</v>
      </c>
      <c r="L808" s="49" t="s">
        <v>4743</v>
      </c>
      <c r="M808" s="25" t="s">
        <v>4693</v>
      </c>
      <c r="N808" s="49" t="s">
        <v>4694</v>
      </c>
      <c r="O808" s="25" t="s">
        <v>3698</v>
      </c>
      <c r="P808" s="49" t="s">
        <v>3699</v>
      </c>
      <c r="Q808" s="49"/>
      <c r="R808" s="50" t="s">
        <v>48</v>
      </c>
      <c r="S808" s="52" t="s">
        <v>67</v>
      </c>
    </row>
    <row r="809" customFormat="false" ht="15" hidden="false" customHeight="true" outlineLevel="0" collapsed="false">
      <c r="A809" s="46" t="n">
        <v>820</v>
      </c>
      <c r="B809" s="24" t="s">
        <v>4684</v>
      </c>
      <c r="C809" s="47"/>
      <c r="D809" s="47" t="s">
        <v>4680</v>
      </c>
      <c r="E809" s="46" t="s">
        <v>16</v>
      </c>
      <c r="F809" s="46" t="s">
        <v>2104</v>
      </c>
      <c r="G809" s="24" t="s">
        <v>4744</v>
      </c>
      <c r="H809" s="48" t="n">
        <v>5</v>
      </c>
      <c r="I809" s="46"/>
      <c r="J809" s="47" t="s">
        <v>1885</v>
      </c>
      <c r="K809" s="24" t="s">
        <v>4745</v>
      </c>
      <c r="L809" s="46" t="s">
        <v>4746</v>
      </c>
      <c r="M809" s="24" t="s">
        <v>4693</v>
      </c>
      <c r="N809" s="46" t="s">
        <v>4694</v>
      </c>
      <c r="O809" s="24" t="s">
        <v>3698</v>
      </c>
      <c r="P809" s="46" t="s">
        <v>3699</v>
      </c>
      <c r="Q809" s="46"/>
      <c r="R809" s="47" t="s">
        <v>48</v>
      </c>
      <c r="S809" s="52" t="s">
        <v>67</v>
      </c>
    </row>
    <row r="810" customFormat="false" ht="15" hidden="false" customHeight="true" outlineLevel="0" collapsed="false">
      <c r="A810" s="49" t="n">
        <v>821</v>
      </c>
      <c r="B810" s="25" t="s">
        <v>4747</v>
      </c>
      <c r="C810" s="50"/>
      <c r="D810" s="50" t="s">
        <v>4748</v>
      </c>
      <c r="E810" s="49" t="s">
        <v>16</v>
      </c>
      <c r="F810" s="49" t="s">
        <v>2104</v>
      </c>
      <c r="G810" s="25" t="s">
        <v>4749</v>
      </c>
      <c r="H810" s="51" t="n">
        <v>5</v>
      </c>
      <c r="I810" s="49"/>
      <c r="J810" s="50" t="s">
        <v>4750</v>
      </c>
      <c r="K810" s="25" t="s">
        <v>2367</v>
      </c>
      <c r="L810" s="49" t="s">
        <v>4751</v>
      </c>
      <c r="M810" s="25" t="s">
        <v>4752</v>
      </c>
      <c r="N810" s="49" t="s">
        <v>4753</v>
      </c>
      <c r="O810" s="25" t="s">
        <v>3698</v>
      </c>
      <c r="P810" s="49" t="s">
        <v>3699</v>
      </c>
      <c r="Q810" s="49"/>
      <c r="R810" s="50" t="s">
        <v>48</v>
      </c>
      <c r="S810" s="52" t="s">
        <v>67</v>
      </c>
    </row>
    <row r="811" customFormat="false" ht="15" hidden="false" customHeight="true" outlineLevel="0" collapsed="false">
      <c r="A811" s="46" t="n">
        <v>822</v>
      </c>
      <c r="B811" s="24" t="s">
        <v>4754</v>
      </c>
      <c r="C811" s="47"/>
      <c r="D811" s="47" t="s">
        <v>4748</v>
      </c>
      <c r="E811" s="46" t="s">
        <v>16</v>
      </c>
      <c r="F811" s="46" t="s">
        <v>2104</v>
      </c>
      <c r="G811" s="24" t="s">
        <v>4755</v>
      </c>
      <c r="H811" s="48" t="n">
        <v>5</v>
      </c>
      <c r="I811" s="46"/>
      <c r="J811" s="47" t="s">
        <v>4756</v>
      </c>
      <c r="K811" s="24" t="s">
        <v>4757</v>
      </c>
      <c r="L811" s="46" t="s">
        <v>4758</v>
      </c>
      <c r="M811" s="24" t="s">
        <v>4752</v>
      </c>
      <c r="N811" s="46" t="s">
        <v>4753</v>
      </c>
      <c r="O811" s="24" t="s">
        <v>3698</v>
      </c>
      <c r="P811" s="46" t="s">
        <v>3699</v>
      </c>
      <c r="Q811" s="46"/>
      <c r="R811" s="47" t="s">
        <v>48</v>
      </c>
      <c r="S811" s="52" t="s">
        <v>67</v>
      </c>
    </row>
    <row r="812" customFormat="false" ht="15" hidden="false" customHeight="true" outlineLevel="0" collapsed="false">
      <c r="A812" s="49" t="n">
        <v>823</v>
      </c>
      <c r="B812" s="25" t="s">
        <v>4759</v>
      </c>
      <c r="C812" s="50"/>
      <c r="D812" s="50" t="s">
        <v>4748</v>
      </c>
      <c r="E812" s="49" t="s">
        <v>16</v>
      </c>
      <c r="F812" s="49" t="s">
        <v>2104</v>
      </c>
      <c r="G812" s="25" t="s">
        <v>4760</v>
      </c>
      <c r="H812" s="51" t="n">
        <v>5</v>
      </c>
      <c r="I812" s="49"/>
      <c r="J812" s="50" t="s">
        <v>4761</v>
      </c>
      <c r="K812" s="25" t="s">
        <v>4762</v>
      </c>
      <c r="L812" s="49" t="s">
        <v>4763</v>
      </c>
      <c r="M812" s="25" t="s">
        <v>4752</v>
      </c>
      <c r="N812" s="49" t="s">
        <v>4753</v>
      </c>
      <c r="O812" s="25" t="s">
        <v>3698</v>
      </c>
      <c r="P812" s="49" t="s">
        <v>3699</v>
      </c>
      <c r="Q812" s="49"/>
      <c r="R812" s="50" t="s">
        <v>48</v>
      </c>
      <c r="S812" s="52" t="s">
        <v>67</v>
      </c>
    </row>
    <row r="813" customFormat="false" ht="15" hidden="false" customHeight="true" outlineLevel="0" collapsed="false">
      <c r="A813" s="46" t="n">
        <v>824</v>
      </c>
      <c r="B813" s="24" t="s">
        <v>4764</v>
      </c>
      <c r="C813" s="47"/>
      <c r="D813" s="47" t="s">
        <v>4748</v>
      </c>
      <c r="E813" s="46" t="s">
        <v>16</v>
      </c>
      <c r="F813" s="46" t="s">
        <v>2104</v>
      </c>
      <c r="G813" s="24" t="s">
        <v>4765</v>
      </c>
      <c r="H813" s="48" t="n">
        <v>5</v>
      </c>
      <c r="I813" s="46"/>
      <c r="J813" s="47" t="s">
        <v>4766</v>
      </c>
      <c r="K813" s="24" t="s">
        <v>4716</v>
      </c>
      <c r="L813" s="46" t="s">
        <v>4767</v>
      </c>
      <c r="M813" s="24" t="s">
        <v>4752</v>
      </c>
      <c r="N813" s="46" t="s">
        <v>4753</v>
      </c>
      <c r="O813" s="24" t="s">
        <v>3698</v>
      </c>
      <c r="P813" s="46" t="s">
        <v>3699</v>
      </c>
      <c r="Q813" s="46"/>
      <c r="R813" s="47" t="s">
        <v>48</v>
      </c>
      <c r="S813" s="52" t="s">
        <v>67</v>
      </c>
    </row>
    <row r="814" customFormat="false" ht="15" hidden="false" customHeight="true" outlineLevel="0" collapsed="false">
      <c r="A814" s="49" t="n">
        <v>825</v>
      </c>
      <c r="B814" s="25" t="s">
        <v>4768</v>
      </c>
      <c r="C814" s="50"/>
      <c r="D814" s="50" t="s">
        <v>4748</v>
      </c>
      <c r="E814" s="49" t="s">
        <v>16</v>
      </c>
      <c r="F814" s="49" t="s">
        <v>2104</v>
      </c>
      <c r="G814" s="25" t="s">
        <v>4769</v>
      </c>
      <c r="H814" s="51" t="n">
        <v>5</v>
      </c>
      <c r="I814" s="49"/>
      <c r="J814" s="50" t="s">
        <v>4770</v>
      </c>
      <c r="K814" s="25" t="s">
        <v>3931</v>
      </c>
      <c r="L814" s="49" t="s">
        <v>4771</v>
      </c>
      <c r="M814" s="25" t="s">
        <v>4752</v>
      </c>
      <c r="N814" s="49" t="s">
        <v>4753</v>
      </c>
      <c r="O814" s="25" t="s">
        <v>3698</v>
      </c>
      <c r="P814" s="49" t="s">
        <v>3699</v>
      </c>
      <c r="Q814" s="49"/>
      <c r="R814" s="50" t="s">
        <v>48</v>
      </c>
      <c r="S814" s="52" t="s">
        <v>67</v>
      </c>
    </row>
    <row r="815" customFormat="false" ht="15" hidden="false" customHeight="true" outlineLevel="0" collapsed="false">
      <c r="A815" s="46" t="n">
        <v>826</v>
      </c>
      <c r="B815" s="24" t="s">
        <v>4768</v>
      </c>
      <c r="C815" s="47"/>
      <c r="D815" s="47" t="s">
        <v>4748</v>
      </c>
      <c r="E815" s="46" t="s">
        <v>16</v>
      </c>
      <c r="F815" s="46" t="s">
        <v>2104</v>
      </c>
      <c r="G815" s="24" t="s">
        <v>4772</v>
      </c>
      <c r="H815" s="48" t="n">
        <v>5</v>
      </c>
      <c r="I815" s="46"/>
      <c r="J815" s="47" t="s">
        <v>1903</v>
      </c>
      <c r="K815" s="24" t="s">
        <v>4590</v>
      </c>
      <c r="L815" s="46" t="s">
        <v>4773</v>
      </c>
      <c r="M815" s="24" t="s">
        <v>4752</v>
      </c>
      <c r="N815" s="46" t="s">
        <v>4753</v>
      </c>
      <c r="O815" s="24" t="s">
        <v>3698</v>
      </c>
      <c r="P815" s="46" t="s">
        <v>3699</v>
      </c>
      <c r="Q815" s="46"/>
      <c r="R815" s="47" t="s">
        <v>48</v>
      </c>
      <c r="S815" s="52" t="s">
        <v>67</v>
      </c>
    </row>
    <row r="816" customFormat="false" ht="15" hidden="false" customHeight="true" outlineLevel="0" collapsed="false">
      <c r="A816" s="49" t="n">
        <v>827</v>
      </c>
      <c r="B816" s="25" t="s">
        <v>4774</v>
      </c>
      <c r="C816" s="50"/>
      <c r="D816" s="50" t="s">
        <v>4748</v>
      </c>
      <c r="E816" s="49" t="s">
        <v>16</v>
      </c>
      <c r="F816" s="49" t="s">
        <v>2104</v>
      </c>
      <c r="G816" s="25" t="s">
        <v>4775</v>
      </c>
      <c r="H816" s="51" t="n">
        <v>5</v>
      </c>
      <c r="I816" s="49"/>
      <c r="J816" s="50" t="s">
        <v>1906</v>
      </c>
      <c r="K816" s="25" t="s">
        <v>4776</v>
      </c>
      <c r="L816" s="49" t="s">
        <v>4777</v>
      </c>
      <c r="M816" s="25" t="s">
        <v>4752</v>
      </c>
      <c r="N816" s="49" t="s">
        <v>4753</v>
      </c>
      <c r="O816" s="25" t="s">
        <v>3698</v>
      </c>
      <c r="P816" s="49" t="s">
        <v>3699</v>
      </c>
      <c r="Q816" s="49"/>
      <c r="R816" s="50" t="s">
        <v>48</v>
      </c>
      <c r="S816" s="52" t="s">
        <v>67</v>
      </c>
    </row>
    <row r="817" customFormat="false" ht="15" hidden="false" customHeight="true" outlineLevel="0" collapsed="false">
      <c r="A817" s="46" t="n">
        <v>828</v>
      </c>
      <c r="B817" s="24" t="s">
        <v>4774</v>
      </c>
      <c r="C817" s="47"/>
      <c r="D817" s="47" t="s">
        <v>4748</v>
      </c>
      <c r="E817" s="46" t="s">
        <v>16</v>
      </c>
      <c r="F817" s="46" t="s">
        <v>2104</v>
      </c>
      <c r="G817" s="24" t="s">
        <v>4778</v>
      </c>
      <c r="H817" s="48" t="n">
        <v>5</v>
      </c>
      <c r="I817" s="46"/>
      <c r="J817" s="47" t="s">
        <v>1908</v>
      </c>
      <c r="K817" s="24" t="s">
        <v>4374</v>
      </c>
      <c r="L817" s="46" t="s">
        <v>4779</v>
      </c>
      <c r="M817" s="24" t="s">
        <v>4752</v>
      </c>
      <c r="N817" s="46" t="s">
        <v>4753</v>
      </c>
      <c r="O817" s="24" t="s">
        <v>3698</v>
      </c>
      <c r="P817" s="46" t="s">
        <v>3699</v>
      </c>
      <c r="Q817" s="46"/>
      <c r="R817" s="47" t="s">
        <v>48</v>
      </c>
      <c r="S817" s="52" t="s">
        <v>67</v>
      </c>
    </row>
    <row r="818" customFormat="false" ht="15" hidden="false" customHeight="true" outlineLevel="0" collapsed="false">
      <c r="A818" s="49" t="n">
        <v>829</v>
      </c>
      <c r="B818" s="25" t="s">
        <v>4774</v>
      </c>
      <c r="C818" s="50"/>
      <c r="D818" s="50" t="s">
        <v>4748</v>
      </c>
      <c r="E818" s="49" t="s">
        <v>16</v>
      </c>
      <c r="F818" s="49" t="s">
        <v>2104</v>
      </c>
      <c r="G818" s="25" t="s">
        <v>4780</v>
      </c>
      <c r="H818" s="51" t="n">
        <v>5</v>
      </c>
      <c r="I818" s="49"/>
      <c r="J818" s="50" t="s">
        <v>1910</v>
      </c>
      <c r="K818" s="25" t="s">
        <v>4781</v>
      </c>
      <c r="L818" s="49" t="s">
        <v>4782</v>
      </c>
      <c r="M818" s="25" t="s">
        <v>4752</v>
      </c>
      <c r="N818" s="49" t="s">
        <v>4753</v>
      </c>
      <c r="O818" s="25" t="s">
        <v>3698</v>
      </c>
      <c r="P818" s="49" t="s">
        <v>3699</v>
      </c>
      <c r="Q818" s="49"/>
      <c r="R818" s="50" t="s">
        <v>48</v>
      </c>
      <c r="S818" s="52" t="s">
        <v>67</v>
      </c>
    </row>
    <row r="819" customFormat="false" ht="15" hidden="false" customHeight="true" outlineLevel="0" collapsed="false">
      <c r="A819" s="46" t="n">
        <v>830</v>
      </c>
      <c r="B819" s="24" t="s">
        <v>4774</v>
      </c>
      <c r="C819" s="47"/>
      <c r="D819" s="47" t="s">
        <v>4748</v>
      </c>
      <c r="E819" s="46" t="s">
        <v>16</v>
      </c>
      <c r="F819" s="46" t="s">
        <v>2104</v>
      </c>
      <c r="G819" s="24" t="s">
        <v>4783</v>
      </c>
      <c r="H819" s="48" t="n">
        <v>5</v>
      </c>
      <c r="I819" s="46"/>
      <c r="J819" s="47" t="s">
        <v>1912</v>
      </c>
      <c r="K819" s="24" t="s">
        <v>4784</v>
      </c>
      <c r="L819" s="46" t="s">
        <v>4785</v>
      </c>
      <c r="M819" s="24" t="s">
        <v>4752</v>
      </c>
      <c r="N819" s="46" t="s">
        <v>4753</v>
      </c>
      <c r="O819" s="24" t="s">
        <v>3698</v>
      </c>
      <c r="P819" s="46" t="s">
        <v>3699</v>
      </c>
      <c r="Q819" s="46"/>
      <c r="R819" s="47" t="s">
        <v>48</v>
      </c>
      <c r="S819" s="52" t="s">
        <v>67</v>
      </c>
    </row>
    <row r="820" customFormat="false" ht="15" hidden="false" customHeight="true" outlineLevel="0" collapsed="false">
      <c r="A820" s="49" t="n">
        <v>831</v>
      </c>
      <c r="B820" s="25" t="s">
        <v>4774</v>
      </c>
      <c r="C820" s="50"/>
      <c r="D820" s="50" t="s">
        <v>4748</v>
      </c>
      <c r="E820" s="49" t="s">
        <v>16</v>
      </c>
      <c r="F820" s="49" t="s">
        <v>2104</v>
      </c>
      <c r="G820" s="25" t="s">
        <v>4786</v>
      </c>
      <c r="H820" s="51" t="n">
        <v>5</v>
      </c>
      <c r="I820" s="49"/>
      <c r="J820" s="50" t="s">
        <v>1914</v>
      </c>
      <c r="K820" s="25" t="s">
        <v>4787</v>
      </c>
      <c r="L820" s="49" t="s">
        <v>4788</v>
      </c>
      <c r="M820" s="25" t="s">
        <v>4752</v>
      </c>
      <c r="N820" s="49" t="s">
        <v>4753</v>
      </c>
      <c r="O820" s="25" t="s">
        <v>3698</v>
      </c>
      <c r="P820" s="49" t="s">
        <v>3699</v>
      </c>
      <c r="Q820" s="49"/>
      <c r="R820" s="50" t="s">
        <v>48</v>
      </c>
      <c r="S820" s="52" t="s">
        <v>67</v>
      </c>
    </row>
    <row r="821" customFormat="false" ht="15" hidden="false" customHeight="true" outlineLevel="0" collapsed="false">
      <c r="A821" s="46" t="n">
        <v>832</v>
      </c>
      <c r="B821" s="24" t="s">
        <v>4774</v>
      </c>
      <c r="C821" s="47"/>
      <c r="D821" s="47" t="s">
        <v>4748</v>
      </c>
      <c r="E821" s="46" t="s">
        <v>16</v>
      </c>
      <c r="F821" s="46" t="s">
        <v>2104</v>
      </c>
      <c r="G821" s="24" t="s">
        <v>4789</v>
      </c>
      <c r="H821" s="48" t="n">
        <v>5</v>
      </c>
      <c r="I821" s="46"/>
      <c r="J821" s="47" t="s">
        <v>1916</v>
      </c>
      <c r="K821" s="24" t="s">
        <v>4790</v>
      </c>
      <c r="L821" s="46" t="s">
        <v>4791</v>
      </c>
      <c r="M821" s="24" t="s">
        <v>4752</v>
      </c>
      <c r="N821" s="46" t="s">
        <v>4753</v>
      </c>
      <c r="O821" s="24" t="s">
        <v>3698</v>
      </c>
      <c r="P821" s="46" t="s">
        <v>3699</v>
      </c>
      <c r="Q821" s="46"/>
      <c r="R821" s="47" t="s">
        <v>48</v>
      </c>
      <c r="S821" s="52" t="s">
        <v>67</v>
      </c>
    </row>
    <row r="822" customFormat="false" ht="15" hidden="false" customHeight="true" outlineLevel="0" collapsed="false">
      <c r="A822" s="49" t="n">
        <v>833</v>
      </c>
      <c r="B822" s="25" t="s">
        <v>4792</v>
      </c>
      <c r="C822" s="50"/>
      <c r="D822" s="50" t="s">
        <v>4748</v>
      </c>
      <c r="E822" s="49" t="s">
        <v>16</v>
      </c>
      <c r="F822" s="49" t="s">
        <v>2104</v>
      </c>
      <c r="G822" s="25" t="s">
        <v>4793</v>
      </c>
      <c r="H822" s="51" t="n">
        <v>5</v>
      </c>
      <c r="I822" s="49"/>
      <c r="J822" s="50" t="s">
        <v>1919</v>
      </c>
      <c r="K822" s="25" t="s">
        <v>4794</v>
      </c>
      <c r="L822" s="49" t="s">
        <v>4795</v>
      </c>
      <c r="M822" s="25" t="s">
        <v>4752</v>
      </c>
      <c r="N822" s="49" t="s">
        <v>4753</v>
      </c>
      <c r="O822" s="25" t="s">
        <v>3698</v>
      </c>
      <c r="P822" s="49" t="s">
        <v>3699</v>
      </c>
      <c r="Q822" s="49"/>
      <c r="R822" s="50" t="s">
        <v>48</v>
      </c>
      <c r="S822" s="52" t="s">
        <v>67</v>
      </c>
    </row>
    <row r="823" customFormat="false" ht="15" hidden="false" customHeight="true" outlineLevel="0" collapsed="false">
      <c r="A823" s="46" t="n">
        <v>834</v>
      </c>
      <c r="B823" s="24" t="s">
        <v>4754</v>
      </c>
      <c r="C823" s="47"/>
      <c r="D823" s="47" t="s">
        <v>4748</v>
      </c>
      <c r="E823" s="46" t="s">
        <v>16</v>
      </c>
      <c r="F823" s="46" t="s">
        <v>2104</v>
      </c>
      <c r="G823" s="24" t="s">
        <v>4796</v>
      </c>
      <c r="H823" s="48" t="n">
        <v>5</v>
      </c>
      <c r="I823" s="46"/>
      <c r="J823" s="47" t="s">
        <v>3103</v>
      </c>
      <c r="K823" s="24" t="s">
        <v>4537</v>
      </c>
      <c r="L823" s="46" t="s">
        <v>4797</v>
      </c>
      <c r="M823" s="24" t="s">
        <v>4752</v>
      </c>
      <c r="N823" s="46" t="s">
        <v>4753</v>
      </c>
      <c r="O823" s="24" t="s">
        <v>3698</v>
      </c>
      <c r="P823" s="46" t="s">
        <v>3699</v>
      </c>
      <c r="Q823" s="46"/>
      <c r="R823" s="47" t="s">
        <v>48</v>
      </c>
      <c r="S823" s="52" t="s">
        <v>2829</v>
      </c>
    </row>
    <row r="824" customFormat="false" ht="15" hidden="false" customHeight="true" outlineLevel="0" collapsed="false">
      <c r="A824" s="49" t="n">
        <v>835</v>
      </c>
      <c r="B824" s="25" t="s">
        <v>4798</v>
      </c>
      <c r="C824" s="50"/>
      <c r="D824" s="50" t="s">
        <v>4748</v>
      </c>
      <c r="E824" s="49" t="s">
        <v>16</v>
      </c>
      <c r="F824" s="49" t="s">
        <v>2104</v>
      </c>
      <c r="G824" s="25" t="s">
        <v>4799</v>
      </c>
      <c r="H824" s="51" t="n">
        <v>5</v>
      </c>
      <c r="I824" s="49"/>
      <c r="J824" s="50" t="s">
        <v>4800</v>
      </c>
      <c r="K824" s="25" t="s">
        <v>4801</v>
      </c>
      <c r="L824" s="49" t="s">
        <v>4802</v>
      </c>
      <c r="M824" s="25" t="s">
        <v>4752</v>
      </c>
      <c r="N824" s="49" t="s">
        <v>4753</v>
      </c>
      <c r="O824" s="25" t="s">
        <v>3698</v>
      </c>
      <c r="P824" s="49" t="s">
        <v>3699</v>
      </c>
      <c r="Q824" s="49"/>
      <c r="R824" s="50" t="s">
        <v>48</v>
      </c>
      <c r="S824" s="52" t="s">
        <v>67</v>
      </c>
    </row>
    <row r="825" customFormat="false" ht="15" hidden="false" customHeight="true" outlineLevel="0" collapsed="false">
      <c r="A825" s="46" t="n">
        <v>836</v>
      </c>
      <c r="B825" s="24" t="s">
        <v>4792</v>
      </c>
      <c r="C825" s="47"/>
      <c r="D825" s="47" t="s">
        <v>4748</v>
      </c>
      <c r="E825" s="46" t="s">
        <v>16</v>
      </c>
      <c r="F825" s="46" t="s">
        <v>2104</v>
      </c>
      <c r="G825" s="24" t="s">
        <v>4803</v>
      </c>
      <c r="H825" s="48" t="n">
        <v>5</v>
      </c>
      <c r="I825" s="46"/>
      <c r="J825" s="47" t="s">
        <v>1926</v>
      </c>
      <c r="K825" s="24" t="s">
        <v>4722</v>
      </c>
      <c r="L825" s="46" t="s">
        <v>4804</v>
      </c>
      <c r="M825" s="24" t="s">
        <v>4752</v>
      </c>
      <c r="N825" s="46" t="s">
        <v>4753</v>
      </c>
      <c r="O825" s="24" t="s">
        <v>3698</v>
      </c>
      <c r="P825" s="46" t="s">
        <v>3699</v>
      </c>
      <c r="Q825" s="46"/>
      <c r="R825" s="47" t="s">
        <v>48</v>
      </c>
      <c r="S825" s="52" t="s">
        <v>67</v>
      </c>
    </row>
    <row r="826" customFormat="false" ht="15" hidden="false" customHeight="true" outlineLevel="0" collapsed="false">
      <c r="A826" s="49" t="n">
        <v>837</v>
      </c>
      <c r="B826" s="25" t="s">
        <v>4792</v>
      </c>
      <c r="C826" s="50"/>
      <c r="D826" s="50" t="s">
        <v>4748</v>
      </c>
      <c r="E826" s="49" t="s">
        <v>16</v>
      </c>
      <c r="F826" s="49" t="s">
        <v>2104</v>
      </c>
      <c r="G826" s="25" t="s">
        <v>4805</v>
      </c>
      <c r="H826" s="51" t="n">
        <v>5</v>
      </c>
      <c r="I826" s="49"/>
      <c r="J826" s="50" t="s">
        <v>4806</v>
      </c>
      <c r="K826" s="25" t="s">
        <v>2083</v>
      </c>
      <c r="L826" s="49" t="s">
        <v>4807</v>
      </c>
      <c r="M826" s="25" t="s">
        <v>4752</v>
      </c>
      <c r="N826" s="49" t="s">
        <v>4753</v>
      </c>
      <c r="O826" s="25" t="s">
        <v>3698</v>
      </c>
      <c r="P826" s="49" t="s">
        <v>3699</v>
      </c>
      <c r="Q826" s="49"/>
      <c r="R826" s="50" t="s">
        <v>48</v>
      </c>
      <c r="S826" s="52" t="s">
        <v>67</v>
      </c>
    </row>
    <row r="827" customFormat="false" ht="15" hidden="false" customHeight="true" outlineLevel="0" collapsed="false">
      <c r="A827" s="46" t="n">
        <v>838</v>
      </c>
      <c r="B827" s="24" t="s">
        <v>4792</v>
      </c>
      <c r="C827" s="47"/>
      <c r="D827" s="47" t="s">
        <v>4748</v>
      </c>
      <c r="E827" s="46" t="s">
        <v>16</v>
      </c>
      <c r="F827" s="46" t="s">
        <v>2104</v>
      </c>
      <c r="G827" s="24" t="s">
        <v>4808</v>
      </c>
      <c r="H827" s="48" t="n">
        <v>5</v>
      </c>
      <c r="I827" s="46"/>
      <c r="J827" s="47" t="s">
        <v>1930</v>
      </c>
      <c r="K827" s="24" t="s">
        <v>4801</v>
      </c>
      <c r="L827" s="46" t="s">
        <v>4809</v>
      </c>
      <c r="M827" s="24" t="s">
        <v>4752</v>
      </c>
      <c r="N827" s="46" t="s">
        <v>4753</v>
      </c>
      <c r="O827" s="24" t="s">
        <v>3698</v>
      </c>
      <c r="P827" s="46" t="s">
        <v>3699</v>
      </c>
      <c r="Q827" s="46"/>
      <c r="R827" s="47" t="s">
        <v>48</v>
      </c>
      <c r="S827" s="52" t="s">
        <v>67</v>
      </c>
    </row>
    <row r="828" customFormat="false" ht="15" hidden="false" customHeight="true" outlineLevel="0" collapsed="false">
      <c r="A828" s="49" t="n">
        <v>839</v>
      </c>
      <c r="B828" s="25" t="s">
        <v>4792</v>
      </c>
      <c r="C828" s="50"/>
      <c r="D828" s="50" t="s">
        <v>4748</v>
      </c>
      <c r="E828" s="49" t="s">
        <v>16</v>
      </c>
      <c r="F828" s="49" t="s">
        <v>2104</v>
      </c>
      <c r="G828" s="25" t="s">
        <v>4810</v>
      </c>
      <c r="H828" s="51" t="n">
        <v>5</v>
      </c>
      <c r="I828" s="49"/>
      <c r="J828" s="50" t="s">
        <v>1932</v>
      </c>
      <c r="K828" s="25" t="s">
        <v>4378</v>
      </c>
      <c r="L828" s="49" t="s">
        <v>4811</v>
      </c>
      <c r="M828" s="25" t="s">
        <v>4752</v>
      </c>
      <c r="N828" s="49" t="s">
        <v>4753</v>
      </c>
      <c r="O828" s="25" t="s">
        <v>3698</v>
      </c>
      <c r="P828" s="49" t="s">
        <v>3699</v>
      </c>
      <c r="Q828" s="49"/>
      <c r="R828" s="50" t="s">
        <v>48</v>
      </c>
      <c r="S828" s="52" t="s">
        <v>67</v>
      </c>
    </row>
    <row r="829" customFormat="false" ht="15" hidden="false" customHeight="true" outlineLevel="0" collapsed="false">
      <c r="A829" s="46" t="n">
        <v>840</v>
      </c>
      <c r="B829" s="24" t="s">
        <v>4792</v>
      </c>
      <c r="C829" s="47"/>
      <c r="D829" s="47" t="s">
        <v>4748</v>
      </c>
      <c r="E829" s="46" t="s">
        <v>16</v>
      </c>
      <c r="F829" s="46" t="s">
        <v>2104</v>
      </c>
      <c r="G829" s="24" t="s">
        <v>4812</v>
      </c>
      <c r="H829" s="48" t="n">
        <v>5</v>
      </c>
      <c r="I829" s="46"/>
      <c r="J829" s="47" t="s">
        <v>4813</v>
      </c>
      <c r="K829" s="24" t="s">
        <v>3935</v>
      </c>
      <c r="L829" s="46" t="s">
        <v>4814</v>
      </c>
      <c r="M829" s="24" t="s">
        <v>4752</v>
      </c>
      <c r="N829" s="46" t="s">
        <v>4753</v>
      </c>
      <c r="O829" s="24" t="s">
        <v>3698</v>
      </c>
      <c r="P829" s="46" t="s">
        <v>3699</v>
      </c>
      <c r="Q829" s="46"/>
      <c r="R829" s="47" t="s">
        <v>48</v>
      </c>
      <c r="S829" s="52" t="s">
        <v>67</v>
      </c>
    </row>
    <row r="830" customFormat="false" ht="15" hidden="false" customHeight="true" outlineLevel="0" collapsed="false">
      <c r="A830" s="49" t="n">
        <v>841</v>
      </c>
      <c r="B830" s="25" t="s">
        <v>4815</v>
      </c>
      <c r="C830" s="50"/>
      <c r="D830" s="50" t="s">
        <v>4748</v>
      </c>
      <c r="E830" s="49" t="s">
        <v>16</v>
      </c>
      <c r="F830" s="49" t="s">
        <v>2104</v>
      </c>
      <c r="G830" s="25" t="s">
        <v>4816</v>
      </c>
      <c r="H830" s="51" t="n">
        <v>5</v>
      </c>
      <c r="I830" s="49"/>
      <c r="J830" s="50" t="s">
        <v>4817</v>
      </c>
      <c r="K830" s="25" t="s">
        <v>4818</v>
      </c>
      <c r="L830" s="49" t="s">
        <v>4819</v>
      </c>
      <c r="M830" s="25" t="s">
        <v>4752</v>
      </c>
      <c r="N830" s="49" t="s">
        <v>4753</v>
      </c>
      <c r="O830" s="25" t="s">
        <v>3698</v>
      </c>
      <c r="P830" s="49" t="s">
        <v>3699</v>
      </c>
      <c r="Q830" s="49"/>
      <c r="R830" s="50" t="s">
        <v>48</v>
      </c>
      <c r="S830" s="52" t="s">
        <v>67</v>
      </c>
    </row>
    <row r="831" customFormat="false" ht="15" hidden="false" customHeight="true" outlineLevel="0" collapsed="false">
      <c r="A831" s="46" t="n">
        <v>842</v>
      </c>
      <c r="B831" s="24" t="s">
        <v>4774</v>
      </c>
      <c r="C831" s="47"/>
      <c r="D831" s="47" t="s">
        <v>4748</v>
      </c>
      <c r="E831" s="46" t="s">
        <v>16</v>
      </c>
      <c r="F831" s="46" t="s">
        <v>2104</v>
      </c>
      <c r="G831" s="24" t="s">
        <v>4820</v>
      </c>
      <c r="H831" s="48" t="n">
        <v>5</v>
      </c>
      <c r="I831" s="46"/>
      <c r="J831" s="47" t="s">
        <v>1939</v>
      </c>
      <c r="K831" s="24" t="s">
        <v>4821</v>
      </c>
      <c r="L831" s="46" t="s">
        <v>4822</v>
      </c>
      <c r="M831" s="24" t="s">
        <v>4752</v>
      </c>
      <c r="N831" s="46" t="s">
        <v>4753</v>
      </c>
      <c r="O831" s="24" t="s">
        <v>3698</v>
      </c>
      <c r="P831" s="46" t="s">
        <v>3699</v>
      </c>
      <c r="Q831" s="46"/>
      <c r="R831" s="47" t="s">
        <v>48</v>
      </c>
      <c r="S831" s="52" t="s">
        <v>67</v>
      </c>
    </row>
    <row r="832" customFormat="false" ht="15" hidden="false" customHeight="true" outlineLevel="0" collapsed="false">
      <c r="A832" s="49" t="n">
        <v>843</v>
      </c>
      <c r="B832" s="25" t="s">
        <v>4089</v>
      </c>
      <c r="C832" s="50"/>
      <c r="D832" s="50" t="s">
        <v>4748</v>
      </c>
      <c r="E832" s="49" t="s">
        <v>16</v>
      </c>
      <c r="F832" s="49" t="s">
        <v>2104</v>
      </c>
      <c r="G832" s="25" t="s">
        <v>4823</v>
      </c>
      <c r="H832" s="51" t="n">
        <v>5</v>
      </c>
      <c r="I832" s="49"/>
      <c r="J832" s="50" t="s">
        <v>1942</v>
      </c>
      <c r="K832" s="25" t="s">
        <v>4824</v>
      </c>
      <c r="L832" s="49" t="s">
        <v>4825</v>
      </c>
      <c r="M832" s="25" t="s">
        <v>4752</v>
      </c>
      <c r="N832" s="49" t="s">
        <v>4753</v>
      </c>
      <c r="O832" s="25" t="s">
        <v>3698</v>
      </c>
      <c r="P832" s="49" t="s">
        <v>3699</v>
      </c>
      <c r="Q832" s="49"/>
      <c r="R832" s="50" t="s">
        <v>48</v>
      </c>
      <c r="S832" s="52" t="s">
        <v>67</v>
      </c>
    </row>
    <row r="833" customFormat="false" ht="15" hidden="false" customHeight="true" outlineLevel="0" collapsed="false">
      <c r="A833" s="46" t="n">
        <v>844</v>
      </c>
      <c r="B833" s="24" t="s">
        <v>4826</v>
      </c>
      <c r="C833" s="47"/>
      <c r="D833" s="47" t="s">
        <v>4748</v>
      </c>
      <c r="E833" s="46" t="s">
        <v>16</v>
      </c>
      <c r="F833" s="46" t="s">
        <v>2104</v>
      </c>
      <c r="G833" s="24" t="s">
        <v>4827</v>
      </c>
      <c r="H833" s="48" t="n">
        <v>5</v>
      </c>
      <c r="I833" s="46"/>
      <c r="J833" s="47" t="s">
        <v>1945</v>
      </c>
      <c r="K833" s="24" t="s">
        <v>4828</v>
      </c>
      <c r="L833" s="46" t="s">
        <v>4829</v>
      </c>
      <c r="M833" s="24" t="s">
        <v>4752</v>
      </c>
      <c r="N833" s="46" t="s">
        <v>4753</v>
      </c>
      <c r="O833" s="24" t="s">
        <v>3698</v>
      </c>
      <c r="P833" s="46" t="s">
        <v>3699</v>
      </c>
      <c r="Q833" s="46"/>
      <c r="R833" s="47" t="s">
        <v>48</v>
      </c>
      <c r="S833" s="52" t="s">
        <v>67</v>
      </c>
    </row>
    <row r="834" customFormat="false" ht="15" hidden="false" customHeight="true" outlineLevel="0" collapsed="false">
      <c r="A834" s="49" t="n">
        <v>845</v>
      </c>
      <c r="B834" s="25" t="s">
        <v>4826</v>
      </c>
      <c r="C834" s="50"/>
      <c r="D834" s="50" t="s">
        <v>4748</v>
      </c>
      <c r="E834" s="49" t="s">
        <v>16</v>
      </c>
      <c r="F834" s="49" t="s">
        <v>2104</v>
      </c>
      <c r="G834" s="25" t="s">
        <v>4830</v>
      </c>
      <c r="H834" s="51" t="n">
        <v>5</v>
      </c>
      <c r="I834" s="49"/>
      <c r="J834" s="50" t="s">
        <v>1948</v>
      </c>
      <c r="K834" s="25" t="s">
        <v>3957</v>
      </c>
      <c r="L834" s="49" t="s">
        <v>4831</v>
      </c>
      <c r="M834" s="25" t="s">
        <v>4752</v>
      </c>
      <c r="N834" s="49" t="s">
        <v>4753</v>
      </c>
      <c r="O834" s="25" t="s">
        <v>3698</v>
      </c>
      <c r="P834" s="49" t="s">
        <v>3699</v>
      </c>
      <c r="Q834" s="49"/>
      <c r="R834" s="50" t="s">
        <v>48</v>
      </c>
      <c r="S834" s="52" t="s">
        <v>67</v>
      </c>
    </row>
    <row r="835" customFormat="false" ht="15" hidden="false" customHeight="true" outlineLevel="0" collapsed="false">
      <c r="A835" s="46" t="n">
        <v>846</v>
      </c>
      <c r="B835" s="24" t="s">
        <v>4832</v>
      </c>
      <c r="C835" s="47"/>
      <c r="D835" s="47" t="s">
        <v>4748</v>
      </c>
      <c r="E835" s="46" t="s">
        <v>16</v>
      </c>
      <c r="F835" s="46" t="s">
        <v>2104</v>
      </c>
      <c r="G835" s="24" t="s">
        <v>4833</v>
      </c>
      <c r="H835" s="48" t="n">
        <v>5</v>
      </c>
      <c r="I835" s="46"/>
      <c r="J835" s="47" t="s">
        <v>1951</v>
      </c>
      <c r="K835" s="24" t="s">
        <v>4834</v>
      </c>
      <c r="L835" s="46" t="s">
        <v>4835</v>
      </c>
      <c r="M835" s="24" t="s">
        <v>4752</v>
      </c>
      <c r="N835" s="46" t="s">
        <v>4753</v>
      </c>
      <c r="O835" s="24" t="s">
        <v>3698</v>
      </c>
      <c r="P835" s="46" t="s">
        <v>3699</v>
      </c>
      <c r="Q835" s="46"/>
      <c r="R835" s="47" t="s">
        <v>48</v>
      </c>
      <c r="S835" s="52" t="s">
        <v>67</v>
      </c>
    </row>
    <row r="836" customFormat="false" ht="15" hidden="false" customHeight="true" outlineLevel="0" collapsed="false">
      <c r="A836" s="49" t="n">
        <v>847</v>
      </c>
      <c r="B836" s="25" t="s">
        <v>4836</v>
      </c>
      <c r="C836" s="50"/>
      <c r="D836" s="50" t="s">
        <v>4748</v>
      </c>
      <c r="E836" s="49" t="s">
        <v>16</v>
      </c>
      <c r="F836" s="49" t="s">
        <v>2104</v>
      </c>
      <c r="G836" s="25" t="s">
        <v>4837</v>
      </c>
      <c r="H836" s="51" t="n">
        <v>5</v>
      </c>
      <c r="I836" s="49"/>
      <c r="J836" s="50" t="s">
        <v>4838</v>
      </c>
      <c r="K836" s="25" t="s">
        <v>3149</v>
      </c>
      <c r="L836" s="49" t="s">
        <v>4839</v>
      </c>
      <c r="M836" s="25" t="s">
        <v>4752</v>
      </c>
      <c r="N836" s="49" t="s">
        <v>4753</v>
      </c>
      <c r="O836" s="25" t="s">
        <v>3698</v>
      </c>
      <c r="P836" s="49" t="s">
        <v>3699</v>
      </c>
      <c r="Q836" s="49"/>
      <c r="R836" s="50" t="s">
        <v>48</v>
      </c>
      <c r="S836" s="52" t="s">
        <v>67</v>
      </c>
    </row>
    <row r="837" customFormat="false" ht="15" hidden="false" customHeight="true" outlineLevel="0" collapsed="false">
      <c r="A837" s="46" t="n">
        <v>848</v>
      </c>
      <c r="B837" s="24" t="s">
        <v>4840</v>
      </c>
      <c r="C837" s="47"/>
      <c r="D837" s="47" t="s">
        <v>4748</v>
      </c>
      <c r="E837" s="46" t="s">
        <v>16</v>
      </c>
      <c r="F837" s="46" t="s">
        <v>2104</v>
      </c>
      <c r="G837" s="24" t="s">
        <v>4841</v>
      </c>
      <c r="H837" s="48" t="n">
        <v>5</v>
      </c>
      <c r="I837" s="46"/>
      <c r="J837" s="47" t="s">
        <v>4842</v>
      </c>
      <c r="K837" s="24" t="s">
        <v>4843</v>
      </c>
      <c r="L837" s="46" t="s">
        <v>4844</v>
      </c>
      <c r="M837" s="24" t="s">
        <v>4752</v>
      </c>
      <c r="N837" s="46" t="s">
        <v>4753</v>
      </c>
      <c r="O837" s="24" t="s">
        <v>3698</v>
      </c>
      <c r="P837" s="46" t="s">
        <v>3699</v>
      </c>
      <c r="Q837" s="46"/>
      <c r="R837" s="47" t="s">
        <v>48</v>
      </c>
      <c r="S837" s="52" t="s">
        <v>67</v>
      </c>
    </row>
    <row r="838" customFormat="false" ht="15" hidden="false" customHeight="true" outlineLevel="0" collapsed="false">
      <c r="A838" s="49" t="n">
        <v>849</v>
      </c>
      <c r="B838" s="25" t="s">
        <v>4836</v>
      </c>
      <c r="C838" s="50"/>
      <c r="D838" s="50" t="s">
        <v>4748</v>
      </c>
      <c r="E838" s="49" t="s">
        <v>16</v>
      </c>
      <c r="F838" s="49" t="s">
        <v>2104</v>
      </c>
      <c r="G838" s="25" t="s">
        <v>4845</v>
      </c>
      <c r="H838" s="51" t="n">
        <v>5</v>
      </c>
      <c r="I838" s="49"/>
      <c r="J838" s="50" t="s">
        <v>1960</v>
      </c>
      <c r="K838" s="25" t="s">
        <v>3478</v>
      </c>
      <c r="L838" s="49" t="s">
        <v>4846</v>
      </c>
      <c r="M838" s="25" t="s">
        <v>4752</v>
      </c>
      <c r="N838" s="49" t="s">
        <v>4753</v>
      </c>
      <c r="O838" s="25" t="s">
        <v>3698</v>
      </c>
      <c r="P838" s="49" t="s">
        <v>3699</v>
      </c>
      <c r="Q838" s="49"/>
      <c r="R838" s="50" t="s">
        <v>48</v>
      </c>
      <c r="S838" s="52" t="s">
        <v>67</v>
      </c>
    </row>
    <row r="839" customFormat="false" ht="15" hidden="false" customHeight="true" outlineLevel="0" collapsed="false">
      <c r="A839" s="46" t="n">
        <v>850</v>
      </c>
      <c r="B839" s="24" t="s">
        <v>4847</v>
      </c>
      <c r="C839" s="47"/>
      <c r="D839" s="47" t="s">
        <v>4748</v>
      </c>
      <c r="E839" s="46" t="s">
        <v>16</v>
      </c>
      <c r="F839" s="46" t="s">
        <v>2104</v>
      </c>
      <c r="G839" s="24" t="s">
        <v>4848</v>
      </c>
      <c r="H839" s="48" t="n">
        <v>5</v>
      </c>
      <c r="I839" s="46"/>
      <c r="J839" s="47" t="s">
        <v>1963</v>
      </c>
      <c r="K839" s="24" t="s">
        <v>4397</v>
      </c>
      <c r="L839" s="46" t="s">
        <v>4849</v>
      </c>
      <c r="M839" s="24" t="s">
        <v>4752</v>
      </c>
      <c r="N839" s="46" t="s">
        <v>4753</v>
      </c>
      <c r="O839" s="24" t="s">
        <v>3698</v>
      </c>
      <c r="P839" s="46" t="s">
        <v>3699</v>
      </c>
      <c r="Q839" s="46"/>
      <c r="R839" s="47" t="s">
        <v>48</v>
      </c>
      <c r="S839" s="52" t="s">
        <v>67</v>
      </c>
    </row>
    <row r="840" customFormat="false" ht="15" hidden="false" customHeight="true" outlineLevel="0" collapsed="false">
      <c r="A840" s="49" t="n">
        <v>851</v>
      </c>
      <c r="B840" s="25" t="s">
        <v>4832</v>
      </c>
      <c r="C840" s="50"/>
      <c r="D840" s="50" t="s">
        <v>4748</v>
      </c>
      <c r="E840" s="49" t="s">
        <v>16</v>
      </c>
      <c r="F840" s="49" t="s">
        <v>2104</v>
      </c>
      <c r="G840" s="25" t="s">
        <v>4850</v>
      </c>
      <c r="H840" s="51" t="n">
        <v>5</v>
      </c>
      <c r="I840" s="49"/>
      <c r="J840" s="50" t="s">
        <v>1965</v>
      </c>
      <c r="K840" s="25" t="s">
        <v>4696</v>
      </c>
      <c r="L840" s="49" t="s">
        <v>4697</v>
      </c>
      <c r="M840" s="25" t="s">
        <v>4752</v>
      </c>
      <c r="N840" s="49" t="s">
        <v>4753</v>
      </c>
      <c r="O840" s="25" t="s">
        <v>3698</v>
      </c>
      <c r="P840" s="49" t="s">
        <v>3699</v>
      </c>
      <c r="Q840" s="49"/>
      <c r="R840" s="50" t="s">
        <v>48</v>
      </c>
      <c r="S840" s="52" t="s">
        <v>67</v>
      </c>
    </row>
    <row r="841" customFormat="false" ht="15" hidden="false" customHeight="true" outlineLevel="0" collapsed="false">
      <c r="A841" s="46" t="n">
        <v>852</v>
      </c>
      <c r="B841" s="24" t="s">
        <v>4847</v>
      </c>
      <c r="C841" s="47"/>
      <c r="D841" s="47" t="s">
        <v>4748</v>
      </c>
      <c r="E841" s="46" t="s">
        <v>16</v>
      </c>
      <c r="F841" s="46" t="s">
        <v>2104</v>
      </c>
      <c r="G841" s="24" t="s">
        <v>4851</v>
      </c>
      <c r="H841" s="48" t="n">
        <v>5</v>
      </c>
      <c r="I841" s="46"/>
      <c r="J841" s="47" t="s">
        <v>1967</v>
      </c>
      <c r="K841" s="24" t="s">
        <v>4699</v>
      </c>
      <c r="L841" s="46" t="s">
        <v>4700</v>
      </c>
      <c r="M841" s="24" t="s">
        <v>4752</v>
      </c>
      <c r="N841" s="46" t="s">
        <v>4753</v>
      </c>
      <c r="O841" s="24" t="s">
        <v>3698</v>
      </c>
      <c r="P841" s="46" t="s">
        <v>3699</v>
      </c>
      <c r="Q841" s="46"/>
      <c r="R841" s="47" t="s">
        <v>48</v>
      </c>
      <c r="S841" s="52" t="s">
        <v>67</v>
      </c>
    </row>
    <row r="842" customFormat="false" ht="15" hidden="false" customHeight="true" outlineLevel="0" collapsed="false">
      <c r="A842" s="49" t="n">
        <v>853</v>
      </c>
      <c r="B842" s="25" t="s">
        <v>4847</v>
      </c>
      <c r="C842" s="50"/>
      <c r="D842" s="50" t="s">
        <v>4748</v>
      </c>
      <c r="E842" s="49" t="s">
        <v>16</v>
      </c>
      <c r="F842" s="49" t="s">
        <v>2104</v>
      </c>
      <c r="G842" s="25" t="s">
        <v>4852</v>
      </c>
      <c r="H842" s="51" t="n">
        <v>5</v>
      </c>
      <c r="I842" s="49"/>
      <c r="J842" s="50" t="s">
        <v>3103</v>
      </c>
      <c r="K842" s="25" t="s">
        <v>4702</v>
      </c>
      <c r="L842" s="49" t="s">
        <v>4703</v>
      </c>
      <c r="M842" s="25" t="s">
        <v>4752</v>
      </c>
      <c r="N842" s="49" t="s">
        <v>4753</v>
      </c>
      <c r="O842" s="25" t="s">
        <v>3698</v>
      </c>
      <c r="P842" s="49" t="s">
        <v>3699</v>
      </c>
      <c r="Q842" s="49"/>
      <c r="R842" s="50" t="s">
        <v>48</v>
      </c>
      <c r="S842" s="52" t="s">
        <v>2829</v>
      </c>
    </row>
    <row r="843" customFormat="false" ht="15" hidden="false" customHeight="true" outlineLevel="0" collapsed="false">
      <c r="A843" s="46" t="n">
        <v>854</v>
      </c>
      <c r="B843" s="24" t="s">
        <v>4847</v>
      </c>
      <c r="C843" s="47"/>
      <c r="D843" s="47" t="s">
        <v>4748</v>
      </c>
      <c r="E843" s="46" t="s">
        <v>16</v>
      </c>
      <c r="F843" s="46" t="s">
        <v>2104</v>
      </c>
      <c r="G843" s="24" t="s">
        <v>4853</v>
      </c>
      <c r="H843" s="48" t="n">
        <v>5</v>
      </c>
      <c r="I843" s="46"/>
      <c r="J843" s="47" t="s">
        <v>1968</v>
      </c>
      <c r="K843" s="24" t="s">
        <v>3522</v>
      </c>
      <c r="L843" s="46" t="s">
        <v>4706</v>
      </c>
      <c r="M843" s="24" t="s">
        <v>4752</v>
      </c>
      <c r="N843" s="46" t="s">
        <v>4753</v>
      </c>
      <c r="O843" s="24" t="s">
        <v>3698</v>
      </c>
      <c r="P843" s="46" t="s">
        <v>3699</v>
      </c>
      <c r="Q843" s="46"/>
      <c r="R843" s="47" t="s">
        <v>48</v>
      </c>
      <c r="S843" s="52" t="s">
        <v>67</v>
      </c>
    </row>
    <row r="844" customFormat="false" ht="15" hidden="false" customHeight="true" outlineLevel="0" collapsed="false">
      <c r="A844" s="49" t="n">
        <v>855</v>
      </c>
      <c r="B844" s="25" t="s">
        <v>4847</v>
      </c>
      <c r="C844" s="50"/>
      <c r="D844" s="50" t="s">
        <v>4748</v>
      </c>
      <c r="E844" s="49" t="s">
        <v>16</v>
      </c>
      <c r="F844" s="49" t="s">
        <v>2104</v>
      </c>
      <c r="G844" s="25" t="s">
        <v>4854</v>
      </c>
      <c r="H844" s="51" t="n">
        <v>5</v>
      </c>
      <c r="I844" s="49"/>
      <c r="J844" s="50" t="s">
        <v>1969</v>
      </c>
      <c r="K844" s="25" t="s">
        <v>3882</v>
      </c>
      <c r="L844" s="49" t="s">
        <v>4708</v>
      </c>
      <c r="M844" s="25" t="s">
        <v>4752</v>
      </c>
      <c r="N844" s="49" t="s">
        <v>4753</v>
      </c>
      <c r="O844" s="25" t="s">
        <v>3698</v>
      </c>
      <c r="P844" s="49" t="s">
        <v>3699</v>
      </c>
      <c r="Q844" s="49"/>
      <c r="R844" s="50" t="s">
        <v>48</v>
      </c>
      <c r="S844" s="52" t="s">
        <v>67</v>
      </c>
    </row>
    <row r="845" customFormat="false" ht="15" hidden="false" customHeight="true" outlineLevel="0" collapsed="false">
      <c r="A845" s="46" t="n">
        <v>856</v>
      </c>
      <c r="B845" s="24" t="s">
        <v>4847</v>
      </c>
      <c r="C845" s="47"/>
      <c r="D845" s="47" t="s">
        <v>4748</v>
      </c>
      <c r="E845" s="46" t="s">
        <v>16</v>
      </c>
      <c r="F845" s="46" t="s">
        <v>2104</v>
      </c>
      <c r="G845" s="24" t="s">
        <v>4855</v>
      </c>
      <c r="H845" s="48" t="n">
        <v>5</v>
      </c>
      <c r="I845" s="46"/>
      <c r="J845" s="47" t="s">
        <v>1970</v>
      </c>
      <c r="K845" s="24" t="s">
        <v>4710</v>
      </c>
      <c r="L845" s="46" t="s">
        <v>4711</v>
      </c>
      <c r="M845" s="24" t="s">
        <v>4752</v>
      </c>
      <c r="N845" s="46" t="s">
        <v>4753</v>
      </c>
      <c r="O845" s="24" t="s">
        <v>3698</v>
      </c>
      <c r="P845" s="46" t="s">
        <v>3699</v>
      </c>
      <c r="Q845" s="46"/>
      <c r="R845" s="47" t="s">
        <v>48</v>
      </c>
      <c r="S845" s="52" t="s">
        <v>67</v>
      </c>
    </row>
    <row r="846" customFormat="false" ht="15" hidden="false" customHeight="true" outlineLevel="0" collapsed="false">
      <c r="A846" s="49" t="n">
        <v>857</v>
      </c>
      <c r="B846" s="25" t="s">
        <v>4847</v>
      </c>
      <c r="C846" s="50"/>
      <c r="D846" s="50" t="s">
        <v>4748</v>
      </c>
      <c r="E846" s="49" t="s">
        <v>16</v>
      </c>
      <c r="F846" s="49" t="s">
        <v>2104</v>
      </c>
      <c r="G846" s="25" t="s">
        <v>4856</v>
      </c>
      <c r="H846" s="51" t="n">
        <v>5</v>
      </c>
      <c r="I846" s="49"/>
      <c r="J846" s="50" t="s">
        <v>1971</v>
      </c>
      <c r="K846" s="25" t="s">
        <v>4713</v>
      </c>
      <c r="L846" s="49" t="s">
        <v>4714</v>
      </c>
      <c r="M846" s="25" t="s">
        <v>4752</v>
      </c>
      <c r="N846" s="49" t="s">
        <v>4753</v>
      </c>
      <c r="O846" s="25" t="s">
        <v>3698</v>
      </c>
      <c r="P846" s="49" t="s">
        <v>3699</v>
      </c>
      <c r="Q846" s="49"/>
      <c r="R846" s="50" t="s">
        <v>48</v>
      </c>
      <c r="S846" s="52" t="s">
        <v>67</v>
      </c>
    </row>
    <row r="847" customFormat="false" ht="15" hidden="false" customHeight="true" outlineLevel="0" collapsed="false">
      <c r="A847" s="46" t="n">
        <v>858</v>
      </c>
      <c r="B847" s="24" t="s">
        <v>4847</v>
      </c>
      <c r="C847" s="47"/>
      <c r="D847" s="47" t="s">
        <v>4748</v>
      </c>
      <c r="E847" s="46" t="s">
        <v>16</v>
      </c>
      <c r="F847" s="46" t="s">
        <v>2104</v>
      </c>
      <c r="G847" s="24" t="s">
        <v>4857</v>
      </c>
      <c r="H847" s="48" t="n">
        <v>5</v>
      </c>
      <c r="I847" s="46"/>
      <c r="J847" s="47" t="s">
        <v>1972</v>
      </c>
      <c r="K847" s="24" t="s">
        <v>4623</v>
      </c>
      <c r="L847" s="46" t="s">
        <v>4858</v>
      </c>
      <c r="M847" s="24" t="s">
        <v>4752</v>
      </c>
      <c r="N847" s="46" t="s">
        <v>4753</v>
      </c>
      <c r="O847" s="24" t="s">
        <v>3698</v>
      </c>
      <c r="P847" s="46" t="s">
        <v>3699</v>
      </c>
      <c r="Q847" s="46"/>
      <c r="R847" s="47" t="s">
        <v>48</v>
      </c>
      <c r="S847" s="52" t="s">
        <v>67</v>
      </c>
    </row>
    <row r="848" customFormat="false" ht="15" hidden="false" customHeight="true" outlineLevel="0" collapsed="false">
      <c r="A848" s="49" t="n">
        <v>859</v>
      </c>
      <c r="B848" s="25" t="s">
        <v>4847</v>
      </c>
      <c r="C848" s="50"/>
      <c r="D848" s="50" t="s">
        <v>4748</v>
      </c>
      <c r="E848" s="49" t="s">
        <v>16</v>
      </c>
      <c r="F848" s="49" t="s">
        <v>2104</v>
      </c>
      <c r="G848" s="25" t="s">
        <v>4859</v>
      </c>
      <c r="H848" s="51" t="n">
        <v>5</v>
      </c>
      <c r="I848" s="49"/>
      <c r="J848" s="50" t="s">
        <v>1974</v>
      </c>
      <c r="K848" s="25" t="s">
        <v>3943</v>
      </c>
      <c r="L848" s="49" t="s">
        <v>4860</v>
      </c>
      <c r="M848" s="25" t="s">
        <v>4752</v>
      </c>
      <c r="N848" s="49" t="s">
        <v>4753</v>
      </c>
      <c r="O848" s="25" t="s">
        <v>3698</v>
      </c>
      <c r="P848" s="49" t="s">
        <v>3699</v>
      </c>
      <c r="Q848" s="49"/>
      <c r="R848" s="50" t="s">
        <v>48</v>
      </c>
      <c r="S848" s="52" t="s">
        <v>67</v>
      </c>
    </row>
    <row r="849" customFormat="false" ht="15" hidden="false" customHeight="true" outlineLevel="0" collapsed="false">
      <c r="A849" s="46" t="n">
        <v>860</v>
      </c>
      <c r="B849" s="24" t="s">
        <v>4847</v>
      </c>
      <c r="C849" s="47"/>
      <c r="D849" s="47" t="s">
        <v>4748</v>
      </c>
      <c r="E849" s="46" t="s">
        <v>16</v>
      </c>
      <c r="F849" s="46" t="s">
        <v>2104</v>
      </c>
      <c r="G849" s="24" t="s">
        <v>4861</v>
      </c>
      <c r="H849" s="48" t="n">
        <v>5</v>
      </c>
      <c r="I849" s="46"/>
      <c r="J849" s="47" t="s">
        <v>1976</v>
      </c>
      <c r="K849" s="24" t="s">
        <v>4862</v>
      </c>
      <c r="L849" s="46" t="s">
        <v>4863</v>
      </c>
      <c r="M849" s="24" t="s">
        <v>4752</v>
      </c>
      <c r="N849" s="46" t="s">
        <v>4753</v>
      </c>
      <c r="O849" s="24" t="s">
        <v>3698</v>
      </c>
      <c r="P849" s="46" t="s">
        <v>3699</v>
      </c>
      <c r="Q849" s="46"/>
      <c r="R849" s="47" t="s">
        <v>48</v>
      </c>
      <c r="S849" s="52" t="s">
        <v>67</v>
      </c>
    </row>
    <row r="850" customFormat="false" ht="15" hidden="false" customHeight="true" outlineLevel="0" collapsed="false">
      <c r="A850" s="49" t="n">
        <v>861</v>
      </c>
      <c r="B850" s="25" t="s">
        <v>4847</v>
      </c>
      <c r="C850" s="50"/>
      <c r="D850" s="50" t="s">
        <v>4748</v>
      </c>
      <c r="E850" s="49" t="s">
        <v>16</v>
      </c>
      <c r="F850" s="49" t="s">
        <v>2104</v>
      </c>
      <c r="G850" s="25" t="s">
        <v>4864</v>
      </c>
      <c r="H850" s="51" t="n">
        <v>5</v>
      </c>
      <c r="I850" s="49"/>
      <c r="J850" s="50" t="s">
        <v>4865</v>
      </c>
      <c r="K850" s="25" t="s">
        <v>4134</v>
      </c>
      <c r="L850" s="49" t="s">
        <v>4866</v>
      </c>
      <c r="M850" s="25" t="s">
        <v>4752</v>
      </c>
      <c r="N850" s="49" t="s">
        <v>4753</v>
      </c>
      <c r="O850" s="25" t="s">
        <v>3698</v>
      </c>
      <c r="P850" s="49" t="s">
        <v>3699</v>
      </c>
      <c r="Q850" s="49"/>
      <c r="R850" s="50" t="s">
        <v>48</v>
      </c>
      <c r="S850" s="52" t="s">
        <v>67</v>
      </c>
    </row>
    <row r="851" customFormat="false" ht="15" hidden="false" customHeight="true" outlineLevel="0" collapsed="false">
      <c r="A851" s="46" t="n">
        <v>862</v>
      </c>
      <c r="B851" s="24" t="s">
        <v>4847</v>
      </c>
      <c r="C851" s="47"/>
      <c r="D851" s="47" t="s">
        <v>4748</v>
      </c>
      <c r="E851" s="46" t="s">
        <v>16</v>
      </c>
      <c r="F851" s="46" t="s">
        <v>2104</v>
      </c>
      <c r="G851" s="24" t="s">
        <v>4867</v>
      </c>
      <c r="H851" s="48" t="n">
        <v>5</v>
      </c>
      <c r="I851" s="46"/>
      <c r="J851" s="47" t="s">
        <v>3103</v>
      </c>
      <c r="K851" s="24" t="s">
        <v>3837</v>
      </c>
      <c r="L851" s="46" t="s">
        <v>4868</v>
      </c>
      <c r="M851" s="24" t="s">
        <v>4752</v>
      </c>
      <c r="N851" s="46" t="s">
        <v>4753</v>
      </c>
      <c r="O851" s="24" t="s">
        <v>3698</v>
      </c>
      <c r="P851" s="46" t="s">
        <v>3699</v>
      </c>
      <c r="Q851" s="46"/>
      <c r="R851" s="47" t="s">
        <v>48</v>
      </c>
      <c r="S851" s="52" t="s">
        <v>2829</v>
      </c>
    </row>
    <row r="852" customFormat="false" ht="15" hidden="false" customHeight="true" outlineLevel="0" collapsed="false">
      <c r="A852" s="49" t="n">
        <v>863</v>
      </c>
      <c r="B852" s="25" t="s">
        <v>4847</v>
      </c>
      <c r="C852" s="50"/>
      <c r="D852" s="50" t="s">
        <v>4748</v>
      </c>
      <c r="E852" s="49" t="s">
        <v>16</v>
      </c>
      <c r="F852" s="49" t="s">
        <v>2104</v>
      </c>
      <c r="G852" s="25" t="s">
        <v>4869</v>
      </c>
      <c r="H852" s="51" t="n">
        <v>5</v>
      </c>
      <c r="I852" s="49"/>
      <c r="J852" s="50" t="s">
        <v>3103</v>
      </c>
      <c r="K852" s="25" t="s">
        <v>4623</v>
      </c>
      <c r="L852" s="49" t="s">
        <v>4858</v>
      </c>
      <c r="M852" s="25" t="s">
        <v>4752</v>
      </c>
      <c r="N852" s="49" t="s">
        <v>4753</v>
      </c>
      <c r="O852" s="25" t="s">
        <v>3698</v>
      </c>
      <c r="P852" s="49" t="s">
        <v>3699</v>
      </c>
      <c r="Q852" s="49"/>
      <c r="R852" s="50" t="s">
        <v>48</v>
      </c>
      <c r="S852" s="52" t="s">
        <v>2829</v>
      </c>
    </row>
    <row r="853" customFormat="false" ht="15" hidden="false" customHeight="true" outlineLevel="0" collapsed="false">
      <c r="A853" s="46" t="n">
        <v>864</v>
      </c>
      <c r="B853" s="24" t="s">
        <v>4870</v>
      </c>
      <c r="C853" s="47"/>
      <c r="D853" s="47" t="s">
        <v>4870</v>
      </c>
      <c r="E853" s="46" t="s">
        <v>20</v>
      </c>
      <c r="F853" s="46" t="s">
        <v>2104</v>
      </c>
      <c r="G853" s="24" t="s">
        <v>4871</v>
      </c>
      <c r="H853" s="48" t="n">
        <v>5</v>
      </c>
      <c r="I853" s="46" t="s">
        <v>3102</v>
      </c>
      <c r="J853" s="47" t="s">
        <v>4872</v>
      </c>
      <c r="K853" s="24" t="s">
        <v>4873</v>
      </c>
      <c r="L853" s="46" t="s">
        <v>4874</v>
      </c>
      <c r="M853" s="24" t="s">
        <v>4875</v>
      </c>
      <c r="N853" s="46" t="s">
        <v>2352</v>
      </c>
      <c r="O853" s="24" t="s">
        <v>4876</v>
      </c>
      <c r="P853" s="46" t="s">
        <v>4877</v>
      </c>
      <c r="Q853" s="46"/>
      <c r="R853" s="47" t="s">
        <v>48</v>
      </c>
      <c r="S853" s="47"/>
    </row>
    <row r="854" customFormat="false" ht="15" hidden="false" customHeight="true" outlineLevel="0" collapsed="false">
      <c r="A854" s="49" t="n">
        <v>865</v>
      </c>
      <c r="B854" s="25" t="s">
        <v>4878</v>
      </c>
      <c r="C854" s="50"/>
      <c r="D854" s="50" t="s">
        <v>4879</v>
      </c>
      <c r="E854" s="49" t="s">
        <v>20</v>
      </c>
      <c r="F854" s="49" t="s">
        <v>2104</v>
      </c>
      <c r="G854" s="25" t="s">
        <v>4880</v>
      </c>
      <c r="H854" s="51" t="n">
        <v>5</v>
      </c>
      <c r="I854" s="49" t="s">
        <v>3139</v>
      </c>
      <c r="J854" s="50" t="s">
        <v>4881</v>
      </c>
      <c r="K854" s="25" t="s">
        <v>4882</v>
      </c>
      <c r="L854" s="49" t="s">
        <v>4883</v>
      </c>
      <c r="M854" s="25" t="s">
        <v>2679</v>
      </c>
      <c r="N854" s="49" t="s">
        <v>4884</v>
      </c>
      <c r="O854" s="25"/>
      <c r="P854" s="49"/>
      <c r="Q854" s="49"/>
      <c r="R854" s="50" t="s">
        <v>49</v>
      </c>
      <c r="S854" s="52" t="s">
        <v>69</v>
      </c>
    </row>
    <row r="855" customFormat="false" ht="15" hidden="false" customHeight="true" outlineLevel="0" collapsed="false">
      <c r="A855" s="46" t="n">
        <v>866</v>
      </c>
      <c r="B855" s="24" t="s">
        <v>4885</v>
      </c>
      <c r="C855" s="47"/>
      <c r="D855" s="47" t="s">
        <v>4885</v>
      </c>
      <c r="E855" s="46" t="s">
        <v>18</v>
      </c>
      <c r="F855" s="46" t="s">
        <v>2104</v>
      </c>
      <c r="G855" s="24" t="s">
        <v>1036</v>
      </c>
      <c r="H855" s="48" t="n">
        <v>5</v>
      </c>
      <c r="I855" s="46" t="s">
        <v>4886</v>
      </c>
      <c r="J855" s="47" t="s">
        <v>4887</v>
      </c>
      <c r="K855" s="24" t="s">
        <v>4888</v>
      </c>
      <c r="L855" s="46" t="s">
        <v>4889</v>
      </c>
      <c r="M855" s="24" t="s">
        <v>2380</v>
      </c>
      <c r="N855" s="46" t="s">
        <v>4890</v>
      </c>
      <c r="O855" s="24" t="s">
        <v>4891</v>
      </c>
      <c r="P855" s="46" t="s">
        <v>4892</v>
      </c>
      <c r="Q855" s="46"/>
      <c r="R855" s="47" t="s">
        <v>44</v>
      </c>
      <c r="S855" s="47"/>
    </row>
    <row r="856" customFormat="false" ht="15" hidden="false" customHeight="true" outlineLevel="0" collapsed="false">
      <c r="A856" s="49" t="n">
        <v>867</v>
      </c>
      <c r="B856" s="25" t="s">
        <v>4893</v>
      </c>
      <c r="C856" s="50"/>
      <c r="D856" s="50" t="s">
        <v>4885</v>
      </c>
      <c r="E856" s="49" t="s">
        <v>18</v>
      </c>
      <c r="F856" s="49" t="s">
        <v>2104</v>
      </c>
      <c r="G856" s="25" t="s">
        <v>1036</v>
      </c>
      <c r="H856" s="51" t="n">
        <v>5</v>
      </c>
      <c r="I856" s="49" t="s">
        <v>4886</v>
      </c>
      <c r="J856" s="50" t="s">
        <v>4894</v>
      </c>
      <c r="K856" s="25" t="s">
        <v>4895</v>
      </c>
      <c r="L856" s="49" t="s">
        <v>4896</v>
      </c>
      <c r="M856" s="25" t="s">
        <v>4897</v>
      </c>
      <c r="N856" s="49" t="s">
        <v>4898</v>
      </c>
      <c r="O856" s="25" t="s">
        <v>4891</v>
      </c>
      <c r="P856" s="49" t="s">
        <v>4892</v>
      </c>
      <c r="Q856" s="49"/>
      <c r="R856" s="50" t="s">
        <v>44</v>
      </c>
      <c r="S856" s="50"/>
    </row>
    <row r="857" customFormat="false" ht="15" hidden="false" customHeight="true" outlineLevel="0" collapsed="false">
      <c r="A857" s="46" t="n">
        <v>868</v>
      </c>
      <c r="B857" s="24" t="s">
        <v>4899</v>
      </c>
      <c r="C857" s="47"/>
      <c r="D857" s="47" t="s">
        <v>4885</v>
      </c>
      <c r="E857" s="46" t="s">
        <v>18</v>
      </c>
      <c r="F857" s="46" t="s">
        <v>2104</v>
      </c>
      <c r="G857" s="24" t="s">
        <v>1036</v>
      </c>
      <c r="H857" s="48" t="n">
        <v>5</v>
      </c>
      <c r="I857" s="46" t="s">
        <v>4886</v>
      </c>
      <c r="J857" s="47" t="s">
        <v>4900</v>
      </c>
      <c r="K857" s="24" t="s">
        <v>4901</v>
      </c>
      <c r="L857" s="46" t="s">
        <v>4902</v>
      </c>
      <c r="M857" s="24" t="s">
        <v>4903</v>
      </c>
      <c r="N857" s="46" t="s">
        <v>4904</v>
      </c>
      <c r="O857" s="24" t="s">
        <v>4891</v>
      </c>
      <c r="P857" s="46" t="s">
        <v>4905</v>
      </c>
      <c r="Q857" s="46"/>
      <c r="R857" s="47" t="s">
        <v>44</v>
      </c>
      <c r="S857" s="47"/>
    </row>
    <row r="858" customFormat="false" ht="15" hidden="false" customHeight="true" outlineLevel="0" collapsed="false">
      <c r="A858" s="49" t="n">
        <v>869</v>
      </c>
      <c r="B858" s="25" t="s">
        <v>4906</v>
      </c>
      <c r="C858" s="50"/>
      <c r="D858" s="50" t="s">
        <v>4885</v>
      </c>
      <c r="E858" s="49" t="s">
        <v>18</v>
      </c>
      <c r="F858" s="49" t="s">
        <v>2104</v>
      </c>
      <c r="G858" s="25" t="s">
        <v>1036</v>
      </c>
      <c r="H858" s="51" t="n">
        <v>5</v>
      </c>
      <c r="I858" s="49" t="s">
        <v>4886</v>
      </c>
      <c r="J858" s="50" t="s">
        <v>4907</v>
      </c>
      <c r="K858" s="25" t="s">
        <v>4908</v>
      </c>
      <c r="L858" s="49" t="s">
        <v>4909</v>
      </c>
      <c r="M858" s="25" t="s">
        <v>4897</v>
      </c>
      <c r="N858" s="49" t="s">
        <v>4898</v>
      </c>
      <c r="O858" s="25" t="s">
        <v>4891</v>
      </c>
      <c r="P858" s="49" t="s">
        <v>4910</v>
      </c>
      <c r="Q858" s="49"/>
      <c r="R858" s="50" t="s">
        <v>44</v>
      </c>
      <c r="S858" s="50"/>
    </row>
    <row r="859" customFormat="false" ht="15" hidden="false" customHeight="true" outlineLevel="0" collapsed="false">
      <c r="A859" s="46" t="n">
        <v>870</v>
      </c>
      <c r="B859" s="24" t="s">
        <v>4893</v>
      </c>
      <c r="C859" s="47"/>
      <c r="D859" s="47" t="s">
        <v>4885</v>
      </c>
      <c r="E859" s="46" t="s">
        <v>18</v>
      </c>
      <c r="F859" s="46" t="s">
        <v>2104</v>
      </c>
      <c r="G859" s="24" t="s">
        <v>1036</v>
      </c>
      <c r="H859" s="48" t="n">
        <v>5</v>
      </c>
      <c r="I859" s="46" t="s">
        <v>4886</v>
      </c>
      <c r="J859" s="47" t="s">
        <v>4911</v>
      </c>
      <c r="K859" s="24" t="s">
        <v>4912</v>
      </c>
      <c r="L859" s="46" t="s">
        <v>4889</v>
      </c>
      <c r="M859" s="24" t="s">
        <v>4897</v>
      </c>
      <c r="N859" s="46" t="s">
        <v>4898</v>
      </c>
      <c r="O859" s="24" t="s">
        <v>4891</v>
      </c>
      <c r="P859" s="46" t="s">
        <v>4913</v>
      </c>
      <c r="Q859" s="46"/>
      <c r="R859" s="47" t="s">
        <v>44</v>
      </c>
      <c r="S859" s="47"/>
    </row>
    <row r="860" customFormat="false" ht="15" hidden="false" customHeight="true" outlineLevel="0" collapsed="false">
      <c r="A860" s="49" t="n">
        <v>871</v>
      </c>
      <c r="B860" s="25" t="s">
        <v>4914</v>
      </c>
      <c r="C860" s="50"/>
      <c r="D860" s="50" t="s">
        <v>4885</v>
      </c>
      <c r="E860" s="49" t="s">
        <v>18</v>
      </c>
      <c r="F860" s="49" t="s">
        <v>2104</v>
      </c>
      <c r="G860" s="25" t="s">
        <v>1036</v>
      </c>
      <c r="H860" s="51" t="n">
        <v>5</v>
      </c>
      <c r="I860" s="49" t="s">
        <v>4886</v>
      </c>
      <c r="J860" s="50" t="s">
        <v>4915</v>
      </c>
      <c r="K860" s="25" t="s">
        <v>4916</v>
      </c>
      <c r="L860" s="49" t="s">
        <v>4917</v>
      </c>
      <c r="M860" s="25" t="s">
        <v>4903</v>
      </c>
      <c r="N860" s="49" t="s">
        <v>4904</v>
      </c>
      <c r="O860" s="25" t="s">
        <v>4891</v>
      </c>
      <c r="P860" s="49" t="s">
        <v>4918</v>
      </c>
      <c r="Q860" s="49"/>
      <c r="R860" s="50" t="s">
        <v>44</v>
      </c>
      <c r="S860" s="50"/>
    </row>
    <row r="861" customFormat="false" ht="15" hidden="false" customHeight="true" outlineLevel="0" collapsed="false">
      <c r="A861" s="46" t="n">
        <v>872</v>
      </c>
      <c r="B861" s="24" t="s">
        <v>4914</v>
      </c>
      <c r="C861" s="47"/>
      <c r="D861" s="47" t="s">
        <v>4885</v>
      </c>
      <c r="E861" s="46" t="s">
        <v>18</v>
      </c>
      <c r="F861" s="46" t="s">
        <v>2104</v>
      </c>
      <c r="G861" s="24" t="s">
        <v>1036</v>
      </c>
      <c r="H861" s="48" t="n">
        <v>5</v>
      </c>
      <c r="I861" s="46" t="s">
        <v>4886</v>
      </c>
      <c r="J861" s="47" t="s">
        <v>4919</v>
      </c>
      <c r="K861" s="24" t="s">
        <v>4920</v>
      </c>
      <c r="L861" s="46" t="s">
        <v>4921</v>
      </c>
      <c r="M861" s="24" t="s">
        <v>4903</v>
      </c>
      <c r="N861" s="46" t="s">
        <v>4904</v>
      </c>
      <c r="O861" s="24" t="s">
        <v>4891</v>
      </c>
      <c r="P861" s="46" t="s">
        <v>4922</v>
      </c>
      <c r="Q861" s="46"/>
      <c r="R861" s="47" t="s">
        <v>44</v>
      </c>
      <c r="S861" s="47"/>
    </row>
    <row r="862" customFormat="false" ht="15" hidden="false" customHeight="true" outlineLevel="0" collapsed="false">
      <c r="A862" s="49" t="n">
        <v>873</v>
      </c>
      <c r="B862" s="25" t="s">
        <v>4923</v>
      </c>
      <c r="C862" s="50"/>
      <c r="D862" s="50" t="s">
        <v>4885</v>
      </c>
      <c r="E862" s="49" t="s">
        <v>18</v>
      </c>
      <c r="F862" s="49" t="s">
        <v>2104</v>
      </c>
      <c r="G862" s="25" t="s">
        <v>1036</v>
      </c>
      <c r="H862" s="51" t="n">
        <v>5</v>
      </c>
      <c r="I862" s="49" t="s">
        <v>4886</v>
      </c>
      <c r="J862" s="50" t="s">
        <v>4924</v>
      </c>
      <c r="K862" s="25" t="s">
        <v>4925</v>
      </c>
      <c r="L862" s="49" t="s">
        <v>4926</v>
      </c>
      <c r="M862" s="25" t="s">
        <v>2380</v>
      </c>
      <c r="N862" s="49" t="s">
        <v>4890</v>
      </c>
      <c r="O862" s="25" t="s">
        <v>4891</v>
      </c>
      <c r="P862" s="49" t="s">
        <v>4927</v>
      </c>
      <c r="Q862" s="49"/>
      <c r="R862" s="50" t="s">
        <v>44</v>
      </c>
      <c r="S862" s="50"/>
    </row>
    <row r="863" customFormat="false" ht="15" hidden="false" customHeight="true" outlineLevel="0" collapsed="false">
      <c r="A863" s="46" t="n">
        <v>874</v>
      </c>
      <c r="B863" s="24" t="s">
        <v>4928</v>
      </c>
      <c r="C863" s="47"/>
      <c r="D863" s="47" t="s">
        <v>4885</v>
      </c>
      <c r="E863" s="46" t="s">
        <v>18</v>
      </c>
      <c r="F863" s="46" t="s">
        <v>2104</v>
      </c>
      <c r="G863" s="24" t="s">
        <v>1036</v>
      </c>
      <c r="H863" s="48" t="n">
        <v>5</v>
      </c>
      <c r="I863" s="46" t="s">
        <v>4886</v>
      </c>
      <c r="J863" s="47" t="s">
        <v>4929</v>
      </c>
      <c r="K863" s="24" t="s">
        <v>2773</v>
      </c>
      <c r="L863" s="46" t="s">
        <v>4926</v>
      </c>
      <c r="M863" s="24" t="s">
        <v>2380</v>
      </c>
      <c r="N863" s="46" t="s">
        <v>4890</v>
      </c>
      <c r="O863" s="24" t="s">
        <v>4891</v>
      </c>
      <c r="P863" s="46" t="s">
        <v>4930</v>
      </c>
      <c r="Q863" s="46"/>
      <c r="R863" s="47" t="s">
        <v>44</v>
      </c>
      <c r="S863" s="47"/>
    </row>
    <row r="864" customFormat="false" ht="15" hidden="false" customHeight="true" outlineLevel="0" collapsed="false">
      <c r="A864" s="49" t="n">
        <v>875</v>
      </c>
      <c r="B864" s="25" t="s">
        <v>4928</v>
      </c>
      <c r="C864" s="50"/>
      <c r="D864" s="50" t="s">
        <v>4885</v>
      </c>
      <c r="E864" s="49" t="s">
        <v>18</v>
      </c>
      <c r="F864" s="49" t="s">
        <v>2104</v>
      </c>
      <c r="G864" s="25" t="s">
        <v>1036</v>
      </c>
      <c r="H864" s="51" t="n">
        <v>5</v>
      </c>
      <c r="I864" s="49" t="s">
        <v>4886</v>
      </c>
      <c r="J864" s="50" t="s">
        <v>4931</v>
      </c>
      <c r="K864" s="25" t="s">
        <v>2192</v>
      </c>
      <c r="L864" s="49" t="s">
        <v>4932</v>
      </c>
      <c r="M864" s="25" t="s">
        <v>2380</v>
      </c>
      <c r="N864" s="49" t="s">
        <v>4890</v>
      </c>
      <c r="O864" s="25" t="s">
        <v>4891</v>
      </c>
      <c r="P864" s="49" t="s">
        <v>4933</v>
      </c>
      <c r="Q864" s="49"/>
      <c r="R864" s="50" t="s">
        <v>44</v>
      </c>
      <c r="S864" s="50"/>
    </row>
    <row r="865" customFormat="false" ht="15" hidden="false" customHeight="true" outlineLevel="0" collapsed="false">
      <c r="A865" s="46" t="n">
        <v>876</v>
      </c>
      <c r="B865" s="24" t="s">
        <v>4906</v>
      </c>
      <c r="C865" s="47"/>
      <c r="D865" s="47" t="s">
        <v>4885</v>
      </c>
      <c r="E865" s="46" t="s">
        <v>18</v>
      </c>
      <c r="F865" s="46" t="s">
        <v>2104</v>
      </c>
      <c r="G865" s="24" t="s">
        <v>1036</v>
      </c>
      <c r="H865" s="48" t="n">
        <v>5</v>
      </c>
      <c r="I865" s="46" t="s">
        <v>4886</v>
      </c>
      <c r="J865" s="47" t="s">
        <v>4934</v>
      </c>
      <c r="K865" s="24" t="s">
        <v>4935</v>
      </c>
      <c r="L865" s="46" t="s">
        <v>4936</v>
      </c>
      <c r="M865" s="24" t="s">
        <v>4897</v>
      </c>
      <c r="N865" s="46" t="s">
        <v>4898</v>
      </c>
      <c r="O865" s="24" t="s">
        <v>4891</v>
      </c>
      <c r="P865" s="46" t="s">
        <v>4937</v>
      </c>
      <c r="Q865" s="46"/>
      <c r="R865" s="47" t="s">
        <v>44</v>
      </c>
      <c r="S865" s="47"/>
    </row>
    <row r="866" customFormat="false" ht="15" hidden="false" customHeight="true" outlineLevel="0" collapsed="false">
      <c r="A866" s="49" t="n">
        <v>877</v>
      </c>
      <c r="B866" s="25" t="s">
        <v>4906</v>
      </c>
      <c r="C866" s="50"/>
      <c r="D866" s="50" t="s">
        <v>4885</v>
      </c>
      <c r="E866" s="49" t="s">
        <v>18</v>
      </c>
      <c r="F866" s="49" t="s">
        <v>2104</v>
      </c>
      <c r="G866" s="25" t="s">
        <v>1036</v>
      </c>
      <c r="H866" s="51" t="n">
        <v>5</v>
      </c>
      <c r="I866" s="49" t="s">
        <v>4886</v>
      </c>
      <c r="J866" s="50" t="s">
        <v>4938</v>
      </c>
      <c r="K866" s="25" t="s">
        <v>4939</v>
      </c>
      <c r="L866" s="49" t="s">
        <v>4940</v>
      </c>
      <c r="M866" s="25" t="s">
        <v>4897</v>
      </c>
      <c r="N866" s="49" t="s">
        <v>4898</v>
      </c>
      <c r="O866" s="25" t="s">
        <v>4891</v>
      </c>
      <c r="P866" s="49" t="s">
        <v>4941</v>
      </c>
      <c r="Q866" s="49"/>
      <c r="R866" s="50" t="s">
        <v>44</v>
      </c>
      <c r="S866" s="50"/>
    </row>
    <row r="867" customFormat="false" ht="15" hidden="false" customHeight="true" outlineLevel="0" collapsed="false">
      <c r="A867" s="46" t="n">
        <v>878</v>
      </c>
      <c r="B867" s="24" t="s">
        <v>4906</v>
      </c>
      <c r="C867" s="47"/>
      <c r="D867" s="47" t="s">
        <v>4885</v>
      </c>
      <c r="E867" s="46" t="s">
        <v>18</v>
      </c>
      <c r="F867" s="46" t="s">
        <v>2104</v>
      </c>
      <c r="G867" s="24" t="s">
        <v>1036</v>
      </c>
      <c r="H867" s="48" t="n">
        <v>5</v>
      </c>
      <c r="I867" s="46" t="s">
        <v>4886</v>
      </c>
      <c r="J867" s="47" t="s">
        <v>4942</v>
      </c>
      <c r="K867" s="24" t="s">
        <v>4943</v>
      </c>
      <c r="L867" s="46" t="s">
        <v>4944</v>
      </c>
      <c r="M867" s="24" t="s">
        <v>4897</v>
      </c>
      <c r="N867" s="46" t="s">
        <v>4898</v>
      </c>
      <c r="O867" s="24" t="s">
        <v>4891</v>
      </c>
      <c r="P867" s="46" t="s">
        <v>4945</v>
      </c>
      <c r="Q867" s="46"/>
      <c r="R867" s="47" t="s">
        <v>44</v>
      </c>
      <c r="S867" s="47"/>
    </row>
    <row r="868" customFormat="false" ht="15" hidden="false" customHeight="true" outlineLevel="0" collapsed="false">
      <c r="A868" s="49" t="n">
        <v>879</v>
      </c>
      <c r="B868" s="25" t="s">
        <v>4906</v>
      </c>
      <c r="C868" s="50"/>
      <c r="D868" s="50" t="s">
        <v>4885</v>
      </c>
      <c r="E868" s="49" t="s">
        <v>18</v>
      </c>
      <c r="F868" s="49" t="s">
        <v>2104</v>
      </c>
      <c r="G868" s="25" t="s">
        <v>1036</v>
      </c>
      <c r="H868" s="51" t="n">
        <v>5</v>
      </c>
      <c r="I868" s="49" t="s">
        <v>4886</v>
      </c>
      <c r="J868" s="50" t="s">
        <v>4946</v>
      </c>
      <c r="K868" s="25" t="s">
        <v>2779</v>
      </c>
      <c r="L868" s="49" t="s">
        <v>4947</v>
      </c>
      <c r="M868" s="25" t="s">
        <v>4897</v>
      </c>
      <c r="N868" s="49" t="s">
        <v>4898</v>
      </c>
      <c r="O868" s="25" t="s">
        <v>4891</v>
      </c>
      <c r="P868" s="49" t="s">
        <v>4892</v>
      </c>
      <c r="Q868" s="49"/>
      <c r="R868" s="50" t="s">
        <v>44</v>
      </c>
      <c r="S868" s="50"/>
    </row>
    <row r="869" customFormat="false" ht="15" hidden="false" customHeight="true" outlineLevel="0" collapsed="false">
      <c r="A869" s="46" t="n">
        <v>880</v>
      </c>
      <c r="B869" s="24" t="s">
        <v>4906</v>
      </c>
      <c r="C869" s="47"/>
      <c r="D869" s="47" t="s">
        <v>4885</v>
      </c>
      <c r="E869" s="46" t="s">
        <v>18</v>
      </c>
      <c r="F869" s="46" t="s">
        <v>2104</v>
      </c>
      <c r="G869" s="24" t="s">
        <v>1036</v>
      </c>
      <c r="H869" s="48" t="n">
        <v>5</v>
      </c>
      <c r="I869" s="46" t="s">
        <v>4948</v>
      </c>
      <c r="J869" s="47" t="s">
        <v>4949</v>
      </c>
      <c r="K869" s="24" t="s">
        <v>4950</v>
      </c>
      <c r="L869" s="46" t="s">
        <v>4951</v>
      </c>
      <c r="M869" s="24" t="s">
        <v>4897</v>
      </c>
      <c r="N869" s="46" t="s">
        <v>4898</v>
      </c>
      <c r="O869" s="24" t="s">
        <v>4891</v>
      </c>
      <c r="P869" s="46" t="s">
        <v>4905</v>
      </c>
      <c r="Q869" s="46"/>
      <c r="R869" s="47" t="s">
        <v>44</v>
      </c>
      <c r="S869" s="47"/>
    </row>
    <row r="870" customFormat="false" ht="15" hidden="false" customHeight="true" outlineLevel="0" collapsed="false">
      <c r="A870" s="49" t="n">
        <v>881</v>
      </c>
      <c r="B870" s="25" t="s">
        <v>4952</v>
      </c>
      <c r="C870" s="50"/>
      <c r="D870" s="50" t="s">
        <v>4885</v>
      </c>
      <c r="E870" s="49" t="s">
        <v>18</v>
      </c>
      <c r="F870" s="49" t="s">
        <v>2104</v>
      </c>
      <c r="G870" s="25" t="s">
        <v>1036</v>
      </c>
      <c r="H870" s="51" t="n">
        <v>5</v>
      </c>
      <c r="I870" s="49" t="s">
        <v>4948</v>
      </c>
      <c r="J870" s="50" t="s">
        <v>4953</v>
      </c>
      <c r="K870" s="25" t="s">
        <v>4954</v>
      </c>
      <c r="L870" s="49" t="s">
        <v>4955</v>
      </c>
      <c r="M870" s="25" t="s">
        <v>4897</v>
      </c>
      <c r="N870" s="49" t="s">
        <v>4898</v>
      </c>
      <c r="O870" s="25" t="s">
        <v>4891</v>
      </c>
      <c r="P870" s="49" t="s">
        <v>4910</v>
      </c>
      <c r="Q870" s="49"/>
      <c r="R870" s="50" t="s">
        <v>44</v>
      </c>
      <c r="S870" s="50"/>
    </row>
    <row r="871" customFormat="false" ht="15" hidden="false" customHeight="true" outlineLevel="0" collapsed="false">
      <c r="A871" s="46" t="n">
        <v>882</v>
      </c>
      <c r="B871" s="24" t="s">
        <v>4956</v>
      </c>
      <c r="C871" s="47"/>
      <c r="D871" s="47" t="s">
        <v>4885</v>
      </c>
      <c r="E871" s="46" t="s">
        <v>18</v>
      </c>
      <c r="F871" s="46" t="s">
        <v>2104</v>
      </c>
      <c r="G871" s="24" t="s">
        <v>1036</v>
      </c>
      <c r="H871" s="48" t="n">
        <v>5</v>
      </c>
      <c r="I871" s="46" t="s">
        <v>4948</v>
      </c>
      <c r="J871" s="47" t="s">
        <v>4957</v>
      </c>
      <c r="K871" s="24" t="s">
        <v>4958</v>
      </c>
      <c r="L871" s="46" t="s">
        <v>4959</v>
      </c>
      <c r="M871" s="24" t="s">
        <v>4897</v>
      </c>
      <c r="N871" s="46" t="s">
        <v>4898</v>
      </c>
      <c r="O871" s="24" t="s">
        <v>4891</v>
      </c>
      <c r="P871" s="46" t="s">
        <v>4913</v>
      </c>
      <c r="Q871" s="46"/>
      <c r="R871" s="47" t="s">
        <v>44</v>
      </c>
      <c r="S871" s="47"/>
    </row>
    <row r="872" customFormat="false" ht="15" hidden="false" customHeight="true" outlineLevel="0" collapsed="false">
      <c r="A872" s="49" t="n">
        <v>883</v>
      </c>
      <c r="B872" s="25" t="s">
        <v>4960</v>
      </c>
      <c r="C872" s="50"/>
      <c r="D872" s="50" t="s">
        <v>4885</v>
      </c>
      <c r="E872" s="49" t="s">
        <v>18</v>
      </c>
      <c r="F872" s="49" t="s">
        <v>2104</v>
      </c>
      <c r="G872" s="25" t="s">
        <v>1036</v>
      </c>
      <c r="H872" s="51" t="n">
        <v>5</v>
      </c>
      <c r="I872" s="49" t="s">
        <v>4948</v>
      </c>
      <c r="J872" s="50" t="s">
        <v>4961</v>
      </c>
      <c r="K872" s="25" t="s">
        <v>2909</v>
      </c>
      <c r="L872" s="49" t="s">
        <v>4962</v>
      </c>
      <c r="M872" s="25" t="s">
        <v>4897</v>
      </c>
      <c r="N872" s="49" t="s">
        <v>4898</v>
      </c>
      <c r="O872" s="25" t="s">
        <v>4891</v>
      </c>
      <c r="P872" s="49" t="s">
        <v>4918</v>
      </c>
      <c r="Q872" s="49"/>
      <c r="R872" s="50" t="s">
        <v>44</v>
      </c>
      <c r="S872" s="50"/>
    </row>
    <row r="873" customFormat="false" ht="15" hidden="false" customHeight="true" outlineLevel="0" collapsed="false">
      <c r="A873" s="46" t="n">
        <v>884</v>
      </c>
      <c r="B873" s="24" t="s">
        <v>4956</v>
      </c>
      <c r="C873" s="47"/>
      <c r="D873" s="47" t="s">
        <v>4885</v>
      </c>
      <c r="E873" s="46" t="s">
        <v>18</v>
      </c>
      <c r="F873" s="46" t="s">
        <v>2104</v>
      </c>
      <c r="G873" s="24" t="s">
        <v>1036</v>
      </c>
      <c r="H873" s="48" t="n">
        <v>5</v>
      </c>
      <c r="I873" s="46" t="s">
        <v>4948</v>
      </c>
      <c r="J873" s="47" t="s">
        <v>4963</v>
      </c>
      <c r="K873" s="24" t="s">
        <v>2693</v>
      </c>
      <c r="L873" s="46" t="s">
        <v>4964</v>
      </c>
      <c r="M873" s="24" t="s">
        <v>4897</v>
      </c>
      <c r="N873" s="46" t="s">
        <v>4898</v>
      </c>
      <c r="O873" s="24" t="s">
        <v>4891</v>
      </c>
      <c r="P873" s="46" t="s">
        <v>4922</v>
      </c>
      <c r="Q873" s="46"/>
      <c r="R873" s="47" t="s">
        <v>44</v>
      </c>
      <c r="S873" s="47"/>
    </row>
    <row r="874" customFormat="false" ht="15" hidden="false" customHeight="true" outlineLevel="0" collapsed="false">
      <c r="A874" s="49" t="n">
        <v>885</v>
      </c>
      <c r="B874" s="25" t="s">
        <v>4956</v>
      </c>
      <c r="C874" s="50"/>
      <c r="D874" s="50" t="s">
        <v>4885</v>
      </c>
      <c r="E874" s="49" t="s">
        <v>18</v>
      </c>
      <c r="F874" s="49" t="s">
        <v>2104</v>
      </c>
      <c r="G874" s="25" t="s">
        <v>1036</v>
      </c>
      <c r="H874" s="51" t="n">
        <v>5</v>
      </c>
      <c r="I874" s="49" t="s">
        <v>4948</v>
      </c>
      <c r="J874" s="50" t="s">
        <v>4965</v>
      </c>
      <c r="K874" s="25" t="s">
        <v>4966</v>
      </c>
      <c r="L874" s="49" t="s">
        <v>4967</v>
      </c>
      <c r="M874" s="25" t="s">
        <v>4897</v>
      </c>
      <c r="N874" s="49" t="s">
        <v>4898</v>
      </c>
      <c r="O874" s="25" t="s">
        <v>4891</v>
      </c>
      <c r="P874" s="49" t="s">
        <v>4927</v>
      </c>
      <c r="Q874" s="49"/>
      <c r="R874" s="50" t="s">
        <v>44</v>
      </c>
      <c r="S874" s="50"/>
    </row>
    <row r="875" customFormat="false" ht="15" hidden="false" customHeight="true" outlineLevel="0" collapsed="false">
      <c r="A875" s="46" t="n">
        <v>886</v>
      </c>
      <c r="B875" s="24" t="s">
        <v>4914</v>
      </c>
      <c r="C875" s="47"/>
      <c r="D875" s="47" t="s">
        <v>4885</v>
      </c>
      <c r="E875" s="46" t="s">
        <v>18</v>
      </c>
      <c r="F875" s="46" t="s">
        <v>2104</v>
      </c>
      <c r="G875" s="24" t="s">
        <v>1036</v>
      </c>
      <c r="H875" s="48" t="n">
        <v>5</v>
      </c>
      <c r="I875" s="46" t="s">
        <v>4948</v>
      </c>
      <c r="J875" s="47" t="s">
        <v>4968</v>
      </c>
      <c r="K875" s="24" t="s">
        <v>4969</v>
      </c>
      <c r="L875" s="46" t="s">
        <v>4970</v>
      </c>
      <c r="M875" s="24" t="s">
        <v>4903</v>
      </c>
      <c r="N875" s="46" t="s">
        <v>4904</v>
      </c>
      <c r="O875" s="24" t="s">
        <v>4891</v>
      </c>
      <c r="P875" s="46" t="s">
        <v>4930</v>
      </c>
      <c r="Q875" s="46"/>
      <c r="R875" s="47" t="s">
        <v>44</v>
      </c>
      <c r="S875" s="47"/>
    </row>
    <row r="876" customFormat="false" ht="15" hidden="false" customHeight="true" outlineLevel="0" collapsed="false">
      <c r="A876" s="49" t="n">
        <v>887</v>
      </c>
      <c r="B876" s="25" t="s">
        <v>4914</v>
      </c>
      <c r="C876" s="50"/>
      <c r="D876" s="50" t="s">
        <v>4885</v>
      </c>
      <c r="E876" s="49" t="s">
        <v>18</v>
      </c>
      <c r="F876" s="49" t="s">
        <v>2104</v>
      </c>
      <c r="G876" s="25" t="s">
        <v>1036</v>
      </c>
      <c r="H876" s="51" t="n">
        <v>5</v>
      </c>
      <c r="I876" s="49" t="s">
        <v>4948</v>
      </c>
      <c r="J876" s="50" t="s">
        <v>4971</v>
      </c>
      <c r="K876" s="25" t="s">
        <v>4972</v>
      </c>
      <c r="L876" s="49" t="s">
        <v>4973</v>
      </c>
      <c r="M876" s="25" t="s">
        <v>4903</v>
      </c>
      <c r="N876" s="49" t="s">
        <v>4904</v>
      </c>
      <c r="O876" s="25" t="s">
        <v>4891</v>
      </c>
      <c r="P876" s="49" t="s">
        <v>4933</v>
      </c>
      <c r="Q876" s="49"/>
      <c r="R876" s="50" t="s">
        <v>44</v>
      </c>
      <c r="S876" s="50"/>
    </row>
    <row r="877" customFormat="false" ht="15" hidden="false" customHeight="true" outlineLevel="0" collapsed="false">
      <c r="A877" s="46" t="n">
        <v>888</v>
      </c>
      <c r="B877" s="24" t="s">
        <v>4914</v>
      </c>
      <c r="C877" s="47"/>
      <c r="D877" s="47" t="s">
        <v>4885</v>
      </c>
      <c r="E877" s="46" t="s">
        <v>18</v>
      </c>
      <c r="F877" s="46" t="s">
        <v>2104</v>
      </c>
      <c r="G877" s="24" t="s">
        <v>1036</v>
      </c>
      <c r="H877" s="48" t="n">
        <v>5</v>
      </c>
      <c r="I877" s="46" t="s">
        <v>4948</v>
      </c>
      <c r="J877" s="47" t="s">
        <v>4974</v>
      </c>
      <c r="K877" s="24" t="s">
        <v>4975</v>
      </c>
      <c r="L877" s="46" t="s">
        <v>4976</v>
      </c>
      <c r="M877" s="24" t="s">
        <v>4903</v>
      </c>
      <c r="N877" s="46" t="s">
        <v>4904</v>
      </c>
      <c r="O877" s="24" t="s">
        <v>4891</v>
      </c>
      <c r="P877" s="46" t="s">
        <v>4937</v>
      </c>
      <c r="Q877" s="46"/>
      <c r="R877" s="47" t="s">
        <v>44</v>
      </c>
      <c r="S877" s="47"/>
    </row>
    <row r="878" customFormat="false" ht="15" hidden="false" customHeight="true" outlineLevel="0" collapsed="false">
      <c r="A878" s="49" t="n">
        <v>889</v>
      </c>
      <c r="B878" s="25" t="s">
        <v>4914</v>
      </c>
      <c r="C878" s="50"/>
      <c r="D878" s="50" t="s">
        <v>4885</v>
      </c>
      <c r="E878" s="49" t="s">
        <v>18</v>
      </c>
      <c r="F878" s="49" t="s">
        <v>2104</v>
      </c>
      <c r="G878" s="25" t="s">
        <v>1036</v>
      </c>
      <c r="H878" s="51" t="n">
        <v>5</v>
      </c>
      <c r="I878" s="49" t="s">
        <v>4948</v>
      </c>
      <c r="J878" s="50" t="s">
        <v>4977</v>
      </c>
      <c r="K878" s="25" t="s">
        <v>4978</v>
      </c>
      <c r="L878" s="49" t="s">
        <v>4979</v>
      </c>
      <c r="M878" s="25" t="s">
        <v>4903</v>
      </c>
      <c r="N878" s="49" t="s">
        <v>4904</v>
      </c>
      <c r="O878" s="25" t="s">
        <v>4891</v>
      </c>
      <c r="P878" s="49" t="s">
        <v>4941</v>
      </c>
      <c r="Q878" s="49"/>
      <c r="R878" s="50" t="s">
        <v>44</v>
      </c>
      <c r="S878" s="50"/>
    </row>
    <row r="879" customFormat="false" ht="15" hidden="false" customHeight="true" outlineLevel="0" collapsed="false">
      <c r="A879" s="46" t="n">
        <v>890</v>
      </c>
      <c r="B879" s="24" t="s">
        <v>4914</v>
      </c>
      <c r="C879" s="47"/>
      <c r="D879" s="47" t="s">
        <v>4885</v>
      </c>
      <c r="E879" s="46" t="s">
        <v>18</v>
      </c>
      <c r="F879" s="46" t="s">
        <v>2104</v>
      </c>
      <c r="G879" s="24" t="s">
        <v>1036</v>
      </c>
      <c r="H879" s="48" t="n">
        <v>5</v>
      </c>
      <c r="I879" s="46" t="s">
        <v>4948</v>
      </c>
      <c r="J879" s="47" t="s">
        <v>4980</v>
      </c>
      <c r="K879" s="24" t="s">
        <v>4981</v>
      </c>
      <c r="L879" s="46" t="s">
        <v>4982</v>
      </c>
      <c r="M879" s="24" t="s">
        <v>4903</v>
      </c>
      <c r="N879" s="46" t="s">
        <v>4904</v>
      </c>
      <c r="O879" s="24" t="s">
        <v>4891</v>
      </c>
      <c r="P879" s="46" t="s">
        <v>4892</v>
      </c>
      <c r="Q879" s="46"/>
      <c r="R879" s="47" t="s">
        <v>44</v>
      </c>
      <c r="S879" s="47"/>
    </row>
    <row r="880" customFormat="false" ht="15" hidden="false" customHeight="true" outlineLevel="0" collapsed="false">
      <c r="A880" s="49" t="n">
        <v>891</v>
      </c>
      <c r="B880" s="25" t="s">
        <v>4914</v>
      </c>
      <c r="C880" s="50"/>
      <c r="D880" s="50" t="s">
        <v>4885</v>
      </c>
      <c r="E880" s="49" t="s">
        <v>18</v>
      </c>
      <c r="F880" s="49" t="s">
        <v>2104</v>
      </c>
      <c r="G880" s="25" t="s">
        <v>1036</v>
      </c>
      <c r="H880" s="51" t="n">
        <v>5</v>
      </c>
      <c r="I880" s="49" t="s">
        <v>4948</v>
      </c>
      <c r="J880" s="50" t="s">
        <v>4983</v>
      </c>
      <c r="K880" s="25" t="s">
        <v>4984</v>
      </c>
      <c r="L880" s="49" t="s">
        <v>4985</v>
      </c>
      <c r="M880" s="25" t="s">
        <v>4903</v>
      </c>
      <c r="N880" s="49" t="s">
        <v>4904</v>
      </c>
      <c r="O880" s="25" t="s">
        <v>4891</v>
      </c>
      <c r="P880" s="49" t="s">
        <v>4892</v>
      </c>
      <c r="Q880" s="49"/>
      <c r="R880" s="50" t="s">
        <v>44</v>
      </c>
      <c r="S880" s="50"/>
    </row>
    <row r="881" customFormat="false" ht="15" hidden="false" customHeight="true" outlineLevel="0" collapsed="false">
      <c r="A881" s="46" t="n">
        <v>892</v>
      </c>
      <c r="B881" s="24" t="s">
        <v>4914</v>
      </c>
      <c r="C881" s="47"/>
      <c r="D881" s="47" t="s">
        <v>4885</v>
      </c>
      <c r="E881" s="46" t="s">
        <v>18</v>
      </c>
      <c r="F881" s="46" t="s">
        <v>2104</v>
      </c>
      <c r="G881" s="24" t="s">
        <v>1036</v>
      </c>
      <c r="H881" s="48" t="n">
        <v>5</v>
      </c>
      <c r="I881" s="46" t="s">
        <v>4948</v>
      </c>
      <c r="J881" s="47" t="s">
        <v>4986</v>
      </c>
      <c r="K881" s="24" t="s">
        <v>4987</v>
      </c>
      <c r="L881" s="46" t="s">
        <v>4988</v>
      </c>
      <c r="M881" s="24" t="s">
        <v>4903</v>
      </c>
      <c r="N881" s="46" t="s">
        <v>4904</v>
      </c>
      <c r="O881" s="24" t="s">
        <v>4891</v>
      </c>
      <c r="P881" s="46" t="s">
        <v>4892</v>
      </c>
      <c r="Q881" s="46"/>
      <c r="R881" s="47" t="s">
        <v>44</v>
      </c>
      <c r="S881" s="47"/>
    </row>
    <row r="882" customFormat="false" ht="15" hidden="false" customHeight="true" outlineLevel="0" collapsed="false">
      <c r="A882" s="49" t="n">
        <v>893</v>
      </c>
      <c r="B882" s="25" t="s">
        <v>4989</v>
      </c>
      <c r="C882" s="50"/>
      <c r="D882" s="50" t="s">
        <v>4885</v>
      </c>
      <c r="E882" s="49" t="s">
        <v>18</v>
      </c>
      <c r="F882" s="49" t="s">
        <v>2104</v>
      </c>
      <c r="G882" s="25" t="s">
        <v>1036</v>
      </c>
      <c r="H882" s="51" t="n">
        <v>5</v>
      </c>
      <c r="I882" s="49" t="s">
        <v>4948</v>
      </c>
      <c r="J882" s="50" t="s">
        <v>4990</v>
      </c>
      <c r="K882" s="25" t="s">
        <v>4991</v>
      </c>
      <c r="L882" s="49" t="s">
        <v>4992</v>
      </c>
      <c r="M882" s="25" t="s">
        <v>4903</v>
      </c>
      <c r="N882" s="49" t="s">
        <v>4904</v>
      </c>
      <c r="O882" s="25" t="s">
        <v>4891</v>
      </c>
      <c r="P882" s="49" t="s">
        <v>4892</v>
      </c>
      <c r="Q882" s="49"/>
      <c r="R882" s="50" t="s">
        <v>44</v>
      </c>
      <c r="S882" s="50"/>
    </row>
    <row r="883" customFormat="false" ht="15" hidden="false" customHeight="true" outlineLevel="0" collapsed="false">
      <c r="A883" s="46" t="n">
        <v>894</v>
      </c>
      <c r="B883" s="24" t="s">
        <v>4914</v>
      </c>
      <c r="C883" s="47"/>
      <c r="D883" s="47" t="s">
        <v>4885</v>
      </c>
      <c r="E883" s="46" t="s">
        <v>18</v>
      </c>
      <c r="F883" s="46" t="s">
        <v>2104</v>
      </c>
      <c r="G883" s="24" t="s">
        <v>1036</v>
      </c>
      <c r="H883" s="48" t="n">
        <v>5</v>
      </c>
      <c r="I883" s="46" t="s">
        <v>4948</v>
      </c>
      <c r="J883" s="47" t="s">
        <v>4993</v>
      </c>
      <c r="K883" s="24" t="s">
        <v>4994</v>
      </c>
      <c r="L883" s="46" t="s">
        <v>4995</v>
      </c>
      <c r="M883" s="24" t="s">
        <v>4903</v>
      </c>
      <c r="N883" s="46" t="s">
        <v>4904</v>
      </c>
      <c r="O883" s="24" t="s">
        <v>4891</v>
      </c>
      <c r="P883" s="46" t="s">
        <v>4892</v>
      </c>
      <c r="Q883" s="46"/>
      <c r="R883" s="47" t="s">
        <v>44</v>
      </c>
      <c r="S883" s="47"/>
    </row>
    <row r="884" customFormat="false" ht="15" hidden="false" customHeight="true" outlineLevel="0" collapsed="false">
      <c r="A884" s="49" t="n">
        <v>895</v>
      </c>
      <c r="B884" s="25" t="s">
        <v>4906</v>
      </c>
      <c r="C884" s="50"/>
      <c r="D884" s="50" t="s">
        <v>4885</v>
      </c>
      <c r="E884" s="49" t="s">
        <v>18</v>
      </c>
      <c r="F884" s="49" t="s">
        <v>2104</v>
      </c>
      <c r="G884" s="25" t="s">
        <v>1036</v>
      </c>
      <c r="H884" s="51" t="n">
        <v>5</v>
      </c>
      <c r="I884" s="49" t="s">
        <v>4948</v>
      </c>
      <c r="J884" s="50" t="s">
        <v>4996</v>
      </c>
      <c r="K884" s="25" t="s">
        <v>4997</v>
      </c>
      <c r="L884" s="49" t="s">
        <v>4998</v>
      </c>
      <c r="M884" s="25" t="s">
        <v>4897</v>
      </c>
      <c r="N884" s="49" t="s">
        <v>4898</v>
      </c>
      <c r="O884" s="25" t="s">
        <v>4891</v>
      </c>
      <c r="P884" s="49" t="s">
        <v>4892</v>
      </c>
      <c r="Q884" s="49"/>
      <c r="R884" s="50" t="s">
        <v>44</v>
      </c>
      <c r="S884" s="50"/>
    </row>
    <row r="885" customFormat="false" ht="15" hidden="false" customHeight="true" outlineLevel="0" collapsed="false">
      <c r="A885" s="46" t="n">
        <v>896</v>
      </c>
      <c r="B885" s="24" t="s">
        <v>4906</v>
      </c>
      <c r="C885" s="47"/>
      <c r="D885" s="47" t="s">
        <v>4885</v>
      </c>
      <c r="E885" s="46" t="s">
        <v>18</v>
      </c>
      <c r="F885" s="46" t="s">
        <v>2104</v>
      </c>
      <c r="G885" s="24" t="s">
        <v>1036</v>
      </c>
      <c r="H885" s="48" t="n">
        <v>5</v>
      </c>
      <c r="I885" s="46" t="s">
        <v>4948</v>
      </c>
      <c r="J885" s="47" t="s">
        <v>4999</v>
      </c>
      <c r="K885" s="24" t="s">
        <v>5000</v>
      </c>
      <c r="L885" s="46" t="s">
        <v>5001</v>
      </c>
      <c r="M885" s="24" t="s">
        <v>4897</v>
      </c>
      <c r="N885" s="46" t="s">
        <v>4898</v>
      </c>
      <c r="O885" s="24" t="s">
        <v>4891</v>
      </c>
      <c r="P885" s="46" t="s">
        <v>4892</v>
      </c>
      <c r="Q885" s="46"/>
      <c r="R885" s="47" t="s">
        <v>44</v>
      </c>
      <c r="S885" s="47"/>
    </row>
    <row r="886" customFormat="false" ht="15" hidden="false" customHeight="true" outlineLevel="0" collapsed="false">
      <c r="A886" s="49" t="n">
        <v>897</v>
      </c>
      <c r="B886" s="25" t="s">
        <v>4906</v>
      </c>
      <c r="C886" s="50"/>
      <c r="D886" s="50" t="s">
        <v>4885</v>
      </c>
      <c r="E886" s="49" t="s">
        <v>18</v>
      </c>
      <c r="F886" s="49" t="s">
        <v>2104</v>
      </c>
      <c r="G886" s="25" t="s">
        <v>1036</v>
      </c>
      <c r="H886" s="51" t="n">
        <v>5</v>
      </c>
      <c r="I886" s="49" t="s">
        <v>4948</v>
      </c>
      <c r="J886" s="50" t="s">
        <v>5002</v>
      </c>
      <c r="K886" s="25" t="s">
        <v>5003</v>
      </c>
      <c r="L886" s="49" t="s">
        <v>5004</v>
      </c>
      <c r="M886" s="25" t="s">
        <v>4897</v>
      </c>
      <c r="N886" s="49" t="s">
        <v>4898</v>
      </c>
      <c r="O886" s="25" t="s">
        <v>4891</v>
      </c>
      <c r="P886" s="49" t="s">
        <v>4892</v>
      </c>
      <c r="Q886" s="49"/>
      <c r="R886" s="50" t="s">
        <v>44</v>
      </c>
      <c r="S886" s="50"/>
    </row>
    <row r="887" customFormat="false" ht="15" hidden="false" customHeight="true" outlineLevel="0" collapsed="false">
      <c r="A887" s="46" t="n">
        <v>898</v>
      </c>
      <c r="B887" s="24" t="s">
        <v>5005</v>
      </c>
      <c r="C887" s="47"/>
      <c r="D887" s="47" t="s">
        <v>4885</v>
      </c>
      <c r="E887" s="46" t="s">
        <v>18</v>
      </c>
      <c r="F887" s="46" t="s">
        <v>2104</v>
      </c>
      <c r="G887" s="24" t="s">
        <v>1036</v>
      </c>
      <c r="H887" s="48" t="n">
        <v>5</v>
      </c>
      <c r="I887" s="46" t="s">
        <v>4948</v>
      </c>
      <c r="J887" s="47" t="s">
        <v>5006</v>
      </c>
      <c r="K887" s="24" t="s">
        <v>5007</v>
      </c>
      <c r="L887" s="46" t="s">
        <v>5008</v>
      </c>
      <c r="M887" s="24" t="s">
        <v>2380</v>
      </c>
      <c r="N887" s="46" t="s">
        <v>4890</v>
      </c>
      <c r="O887" s="24" t="s">
        <v>4891</v>
      </c>
      <c r="P887" s="46" t="s">
        <v>4892</v>
      </c>
      <c r="Q887" s="46"/>
      <c r="R887" s="47" t="s">
        <v>44</v>
      </c>
      <c r="S887" s="47"/>
    </row>
    <row r="888" customFormat="false" ht="15" hidden="false" customHeight="true" outlineLevel="0" collapsed="false">
      <c r="A888" s="49" t="n">
        <v>899</v>
      </c>
      <c r="B888" s="25" t="s">
        <v>5005</v>
      </c>
      <c r="C888" s="50"/>
      <c r="D888" s="50" t="s">
        <v>4885</v>
      </c>
      <c r="E888" s="49" t="s">
        <v>18</v>
      </c>
      <c r="F888" s="49" t="s">
        <v>2104</v>
      </c>
      <c r="G888" s="25" t="s">
        <v>1036</v>
      </c>
      <c r="H888" s="51" t="n">
        <v>5</v>
      </c>
      <c r="I888" s="49" t="s">
        <v>4948</v>
      </c>
      <c r="J888" s="50" t="s">
        <v>5009</v>
      </c>
      <c r="K888" s="25" t="s">
        <v>5010</v>
      </c>
      <c r="L888" s="49" t="s">
        <v>5011</v>
      </c>
      <c r="M888" s="25" t="s">
        <v>2380</v>
      </c>
      <c r="N888" s="49" t="s">
        <v>4890</v>
      </c>
      <c r="O888" s="25" t="s">
        <v>4891</v>
      </c>
      <c r="P888" s="49" t="s">
        <v>4892</v>
      </c>
      <c r="Q888" s="49"/>
      <c r="R888" s="50" t="s">
        <v>44</v>
      </c>
      <c r="S888" s="50"/>
    </row>
    <row r="889" customFormat="false" ht="15" hidden="false" customHeight="true" outlineLevel="0" collapsed="false">
      <c r="A889" s="46" t="n">
        <v>900</v>
      </c>
      <c r="B889" s="24" t="s">
        <v>5005</v>
      </c>
      <c r="C889" s="47"/>
      <c r="D889" s="47" t="s">
        <v>4885</v>
      </c>
      <c r="E889" s="46" t="s">
        <v>18</v>
      </c>
      <c r="F889" s="46" t="s">
        <v>2104</v>
      </c>
      <c r="G889" s="24" t="s">
        <v>1036</v>
      </c>
      <c r="H889" s="48" t="n">
        <v>5</v>
      </c>
      <c r="I889" s="46" t="s">
        <v>4948</v>
      </c>
      <c r="J889" s="47" t="s">
        <v>5012</v>
      </c>
      <c r="K889" s="24" t="s">
        <v>5013</v>
      </c>
      <c r="L889" s="46" t="s">
        <v>5014</v>
      </c>
      <c r="M889" s="24" t="s">
        <v>2380</v>
      </c>
      <c r="N889" s="46" t="s">
        <v>4890</v>
      </c>
      <c r="O889" s="24" t="s">
        <v>4891</v>
      </c>
      <c r="P889" s="46" t="s">
        <v>4892</v>
      </c>
      <c r="Q889" s="46"/>
      <c r="R889" s="47" t="s">
        <v>44</v>
      </c>
      <c r="S889" s="47"/>
    </row>
    <row r="890" customFormat="false" ht="15" hidden="false" customHeight="true" outlineLevel="0" collapsed="false">
      <c r="A890" s="49" t="n">
        <v>901</v>
      </c>
      <c r="B890" s="25" t="s">
        <v>5015</v>
      </c>
      <c r="C890" s="50"/>
      <c r="D890" s="50" t="s">
        <v>4885</v>
      </c>
      <c r="E890" s="49" t="s">
        <v>18</v>
      </c>
      <c r="F890" s="49" t="s">
        <v>2104</v>
      </c>
      <c r="G890" s="25" t="s">
        <v>1036</v>
      </c>
      <c r="H890" s="51" t="n">
        <v>5</v>
      </c>
      <c r="I890" s="49" t="s">
        <v>5016</v>
      </c>
      <c r="J890" s="50" t="s">
        <v>5017</v>
      </c>
      <c r="K890" s="25" t="s">
        <v>5018</v>
      </c>
      <c r="L890" s="49" t="s">
        <v>5019</v>
      </c>
      <c r="M890" s="25" t="s">
        <v>2380</v>
      </c>
      <c r="N890" s="49" t="s">
        <v>4890</v>
      </c>
      <c r="O890" s="25" t="s">
        <v>4891</v>
      </c>
      <c r="P890" s="49" t="s">
        <v>4892</v>
      </c>
      <c r="Q890" s="49"/>
      <c r="R890" s="50" t="s">
        <v>44</v>
      </c>
      <c r="S890" s="50"/>
    </row>
    <row r="891" customFormat="false" ht="15" hidden="false" customHeight="true" outlineLevel="0" collapsed="false">
      <c r="A891" s="46" t="n">
        <v>902</v>
      </c>
      <c r="B891" s="24" t="s">
        <v>5015</v>
      </c>
      <c r="C891" s="47"/>
      <c r="D891" s="47" t="s">
        <v>4885</v>
      </c>
      <c r="E891" s="46" t="s">
        <v>18</v>
      </c>
      <c r="F891" s="46" t="s">
        <v>2104</v>
      </c>
      <c r="G891" s="24" t="s">
        <v>1036</v>
      </c>
      <c r="H891" s="48" t="n">
        <v>5</v>
      </c>
      <c r="I891" s="46" t="s">
        <v>5016</v>
      </c>
      <c r="J891" s="47" t="s">
        <v>5020</v>
      </c>
      <c r="K891" s="24" t="s">
        <v>2433</v>
      </c>
      <c r="L891" s="46" t="s">
        <v>5021</v>
      </c>
      <c r="M891" s="24" t="s">
        <v>2380</v>
      </c>
      <c r="N891" s="46" t="s">
        <v>4890</v>
      </c>
      <c r="O891" s="24" t="s">
        <v>4891</v>
      </c>
      <c r="P891" s="46" t="s">
        <v>4892</v>
      </c>
      <c r="Q891" s="46"/>
      <c r="R891" s="47" t="s">
        <v>44</v>
      </c>
      <c r="S891" s="47"/>
    </row>
    <row r="892" customFormat="false" ht="15" hidden="false" customHeight="true" outlineLevel="0" collapsed="false">
      <c r="A892" s="49" t="n">
        <v>903</v>
      </c>
      <c r="B892" s="25" t="s">
        <v>5015</v>
      </c>
      <c r="C892" s="50"/>
      <c r="D892" s="50" t="s">
        <v>4885</v>
      </c>
      <c r="E892" s="49" t="s">
        <v>18</v>
      </c>
      <c r="F892" s="49" t="s">
        <v>2104</v>
      </c>
      <c r="G892" s="25" t="s">
        <v>1036</v>
      </c>
      <c r="H892" s="51" t="n">
        <v>5</v>
      </c>
      <c r="I892" s="49" t="s">
        <v>5016</v>
      </c>
      <c r="J892" s="50" t="s">
        <v>5022</v>
      </c>
      <c r="K892" s="25" t="s">
        <v>2574</v>
      </c>
      <c r="L892" s="49" t="s">
        <v>5023</v>
      </c>
      <c r="M892" s="25" t="s">
        <v>2380</v>
      </c>
      <c r="N892" s="49" t="s">
        <v>4890</v>
      </c>
      <c r="O892" s="25" t="s">
        <v>4891</v>
      </c>
      <c r="P892" s="49" t="s">
        <v>4892</v>
      </c>
      <c r="Q892" s="49"/>
      <c r="R892" s="50" t="s">
        <v>44</v>
      </c>
      <c r="S892" s="50"/>
    </row>
    <row r="893" customFormat="false" ht="15" hidden="false" customHeight="true" outlineLevel="0" collapsed="false">
      <c r="A893" s="46" t="n">
        <v>904</v>
      </c>
      <c r="B893" s="24" t="s">
        <v>5015</v>
      </c>
      <c r="C893" s="47"/>
      <c r="D893" s="47" t="s">
        <v>4885</v>
      </c>
      <c r="E893" s="46" t="s">
        <v>18</v>
      </c>
      <c r="F893" s="46" t="s">
        <v>2104</v>
      </c>
      <c r="G893" s="24" t="s">
        <v>1036</v>
      </c>
      <c r="H893" s="48" t="n">
        <v>5</v>
      </c>
      <c r="I893" s="46" t="s">
        <v>5016</v>
      </c>
      <c r="J893" s="47" t="s">
        <v>5024</v>
      </c>
      <c r="K893" s="24" t="s">
        <v>5025</v>
      </c>
      <c r="L893" s="46" t="s">
        <v>5026</v>
      </c>
      <c r="M893" s="24" t="s">
        <v>2380</v>
      </c>
      <c r="N893" s="46" t="s">
        <v>4890</v>
      </c>
      <c r="O893" s="24" t="s">
        <v>4891</v>
      </c>
      <c r="P893" s="46" t="s">
        <v>4892</v>
      </c>
      <c r="Q893" s="46"/>
      <c r="R893" s="47" t="s">
        <v>44</v>
      </c>
      <c r="S893" s="47"/>
    </row>
    <row r="894" customFormat="false" ht="15" hidden="false" customHeight="true" outlineLevel="0" collapsed="false">
      <c r="A894" s="49" t="n">
        <v>905</v>
      </c>
      <c r="B894" s="25" t="s">
        <v>5015</v>
      </c>
      <c r="C894" s="50"/>
      <c r="D894" s="50" t="s">
        <v>4885</v>
      </c>
      <c r="E894" s="49" t="s">
        <v>18</v>
      </c>
      <c r="F894" s="49" t="s">
        <v>2104</v>
      </c>
      <c r="G894" s="25" t="s">
        <v>1036</v>
      </c>
      <c r="H894" s="51" t="n">
        <v>5</v>
      </c>
      <c r="I894" s="49" t="s">
        <v>5016</v>
      </c>
      <c r="J894" s="50" t="s">
        <v>5027</v>
      </c>
      <c r="K894" s="25" t="s">
        <v>5028</v>
      </c>
      <c r="L894" s="49" t="s">
        <v>5014</v>
      </c>
      <c r="M894" s="25" t="s">
        <v>2380</v>
      </c>
      <c r="N894" s="49" t="s">
        <v>4890</v>
      </c>
      <c r="O894" s="25" t="s">
        <v>4891</v>
      </c>
      <c r="P894" s="49" t="s">
        <v>4892</v>
      </c>
      <c r="Q894" s="49"/>
      <c r="R894" s="50" t="s">
        <v>44</v>
      </c>
      <c r="S894" s="50"/>
    </row>
    <row r="895" customFormat="false" ht="15" hidden="false" customHeight="true" outlineLevel="0" collapsed="false">
      <c r="A895" s="46" t="n">
        <v>906</v>
      </c>
      <c r="B895" s="24" t="s">
        <v>5015</v>
      </c>
      <c r="C895" s="47"/>
      <c r="D895" s="47" t="s">
        <v>4885</v>
      </c>
      <c r="E895" s="46" t="s">
        <v>18</v>
      </c>
      <c r="F895" s="46" t="s">
        <v>2104</v>
      </c>
      <c r="G895" s="24" t="s">
        <v>1036</v>
      </c>
      <c r="H895" s="48" t="n">
        <v>5</v>
      </c>
      <c r="I895" s="46" t="s">
        <v>5016</v>
      </c>
      <c r="J895" s="47" t="s">
        <v>5029</v>
      </c>
      <c r="K895" s="24" t="s">
        <v>5030</v>
      </c>
      <c r="L895" s="46" t="s">
        <v>5031</v>
      </c>
      <c r="M895" s="24" t="s">
        <v>2380</v>
      </c>
      <c r="N895" s="46" t="s">
        <v>4890</v>
      </c>
      <c r="O895" s="24" t="s">
        <v>4891</v>
      </c>
      <c r="P895" s="46" t="s">
        <v>4892</v>
      </c>
      <c r="Q895" s="46"/>
      <c r="R895" s="47" t="s">
        <v>44</v>
      </c>
      <c r="S895" s="47"/>
    </row>
    <row r="896" customFormat="false" ht="15" hidden="false" customHeight="true" outlineLevel="0" collapsed="false">
      <c r="A896" s="49" t="n">
        <v>907</v>
      </c>
      <c r="B896" s="25" t="s">
        <v>5015</v>
      </c>
      <c r="C896" s="50"/>
      <c r="D896" s="50" t="s">
        <v>4885</v>
      </c>
      <c r="E896" s="49" t="s">
        <v>18</v>
      </c>
      <c r="F896" s="49" t="s">
        <v>2104</v>
      </c>
      <c r="G896" s="25" t="s">
        <v>1036</v>
      </c>
      <c r="H896" s="51" t="n">
        <v>5</v>
      </c>
      <c r="I896" s="49" t="s">
        <v>5016</v>
      </c>
      <c r="J896" s="50" t="s">
        <v>5032</v>
      </c>
      <c r="K896" s="25" t="s">
        <v>2653</v>
      </c>
      <c r="L896" s="49" t="s">
        <v>5033</v>
      </c>
      <c r="M896" s="25" t="s">
        <v>2380</v>
      </c>
      <c r="N896" s="49" t="s">
        <v>4890</v>
      </c>
      <c r="O896" s="25" t="s">
        <v>4891</v>
      </c>
      <c r="P896" s="49" t="s">
        <v>4892</v>
      </c>
      <c r="Q896" s="49"/>
      <c r="R896" s="50" t="s">
        <v>44</v>
      </c>
      <c r="S896" s="50"/>
    </row>
    <row r="897" customFormat="false" ht="15" hidden="false" customHeight="true" outlineLevel="0" collapsed="false">
      <c r="A897" s="46" t="n">
        <v>908</v>
      </c>
      <c r="B897" s="24" t="s">
        <v>5015</v>
      </c>
      <c r="C897" s="47"/>
      <c r="D897" s="47" t="s">
        <v>4885</v>
      </c>
      <c r="E897" s="46" t="s">
        <v>18</v>
      </c>
      <c r="F897" s="46" t="s">
        <v>2104</v>
      </c>
      <c r="G897" s="24" t="s">
        <v>1036</v>
      </c>
      <c r="H897" s="48" t="n">
        <v>5</v>
      </c>
      <c r="I897" s="46" t="s">
        <v>5016</v>
      </c>
      <c r="J897" s="47" t="s">
        <v>5034</v>
      </c>
      <c r="K897" s="24" t="s">
        <v>5035</v>
      </c>
      <c r="L897" s="46" t="s">
        <v>5036</v>
      </c>
      <c r="M897" s="24" t="s">
        <v>2380</v>
      </c>
      <c r="N897" s="46" t="s">
        <v>4890</v>
      </c>
      <c r="O897" s="24" t="s">
        <v>4891</v>
      </c>
      <c r="P897" s="46" t="s">
        <v>4892</v>
      </c>
      <c r="Q897" s="46"/>
      <c r="R897" s="47" t="s">
        <v>44</v>
      </c>
      <c r="S897" s="47"/>
    </row>
    <row r="898" customFormat="false" ht="15" hidden="false" customHeight="true" outlineLevel="0" collapsed="false">
      <c r="A898" s="49" t="n">
        <v>909</v>
      </c>
      <c r="B898" s="25" t="s">
        <v>5015</v>
      </c>
      <c r="C898" s="50"/>
      <c r="D898" s="50" t="s">
        <v>4885</v>
      </c>
      <c r="E898" s="49" t="s">
        <v>18</v>
      </c>
      <c r="F898" s="49" t="s">
        <v>2104</v>
      </c>
      <c r="G898" s="25" t="s">
        <v>1036</v>
      </c>
      <c r="H898" s="51" t="n">
        <v>5</v>
      </c>
      <c r="I898" s="49" t="s">
        <v>5016</v>
      </c>
      <c r="J898" s="50" t="s">
        <v>5037</v>
      </c>
      <c r="K898" s="25" t="s">
        <v>5038</v>
      </c>
      <c r="L898" s="49" t="s">
        <v>5011</v>
      </c>
      <c r="M898" s="25" t="s">
        <v>2380</v>
      </c>
      <c r="N898" s="49" t="s">
        <v>4890</v>
      </c>
      <c r="O898" s="25" t="s">
        <v>4891</v>
      </c>
      <c r="P898" s="49" t="s">
        <v>4892</v>
      </c>
      <c r="Q898" s="49"/>
      <c r="R898" s="50" t="s">
        <v>44</v>
      </c>
      <c r="S898" s="50"/>
    </row>
    <row r="899" customFormat="false" ht="15" hidden="false" customHeight="true" outlineLevel="0" collapsed="false">
      <c r="A899" s="46" t="n">
        <v>910</v>
      </c>
      <c r="B899" s="24" t="s">
        <v>5039</v>
      </c>
      <c r="C899" s="47"/>
      <c r="D899" s="47" t="s">
        <v>4885</v>
      </c>
      <c r="E899" s="46" t="s">
        <v>18</v>
      </c>
      <c r="F899" s="46" t="s">
        <v>2104</v>
      </c>
      <c r="G899" s="24" t="s">
        <v>1036</v>
      </c>
      <c r="H899" s="48" t="n">
        <v>5</v>
      </c>
      <c r="I899" s="46" t="s">
        <v>5016</v>
      </c>
      <c r="J899" s="47" t="s">
        <v>5040</v>
      </c>
      <c r="K899" s="24" t="s">
        <v>5041</v>
      </c>
      <c r="L899" s="46" t="s">
        <v>5042</v>
      </c>
      <c r="M899" s="24" t="s">
        <v>2380</v>
      </c>
      <c r="N899" s="46" t="s">
        <v>4890</v>
      </c>
      <c r="O899" s="24" t="s">
        <v>4891</v>
      </c>
      <c r="P899" s="46" t="s">
        <v>4892</v>
      </c>
      <c r="Q899" s="46"/>
      <c r="R899" s="47" t="s">
        <v>44</v>
      </c>
      <c r="S899" s="47"/>
    </row>
    <row r="900" customFormat="false" ht="15" hidden="false" customHeight="true" outlineLevel="0" collapsed="false">
      <c r="A900" s="49" t="n">
        <v>911</v>
      </c>
      <c r="B900" s="25" t="s">
        <v>4906</v>
      </c>
      <c r="C900" s="50"/>
      <c r="D900" s="50" t="s">
        <v>4885</v>
      </c>
      <c r="E900" s="49" t="s">
        <v>18</v>
      </c>
      <c r="F900" s="49" t="s">
        <v>2104</v>
      </c>
      <c r="G900" s="25" t="s">
        <v>1036</v>
      </c>
      <c r="H900" s="51" t="n">
        <v>5</v>
      </c>
      <c r="I900" s="49" t="s">
        <v>5016</v>
      </c>
      <c r="J900" s="50" t="s">
        <v>5043</v>
      </c>
      <c r="K900" s="25" t="s">
        <v>5044</v>
      </c>
      <c r="L900" s="49" t="s">
        <v>5045</v>
      </c>
      <c r="M900" s="25" t="s">
        <v>4897</v>
      </c>
      <c r="N900" s="49" t="s">
        <v>4898</v>
      </c>
      <c r="O900" s="25" t="s">
        <v>4891</v>
      </c>
      <c r="P900" s="49" t="s">
        <v>4892</v>
      </c>
      <c r="Q900" s="49"/>
      <c r="R900" s="50" t="s">
        <v>44</v>
      </c>
      <c r="S900" s="50"/>
    </row>
    <row r="901" customFormat="false" ht="15" hidden="false" customHeight="true" outlineLevel="0" collapsed="false">
      <c r="A901" s="46" t="n">
        <v>912</v>
      </c>
      <c r="B901" s="24" t="s">
        <v>5015</v>
      </c>
      <c r="C901" s="47"/>
      <c r="D901" s="47" t="s">
        <v>4885</v>
      </c>
      <c r="E901" s="46" t="s">
        <v>18</v>
      </c>
      <c r="F901" s="46" t="s">
        <v>2104</v>
      </c>
      <c r="G901" s="24" t="s">
        <v>1036</v>
      </c>
      <c r="H901" s="48" t="n">
        <v>5</v>
      </c>
      <c r="I901" s="46" t="s">
        <v>5016</v>
      </c>
      <c r="J901" s="47" t="s">
        <v>5046</v>
      </c>
      <c r="K901" s="24" t="s">
        <v>5047</v>
      </c>
      <c r="L901" s="46" t="s">
        <v>5048</v>
      </c>
      <c r="M901" s="24" t="s">
        <v>2380</v>
      </c>
      <c r="N901" s="46" t="s">
        <v>4890</v>
      </c>
      <c r="O901" s="24" t="s">
        <v>4891</v>
      </c>
      <c r="P901" s="46" t="s">
        <v>4892</v>
      </c>
      <c r="Q901" s="46"/>
      <c r="R901" s="47" t="s">
        <v>44</v>
      </c>
      <c r="S901" s="47"/>
    </row>
    <row r="902" customFormat="false" ht="15" hidden="false" customHeight="true" outlineLevel="0" collapsed="false">
      <c r="A902" s="49" t="n">
        <v>913</v>
      </c>
      <c r="B902" s="25" t="s">
        <v>4928</v>
      </c>
      <c r="C902" s="50"/>
      <c r="D902" s="50" t="s">
        <v>4885</v>
      </c>
      <c r="E902" s="49" t="s">
        <v>18</v>
      </c>
      <c r="F902" s="49" t="s">
        <v>2104</v>
      </c>
      <c r="G902" s="25" t="s">
        <v>1036</v>
      </c>
      <c r="H902" s="51" t="n">
        <v>5</v>
      </c>
      <c r="I902" s="49" t="s">
        <v>5049</v>
      </c>
      <c r="J902" s="50" t="s">
        <v>5050</v>
      </c>
      <c r="K902" s="25" t="s">
        <v>5051</v>
      </c>
      <c r="L902" s="49" t="s">
        <v>5052</v>
      </c>
      <c r="M902" s="25" t="s">
        <v>2380</v>
      </c>
      <c r="N902" s="49" t="s">
        <v>4890</v>
      </c>
      <c r="O902" s="25" t="s">
        <v>4891</v>
      </c>
      <c r="P902" s="49" t="s">
        <v>4892</v>
      </c>
      <c r="Q902" s="49"/>
      <c r="R902" s="50" t="s">
        <v>44</v>
      </c>
      <c r="S902" s="50"/>
    </row>
    <row r="903" customFormat="false" ht="15" hidden="false" customHeight="true" outlineLevel="0" collapsed="false">
      <c r="A903" s="46" t="n">
        <v>914</v>
      </c>
      <c r="B903" s="24" t="s">
        <v>5015</v>
      </c>
      <c r="C903" s="47"/>
      <c r="D903" s="47" t="s">
        <v>4885</v>
      </c>
      <c r="E903" s="46" t="s">
        <v>18</v>
      </c>
      <c r="F903" s="46" t="s">
        <v>2104</v>
      </c>
      <c r="G903" s="24" t="s">
        <v>1036</v>
      </c>
      <c r="H903" s="48" t="n">
        <v>5</v>
      </c>
      <c r="I903" s="46" t="s">
        <v>5053</v>
      </c>
      <c r="J903" s="47" t="s">
        <v>5054</v>
      </c>
      <c r="K903" s="24" t="s">
        <v>5055</v>
      </c>
      <c r="L903" s="46" t="s">
        <v>5056</v>
      </c>
      <c r="M903" s="24" t="s">
        <v>2380</v>
      </c>
      <c r="N903" s="46" t="s">
        <v>4890</v>
      </c>
      <c r="O903" s="24" t="s">
        <v>4891</v>
      </c>
      <c r="P903" s="46" t="s">
        <v>4892</v>
      </c>
      <c r="Q903" s="46"/>
      <c r="R903" s="47" t="s">
        <v>44</v>
      </c>
      <c r="S903" s="47"/>
    </row>
    <row r="904" customFormat="false" ht="15" hidden="false" customHeight="true" outlineLevel="0" collapsed="false">
      <c r="A904" s="49" t="n">
        <v>915</v>
      </c>
      <c r="B904" s="25" t="s">
        <v>5015</v>
      </c>
      <c r="C904" s="50"/>
      <c r="D904" s="50" t="s">
        <v>4885</v>
      </c>
      <c r="E904" s="49" t="s">
        <v>18</v>
      </c>
      <c r="F904" s="49" t="s">
        <v>2104</v>
      </c>
      <c r="G904" s="25" t="s">
        <v>1036</v>
      </c>
      <c r="H904" s="51" t="n">
        <v>5</v>
      </c>
      <c r="I904" s="49" t="s">
        <v>5053</v>
      </c>
      <c r="J904" s="50" t="s">
        <v>5057</v>
      </c>
      <c r="K904" s="25" t="s">
        <v>5058</v>
      </c>
      <c r="L904" s="49" t="s">
        <v>5059</v>
      </c>
      <c r="M904" s="25" t="s">
        <v>2380</v>
      </c>
      <c r="N904" s="49" t="s">
        <v>4890</v>
      </c>
      <c r="O904" s="25" t="s">
        <v>4891</v>
      </c>
      <c r="P904" s="49" t="s">
        <v>4892</v>
      </c>
      <c r="Q904" s="49"/>
      <c r="R904" s="50" t="s">
        <v>44</v>
      </c>
      <c r="S904" s="50"/>
    </row>
    <row r="905" customFormat="false" ht="15" hidden="false" customHeight="true" outlineLevel="0" collapsed="false">
      <c r="A905" s="46" t="n">
        <v>916</v>
      </c>
      <c r="B905" s="24" t="s">
        <v>5060</v>
      </c>
      <c r="C905" s="47"/>
      <c r="D905" s="47" t="s">
        <v>2282</v>
      </c>
      <c r="E905" s="46" t="s">
        <v>18</v>
      </c>
      <c r="F905" s="46" t="s">
        <v>2104</v>
      </c>
      <c r="G905" s="24" t="s">
        <v>1036</v>
      </c>
      <c r="H905" s="48" t="n">
        <v>5</v>
      </c>
      <c r="I905" s="46" t="s">
        <v>4886</v>
      </c>
      <c r="J905" s="47" t="s">
        <v>5061</v>
      </c>
      <c r="K905" s="24" t="s">
        <v>5062</v>
      </c>
      <c r="L905" s="46" t="s">
        <v>5063</v>
      </c>
      <c r="M905" s="24" t="s">
        <v>5064</v>
      </c>
      <c r="N905" s="46" t="s">
        <v>5065</v>
      </c>
      <c r="O905" s="24" t="s">
        <v>4891</v>
      </c>
      <c r="P905" s="46" t="s">
        <v>4892</v>
      </c>
      <c r="Q905" s="46"/>
      <c r="R905" s="47" t="s">
        <v>44</v>
      </c>
      <c r="S905" s="47"/>
    </row>
    <row r="906" customFormat="false" ht="15" hidden="false" customHeight="true" outlineLevel="0" collapsed="false">
      <c r="A906" s="49" t="n">
        <v>917</v>
      </c>
      <c r="B906" s="25" t="s">
        <v>5066</v>
      </c>
      <c r="C906" s="50"/>
      <c r="D906" s="50" t="s">
        <v>2282</v>
      </c>
      <c r="E906" s="49" t="s">
        <v>18</v>
      </c>
      <c r="F906" s="49" t="s">
        <v>2104</v>
      </c>
      <c r="G906" s="25" t="s">
        <v>1036</v>
      </c>
      <c r="H906" s="51" t="n">
        <v>5</v>
      </c>
      <c r="I906" s="49" t="s">
        <v>4886</v>
      </c>
      <c r="J906" s="50" t="s">
        <v>5067</v>
      </c>
      <c r="K906" s="25" t="s">
        <v>5068</v>
      </c>
      <c r="L906" s="49" t="s">
        <v>5069</v>
      </c>
      <c r="M906" s="25" t="s">
        <v>5070</v>
      </c>
      <c r="N906" s="49" t="s">
        <v>5071</v>
      </c>
      <c r="O906" s="25" t="s">
        <v>4891</v>
      </c>
      <c r="P906" s="49" t="s">
        <v>4892</v>
      </c>
      <c r="Q906" s="49"/>
      <c r="R906" s="50" t="s">
        <v>44</v>
      </c>
      <c r="S906" s="50"/>
    </row>
    <row r="907" customFormat="false" ht="15" hidden="false" customHeight="true" outlineLevel="0" collapsed="false">
      <c r="A907" s="46" t="n">
        <v>918</v>
      </c>
      <c r="B907" s="24" t="s">
        <v>5066</v>
      </c>
      <c r="C907" s="47"/>
      <c r="D907" s="47" t="s">
        <v>2282</v>
      </c>
      <c r="E907" s="46" t="s">
        <v>18</v>
      </c>
      <c r="F907" s="46" t="s">
        <v>2104</v>
      </c>
      <c r="G907" s="24" t="s">
        <v>1036</v>
      </c>
      <c r="H907" s="48" t="n">
        <v>5</v>
      </c>
      <c r="I907" s="46" t="s">
        <v>4886</v>
      </c>
      <c r="J907" s="47" t="s">
        <v>5072</v>
      </c>
      <c r="K907" s="24" t="s">
        <v>5073</v>
      </c>
      <c r="L907" s="46" t="s">
        <v>5074</v>
      </c>
      <c r="M907" s="24" t="s">
        <v>5070</v>
      </c>
      <c r="N907" s="46" t="s">
        <v>5071</v>
      </c>
      <c r="O907" s="24" t="s">
        <v>4891</v>
      </c>
      <c r="P907" s="46" t="s">
        <v>4892</v>
      </c>
      <c r="Q907" s="46"/>
      <c r="R907" s="47" t="s">
        <v>44</v>
      </c>
      <c r="S907" s="47"/>
    </row>
    <row r="908" customFormat="false" ht="15" hidden="false" customHeight="true" outlineLevel="0" collapsed="false">
      <c r="A908" s="49" t="n">
        <v>919</v>
      </c>
      <c r="B908" s="25" t="s">
        <v>5066</v>
      </c>
      <c r="C908" s="50"/>
      <c r="D908" s="50" t="s">
        <v>2282</v>
      </c>
      <c r="E908" s="49" t="s">
        <v>18</v>
      </c>
      <c r="F908" s="49" t="s">
        <v>2104</v>
      </c>
      <c r="G908" s="25" t="s">
        <v>1036</v>
      </c>
      <c r="H908" s="51" t="n">
        <v>5</v>
      </c>
      <c r="I908" s="49" t="s">
        <v>4886</v>
      </c>
      <c r="J908" s="50" t="s">
        <v>5075</v>
      </c>
      <c r="K908" s="25" t="s">
        <v>5076</v>
      </c>
      <c r="L908" s="49" t="s">
        <v>5069</v>
      </c>
      <c r="M908" s="25" t="s">
        <v>5070</v>
      </c>
      <c r="N908" s="49" t="s">
        <v>5071</v>
      </c>
      <c r="O908" s="25" t="s">
        <v>4891</v>
      </c>
      <c r="P908" s="49" t="s">
        <v>4892</v>
      </c>
      <c r="Q908" s="49"/>
      <c r="R908" s="50" t="s">
        <v>44</v>
      </c>
      <c r="S908" s="50"/>
    </row>
    <row r="909" customFormat="false" ht="15" hidden="false" customHeight="true" outlineLevel="0" collapsed="false">
      <c r="A909" s="46" t="n">
        <v>920</v>
      </c>
      <c r="B909" s="24" t="s">
        <v>5077</v>
      </c>
      <c r="C909" s="47"/>
      <c r="D909" s="47" t="s">
        <v>2282</v>
      </c>
      <c r="E909" s="46" t="s">
        <v>18</v>
      </c>
      <c r="F909" s="46" t="s">
        <v>2104</v>
      </c>
      <c r="G909" s="24" t="s">
        <v>1036</v>
      </c>
      <c r="H909" s="48" t="n">
        <v>5</v>
      </c>
      <c r="I909" s="46" t="s">
        <v>4886</v>
      </c>
      <c r="J909" s="47" t="s">
        <v>5078</v>
      </c>
      <c r="K909" s="24" t="s">
        <v>5079</v>
      </c>
      <c r="L909" s="46" t="s">
        <v>5080</v>
      </c>
      <c r="M909" s="24" t="s">
        <v>5081</v>
      </c>
      <c r="N909" s="46" t="s">
        <v>5082</v>
      </c>
      <c r="O909" s="24" t="s">
        <v>4891</v>
      </c>
      <c r="P909" s="46" t="s">
        <v>4892</v>
      </c>
      <c r="Q909" s="46"/>
      <c r="R909" s="47" t="s">
        <v>44</v>
      </c>
      <c r="S909" s="47"/>
    </row>
    <row r="910" customFormat="false" ht="15" hidden="false" customHeight="true" outlineLevel="0" collapsed="false">
      <c r="A910" s="49" t="n">
        <v>921</v>
      </c>
      <c r="B910" s="25" t="s">
        <v>5077</v>
      </c>
      <c r="C910" s="50"/>
      <c r="D910" s="50" t="s">
        <v>2282</v>
      </c>
      <c r="E910" s="49" t="s">
        <v>18</v>
      </c>
      <c r="F910" s="49" t="s">
        <v>2104</v>
      </c>
      <c r="G910" s="25" t="s">
        <v>1036</v>
      </c>
      <c r="H910" s="51" t="n">
        <v>5</v>
      </c>
      <c r="I910" s="49" t="s">
        <v>4886</v>
      </c>
      <c r="J910" s="50" t="s">
        <v>5083</v>
      </c>
      <c r="K910" s="25" t="s">
        <v>5084</v>
      </c>
      <c r="L910" s="49" t="s">
        <v>5085</v>
      </c>
      <c r="M910" s="25" t="s">
        <v>5081</v>
      </c>
      <c r="N910" s="49" t="s">
        <v>5082</v>
      </c>
      <c r="O910" s="25" t="s">
        <v>4891</v>
      </c>
      <c r="P910" s="49" t="s">
        <v>4892</v>
      </c>
      <c r="Q910" s="49"/>
      <c r="R910" s="50" t="s">
        <v>44</v>
      </c>
      <c r="S910" s="50"/>
    </row>
    <row r="911" customFormat="false" ht="15" hidden="false" customHeight="true" outlineLevel="0" collapsed="false">
      <c r="A911" s="46" t="n">
        <v>922</v>
      </c>
      <c r="B911" s="24" t="s">
        <v>5086</v>
      </c>
      <c r="C911" s="47"/>
      <c r="D911" s="47" t="s">
        <v>2282</v>
      </c>
      <c r="E911" s="46" t="s">
        <v>18</v>
      </c>
      <c r="F911" s="46" t="s">
        <v>2104</v>
      </c>
      <c r="G911" s="24" t="s">
        <v>1036</v>
      </c>
      <c r="H911" s="48" t="n">
        <v>5</v>
      </c>
      <c r="I911" s="46" t="s">
        <v>4886</v>
      </c>
      <c r="J911" s="47" t="s">
        <v>5087</v>
      </c>
      <c r="K911" s="24" t="s">
        <v>5088</v>
      </c>
      <c r="L911" s="46" t="s">
        <v>5089</v>
      </c>
      <c r="M911" s="24" t="s">
        <v>5064</v>
      </c>
      <c r="N911" s="46" t="s">
        <v>5065</v>
      </c>
      <c r="O911" s="24" t="s">
        <v>4891</v>
      </c>
      <c r="P911" s="46" t="s">
        <v>4892</v>
      </c>
      <c r="Q911" s="46"/>
      <c r="R911" s="47" t="s">
        <v>44</v>
      </c>
      <c r="S911" s="47"/>
    </row>
    <row r="912" customFormat="false" ht="15" hidden="false" customHeight="true" outlineLevel="0" collapsed="false">
      <c r="A912" s="49" t="n">
        <v>923</v>
      </c>
      <c r="B912" s="25" t="s">
        <v>5090</v>
      </c>
      <c r="C912" s="50"/>
      <c r="D912" s="50" t="s">
        <v>2282</v>
      </c>
      <c r="E912" s="49" t="s">
        <v>18</v>
      </c>
      <c r="F912" s="49" t="s">
        <v>2104</v>
      </c>
      <c r="G912" s="25" t="s">
        <v>1036</v>
      </c>
      <c r="H912" s="51" t="n">
        <v>5</v>
      </c>
      <c r="I912" s="49" t="s">
        <v>4886</v>
      </c>
      <c r="J912" s="50" t="s">
        <v>5091</v>
      </c>
      <c r="K912" s="25" t="s">
        <v>5092</v>
      </c>
      <c r="L912" s="49" t="s">
        <v>5093</v>
      </c>
      <c r="M912" s="25" t="s">
        <v>5064</v>
      </c>
      <c r="N912" s="49" t="s">
        <v>5065</v>
      </c>
      <c r="O912" s="25" t="s">
        <v>4891</v>
      </c>
      <c r="P912" s="49" t="s">
        <v>4892</v>
      </c>
      <c r="Q912" s="49"/>
      <c r="R912" s="50" t="s">
        <v>44</v>
      </c>
      <c r="S912" s="50"/>
    </row>
    <row r="913" customFormat="false" ht="15" hidden="false" customHeight="true" outlineLevel="0" collapsed="false">
      <c r="A913" s="46" t="n">
        <v>924</v>
      </c>
      <c r="B913" s="24" t="s">
        <v>5066</v>
      </c>
      <c r="C913" s="47"/>
      <c r="D913" s="47" t="s">
        <v>2282</v>
      </c>
      <c r="E913" s="46" t="s">
        <v>18</v>
      </c>
      <c r="F913" s="46" t="s">
        <v>2104</v>
      </c>
      <c r="G913" s="24" t="s">
        <v>1036</v>
      </c>
      <c r="H913" s="48" t="n">
        <v>5</v>
      </c>
      <c r="I913" s="46" t="s">
        <v>4886</v>
      </c>
      <c r="J913" s="47" t="s">
        <v>5094</v>
      </c>
      <c r="K913" s="24" t="s">
        <v>5095</v>
      </c>
      <c r="L913" s="46" t="s">
        <v>5096</v>
      </c>
      <c r="M913" s="24" t="s">
        <v>5070</v>
      </c>
      <c r="N913" s="46" t="s">
        <v>5071</v>
      </c>
      <c r="O913" s="24" t="s">
        <v>4891</v>
      </c>
      <c r="P913" s="46" t="s">
        <v>4892</v>
      </c>
      <c r="Q913" s="46"/>
      <c r="R913" s="47" t="s">
        <v>44</v>
      </c>
      <c r="S913" s="47"/>
    </row>
    <row r="914" customFormat="false" ht="15" hidden="false" customHeight="true" outlineLevel="0" collapsed="false">
      <c r="A914" s="49" t="n">
        <v>925</v>
      </c>
      <c r="B914" s="25" t="s">
        <v>5066</v>
      </c>
      <c r="C914" s="50"/>
      <c r="D914" s="50" t="s">
        <v>2282</v>
      </c>
      <c r="E914" s="49" t="s">
        <v>18</v>
      </c>
      <c r="F914" s="49" t="s">
        <v>2104</v>
      </c>
      <c r="G914" s="25" t="s">
        <v>1036</v>
      </c>
      <c r="H914" s="51" t="n">
        <v>5</v>
      </c>
      <c r="I914" s="49" t="s">
        <v>4886</v>
      </c>
      <c r="J914" s="50" t="s">
        <v>5097</v>
      </c>
      <c r="K914" s="25" t="s">
        <v>5098</v>
      </c>
      <c r="L914" s="49" t="s">
        <v>5099</v>
      </c>
      <c r="M914" s="25" t="s">
        <v>5070</v>
      </c>
      <c r="N914" s="49" t="s">
        <v>5071</v>
      </c>
      <c r="O914" s="25" t="s">
        <v>4891</v>
      </c>
      <c r="P914" s="49" t="s">
        <v>4892</v>
      </c>
      <c r="Q914" s="49"/>
      <c r="R914" s="50" t="s">
        <v>44</v>
      </c>
      <c r="S914" s="50"/>
    </row>
    <row r="915" customFormat="false" ht="15" hidden="false" customHeight="true" outlineLevel="0" collapsed="false">
      <c r="A915" s="46" t="n">
        <v>926</v>
      </c>
      <c r="B915" s="24" t="s">
        <v>5100</v>
      </c>
      <c r="C915" s="47"/>
      <c r="D915" s="47" t="s">
        <v>2282</v>
      </c>
      <c r="E915" s="46" t="s">
        <v>18</v>
      </c>
      <c r="F915" s="46" t="s">
        <v>2104</v>
      </c>
      <c r="G915" s="24" t="s">
        <v>1036</v>
      </c>
      <c r="H915" s="48" t="n">
        <v>5</v>
      </c>
      <c r="I915" s="46" t="s">
        <v>4886</v>
      </c>
      <c r="J915" s="47" t="s">
        <v>5101</v>
      </c>
      <c r="K915" s="24" t="s">
        <v>5102</v>
      </c>
      <c r="L915" s="46" t="s">
        <v>5103</v>
      </c>
      <c r="M915" s="24" t="s">
        <v>5070</v>
      </c>
      <c r="N915" s="46" t="s">
        <v>5071</v>
      </c>
      <c r="O915" s="24" t="s">
        <v>4891</v>
      </c>
      <c r="P915" s="46" t="s">
        <v>4892</v>
      </c>
      <c r="Q915" s="46"/>
      <c r="R915" s="47" t="s">
        <v>44</v>
      </c>
      <c r="S915" s="47"/>
    </row>
    <row r="916" customFormat="false" ht="15" hidden="false" customHeight="true" outlineLevel="0" collapsed="false">
      <c r="A916" s="49" t="n">
        <v>927</v>
      </c>
      <c r="B916" s="25" t="s">
        <v>5066</v>
      </c>
      <c r="C916" s="50"/>
      <c r="D916" s="50" t="s">
        <v>2282</v>
      </c>
      <c r="E916" s="49" t="s">
        <v>18</v>
      </c>
      <c r="F916" s="49" t="s">
        <v>2104</v>
      </c>
      <c r="G916" s="25" t="s">
        <v>1036</v>
      </c>
      <c r="H916" s="51" t="n">
        <v>5</v>
      </c>
      <c r="I916" s="49" t="s">
        <v>4886</v>
      </c>
      <c r="J916" s="50" t="s">
        <v>5104</v>
      </c>
      <c r="K916" s="25" t="s">
        <v>5105</v>
      </c>
      <c r="L916" s="49" t="s">
        <v>5106</v>
      </c>
      <c r="M916" s="25" t="s">
        <v>5070</v>
      </c>
      <c r="N916" s="49" t="s">
        <v>5071</v>
      </c>
      <c r="O916" s="25" t="s">
        <v>4891</v>
      </c>
      <c r="P916" s="49" t="s">
        <v>4892</v>
      </c>
      <c r="Q916" s="49"/>
      <c r="R916" s="50" t="s">
        <v>44</v>
      </c>
      <c r="S916" s="50"/>
    </row>
    <row r="917" customFormat="false" ht="15" hidden="false" customHeight="true" outlineLevel="0" collapsed="false">
      <c r="A917" s="46" t="n">
        <v>928</v>
      </c>
      <c r="B917" s="24" t="s">
        <v>5066</v>
      </c>
      <c r="C917" s="47"/>
      <c r="D917" s="47" t="s">
        <v>2282</v>
      </c>
      <c r="E917" s="46" t="s">
        <v>18</v>
      </c>
      <c r="F917" s="46" t="s">
        <v>2104</v>
      </c>
      <c r="G917" s="24" t="s">
        <v>1036</v>
      </c>
      <c r="H917" s="48" t="n">
        <v>5</v>
      </c>
      <c r="I917" s="46" t="s">
        <v>4886</v>
      </c>
      <c r="J917" s="47" t="s">
        <v>5107</v>
      </c>
      <c r="K917" s="24" t="s">
        <v>5108</v>
      </c>
      <c r="L917" s="46" t="s">
        <v>5109</v>
      </c>
      <c r="M917" s="24" t="s">
        <v>5070</v>
      </c>
      <c r="N917" s="46" t="s">
        <v>5071</v>
      </c>
      <c r="O917" s="24" t="s">
        <v>4891</v>
      </c>
      <c r="P917" s="46" t="s">
        <v>4892</v>
      </c>
      <c r="Q917" s="46"/>
      <c r="R917" s="47" t="s">
        <v>44</v>
      </c>
      <c r="S917" s="47"/>
    </row>
    <row r="918" customFormat="false" ht="15" hidden="false" customHeight="true" outlineLevel="0" collapsed="false">
      <c r="A918" s="49" t="n">
        <v>929</v>
      </c>
      <c r="B918" s="25" t="s">
        <v>5100</v>
      </c>
      <c r="C918" s="50"/>
      <c r="D918" s="50" t="s">
        <v>2282</v>
      </c>
      <c r="E918" s="49" t="s">
        <v>18</v>
      </c>
      <c r="F918" s="49" t="s">
        <v>2104</v>
      </c>
      <c r="G918" s="25" t="s">
        <v>1036</v>
      </c>
      <c r="H918" s="51" t="n">
        <v>5</v>
      </c>
      <c r="I918" s="49" t="s">
        <v>4886</v>
      </c>
      <c r="J918" s="50" t="s">
        <v>5110</v>
      </c>
      <c r="K918" s="25" t="s">
        <v>5111</v>
      </c>
      <c r="L918" s="49" t="s">
        <v>5112</v>
      </c>
      <c r="M918" s="25" t="s">
        <v>5070</v>
      </c>
      <c r="N918" s="49" t="s">
        <v>5071</v>
      </c>
      <c r="O918" s="25" t="s">
        <v>4891</v>
      </c>
      <c r="P918" s="49" t="s">
        <v>4892</v>
      </c>
      <c r="Q918" s="49"/>
      <c r="R918" s="50" t="s">
        <v>44</v>
      </c>
      <c r="S918" s="50"/>
    </row>
    <row r="919" customFormat="false" ht="15" hidden="false" customHeight="true" outlineLevel="0" collapsed="false">
      <c r="A919" s="46" t="n">
        <v>930</v>
      </c>
      <c r="B919" s="24" t="s">
        <v>3286</v>
      </c>
      <c r="C919" s="47"/>
      <c r="D919" s="47" t="s">
        <v>2282</v>
      </c>
      <c r="E919" s="46" t="s">
        <v>18</v>
      </c>
      <c r="F919" s="46" t="s">
        <v>2104</v>
      </c>
      <c r="G919" s="24" t="s">
        <v>1036</v>
      </c>
      <c r="H919" s="48" t="n">
        <v>5</v>
      </c>
      <c r="I919" s="46" t="s">
        <v>4948</v>
      </c>
      <c r="J919" s="47" t="s">
        <v>5113</v>
      </c>
      <c r="K919" s="24" t="s">
        <v>5114</v>
      </c>
      <c r="L919" s="46" t="s">
        <v>5115</v>
      </c>
      <c r="M919" s="24" t="s">
        <v>5070</v>
      </c>
      <c r="N919" s="46" t="s">
        <v>5071</v>
      </c>
      <c r="O919" s="24" t="s">
        <v>4891</v>
      </c>
      <c r="P919" s="46" t="s">
        <v>4892</v>
      </c>
      <c r="Q919" s="46"/>
      <c r="R919" s="47" t="s">
        <v>44</v>
      </c>
      <c r="S919" s="47"/>
    </row>
    <row r="920" customFormat="false" ht="15" hidden="false" customHeight="true" outlineLevel="0" collapsed="false">
      <c r="A920" s="49" t="n">
        <v>931</v>
      </c>
      <c r="B920" s="25" t="s">
        <v>5066</v>
      </c>
      <c r="C920" s="50"/>
      <c r="D920" s="50" t="s">
        <v>2282</v>
      </c>
      <c r="E920" s="49" t="s">
        <v>18</v>
      </c>
      <c r="F920" s="49" t="s">
        <v>2104</v>
      </c>
      <c r="G920" s="25" t="s">
        <v>1036</v>
      </c>
      <c r="H920" s="51" t="n">
        <v>5</v>
      </c>
      <c r="I920" s="49" t="s">
        <v>4948</v>
      </c>
      <c r="J920" s="50" t="s">
        <v>5116</v>
      </c>
      <c r="K920" s="25" t="s">
        <v>5117</v>
      </c>
      <c r="L920" s="49" t="s">
        <v>5118</v>
      </c>
      <c r="M920" s="25" t="s">
        <v>5070</v>
      </c>
      <c r="N920" s="49" t="s">
        <v>5071</v>
      </c>
      <c r="O920" s="25" t="s">
        <v>4891</v>
      </c>
      <c r="P920" s="49" t="s">
        <v>4892</v>
      </c>
      <c r="Q920" s="49"/>
      <c r="R920" s="50" t="s">
        <v>44</v>
      </c>
      <c r="S920" s="50"/>
    </row>
    <row r="921" customFormat="false" ht="15" hidden="false" customHeight="true" outlineLevel="0" collapsed="false">
      <c r="A921" s="46" t="n">
        <v>932</v>
      </c>
      <c r="B921" s="24" t="s">
        <v>3286</v>
      </c>
      <c r="C921" s="47"/>
      <c r="D921" s="47" t="s">
        <v>2282</v>
      </c>
      <c r="E921" s="46" t="s">
        <v>18</v>
      </c>
      <c r="F921" s="46" t="s">
        <v>2104</v>
      </c>
      <c r="G921" s="24" t="s">
        <v>1036</v>
      </c>
      <c r="H921" s="48" t="n">
        <v>5</v>
      </c>
      <c r="I921" s="46" t="s">
        <v>4948</v>
      </c>
      <c r="J921" s="47" t="s">
        <v>5119</v>
      </c>
      <c r="K921" s="24" t="s">
        <v>5120</v>
      </c>
      <c r="L921" s="46" t="s">
        <v>5121</v>
      </c>
      <c r="M921" s="24" t="s">
        <v>5070</v>
      </c>
      <c r="N921" s="46" t="s">
        <v>5071</v>
      </c>
      <c r="O921" s="24" t="s">
        <v>4891</v>
      </c>
      <c r="P921" s="46" t="s">
        <v>4892</v>
      </c>
      <c r="Q921" s="46"/>
      <c r="R921" s="47" t="s">
        <v>44</v>
      </c>
      <c r="S921" s="47"/>
    </row>
    <row r="922" customFormat="false" ht="15" hidden="false" customHeight="true" outlineLevel="0" collapsed="false">
      <c r="A922" s="49" t="n">
        <v>933</v>
      </c>
      <c r="B922" s="25" t="s">
        <v>5066</v>
      </c>
      <c r="C922" s="50"/>
      <c r="D922" s="50" t="s">
        <v>2282</v>
      </c>
      <c r="E922" s="49" t="s">
        <v>18</v>
      </c>
      <c r="F922" s="49" t="s">
        <v>2104</v>
      </c>
      <c r="G922" s="25" t="s">
        <v>1036</v>
      </c>
      <c r="H922" s="51" t="n">
        <v>5</v>
      </c>
      <c r="I922" s="49" t="s">
        <v>4948</v>
      </c>
      <c r="J922" s="50" t="s">
        <v>5122</v>
      </c>
      <c r="K922" s="25" t="s">
        <v>5084</v>
      </c>
      <c r="L922" s="49" t="s">
        <v>5123</v>
      </c>
      <c r="M922" s="25" t="s">
        <v>5070</v>
      </c>
      <c r="N922" s="49" t="s">
        <v>5071</v>
      </c>
      <c r="O922" s="25" t="s">
        <v>4891</v>
      </c>
      <c r="P922" s="49" t="s">
        <v>4892</v>
      </c>
      <c r="Q922" s="49"/>
      <c r="R922" s="50" t="s">
        <v>44</v>
      </c>
      <c r="S922" s="50"/>
    </row>
    <row r="923" customFormat="false" ht="15" hidden="false" customHeight="true" outlineLevel="0" collapsed="false">
      <c r="A923" s="46" t="n">
        <v>934</v>
      </c>
      <c r="B923" s="24" t="s">
        <v>5100</v>
      </c>
      <c r="C923" s="47"/>
      <c r="D923" s="47" t="s">
        <v>2282</v>
      </c>
      <c r="E923" s="46" t="s">
        <v>18</v>
      </c>
      <c r="F923" s="46" t="s">
        <v>2104</v>
      </c>
      <c r="G923" s="24" t="s">
        <v>1036</v>
      </c>
      <c r="H923" s="48" t="n">
        <v>5</v>
      </c>
      <c r="I923" s="46" t="s">
        <v>4948</v>
      </c>
      <c r="J923" s="47" t="s">
        <v>5124</v>
      </c>
      <c r="K923" s="24" t="s">
        <v>5125</v>
      </c>
      <c r="L923" s="46" t="s">
        <v>5126</v>
      </c>
      <c r="M923" s="24" t="s">
        <v>5070</v>
      </c>
      <c r="N923" s="46" t="s">
        <v>5071</v>
      </c>
      <c r="O923" s="24" t="s">
        <v>4891</v>
      </c>
      <c r="P923" s="46" t="s">
        <v>4892</v>
      </c>
      <c r="Q923" s="46"/>
      <c r="R923" s="47" t="s">
        <v>44</v>
      </c>
      <c r="S923" s="47"/>
    </row>
    <row r="924" customFormat="false" ht="15" hidden="false" customHeight="true" outlineLevel="0" collapsed="false">
      <c r="A924" s="49" t="n">
        <v>935</v>
      </c>
      <c r="B924" s="25" t="s">
        <v>5066</v>
      </c>
      <c r="C924" s="50"/>
      <c r="D924" s="50" t="s">
        <v>2282</v>
      </c>
      <c r="E924" s="49" t="s">
        <v>18</v>
      </c>
      <c r="F924" s="49" t="s">
        <v>2104</v>
      </c>
      <c r="G924" s="25" t="s">
        <v>1036</v>
      </c>
      <c r="H924" s="51" t="n">
        <v>5</v>
      </c>
      <c r="I924" s="49" t="s">
        <v>4948</v>
      </c>
      <c r="J924" s="50" t="s">
        <v>5127</v>
      </c>
      <c r="K924" s="25" t="s">
        <v>5128</v>
      </c>
      <c r="L924" s="49" t="s">
        <v>5093</v>
      </c>
      <c r="M924" s="25" t="s">
        <v>5070</v>
      </c>
      <c r="N924" s="49" t="s">
        <v>5071</v>
      </c>
      <c r="O924" s="25" t="s">
        <v>4891</v>
      </c>
      <c r="P924" s="49" t="s">
        <v>4892</v>
      </c>
      <c r="Q924" s="49"/>
      <c r="R924" s="50" t="s">
        <v>44</v>
      </c>
      <c r="S924" s="50"/>
    </row>
    <row r="925" customFormat="false" ht="15" hidden="false" customHeight="true" outlineLevel="0" collapsed="false">
      <c r="A925" s="46" t="n">
        <v>936</v>
      </c>
      <c r="B925" s="24" t="s">
        <v>5066</v>
      </c>
      <c r="C925" s="47"/>
      <c r="D925" s="47" t="s">
        <v>2282</v>
      </c>
      <c r="E925" s="46" t="s">
        <v>18</v>
      </c>
      <c r="F925" s="46" t="s">
        <v>2104</v>
      </c>
      <c r="G925" s="24" t="s">
        <v>1036</v>
      </c>
      <c r="H925" s="48" t="n">
        <v>5</v>
      </c>
      <c r="I925" s="46" t="s">
        <v>4948</v>
      </c>
      <c r="J925" s="47" t="s">
        <v>5129</v>
      </c>
      <c r="K925" s="24" t="s">
        <v>5130</v>
      </c>
      <c r="L925" s="46" t="s">
        <v>5109</v>
      </c>
      <c r="M925" s="24" t="s">
        <v>5070</v>
      </c>
      <c r="N925" s="46" t="s">
        <v>5071</v>
      </c>
      <c r="O925" s="24" t="s">
        <v>4891</v>
      </c>
      <c r="P925" s="46" t="s">
        <v>4892</v>
      </c>
      <c r="Q925" s="46"/>
      <c r="R925" s="47" t="s">
        <v>44</v>
      </c>
      <c r="S925" s="47"/>
    </row>
    <row r="926" customFormat="false" ht="15" hidden="false" customHeight="true" outlineLevel="0" collapsed="false">
      <c r="A926" s="49" t="n">
        <v>937</v>
      </c>
      <c r="B926" s="25" t="s">
        <v>5066</v>
      </c>
      <c r="C926" s="50"/>
      <c r="D926" s="50" t="s">
        <v>2282</v>
      </c>
      <c r="E926" s="49" t="s">
        <v>18</v>
      </c>
      <c r="F926" s="49" t="s">
        <v>2104</v>
      </c>
      <c r="G926" s="25" t="s">
        <v>1036</v>
      </c>
      <c r="H926" s="51" t="n">
        <v>5</v>
      </c>
      <c r="I926" s="49" t="s">
        <v>4948</v>
      </c>
      <c r="J926" s="50" t="s">
        <v>5131</v>
      </c>
      <c r="K926" s="25" t="s">
        <v>5132</v>
      </c>
      <c r="L926" s="49" t="s">
        <v>5133</v>
      </c>
      <c r="M926" s="25" t="s">
        <v>5070</v>
      </c>
      <c r="N926" s="49" t="s">
        <v>5071</v>
      </c>
      <c r="O926" s="25" t="s">
        <v>4891</v>
      </c>
      <c r="P926" s="49" t="s">
        <v>4892</v>
      </c>
      <c r="Q926" s="49"/>
      <c r="R926" s="50" t="s">
        <v>44</v>
      </c>
      <c r="S926" s="50"/>
    </row>
    <row r="927" customFormat="false" ht="15" hidden="false" customHeight="true" outlineLevel="0" collapsed="false">
      <c r="A927" s="46" t="n">
        <v>938</v>
      </c>
      <c r="B927" s="24" t="s">
        <v>5066</v>
      </c>
      <c r="C927" s="47"/>
      <c r="D927" s="47" t="s">
        <v>2282</v>
      </c>
      <c r="E927" s="46" t="s">
        <v>18</v>
      </c>
      <c r="F927" s="46" t="s">
        <v>2104</v>
      </c>
      <c r="G927" s="24" t="s">
        <v>1036</v>
      </c>
      <c r="H927" s="48" t="n">
        <v>5</v>
      </c>
      <c r="I927" s="46" t="s">
        <v>4948</v>
      </c>
      <c r="J927" s="47" t="s">
        <v>5134</v>
      </c>
      <c r="K927" s="24" t="s">
        <v>2611</v>
      </c>
      <c r="L927" s="46" t="s">
        <v>5118</v>
      </c>
      <c r="M927" s="24" t="s">
        <v>5070</v>
      </c>
      <c r="N927" s="46" t="s">
        <v>5071</v>
      </c>
      <c r="O927" s="24" t="s">
        <v>4891</v>
      </c>
      <c r="P927" s="46" t="s">
        <v>4892</v>
      </c>
      <c r="Q927" s="46"/>
      <c r="R927" s="47" t="s">
        <v>44</v>
      </c>
      <c r="S927" s="47"/>
    </row>
    <row r="928" customFormat="false" ht="15" hidden="false" customHeight="true" outlineLevel="0" collapsed="false">
      <c r="A928" s="49" t="n">
        <v>939</v>
      </c>
      <c r="B928" s="25" t="s">
        <v>5066</v>
      </c>
      <c r="C928" s="50"/>
      <c r="D928" s="50" t="s">
        <v>2282</v>
      </c>
      <c r="E928" s="49" t="s">
        <v>18</v>
      </c>
      <c r="F928" s="49" t="s">
        <v>2104</v>
      </c>
      <c r="G928" s="25" t="s">
        <v>1036</v>
      </c>
      <c r="H928" s="51" t="n">
        <v>5</v>
      </c>
      <c r="I928" s="49" t="s">
        <v>4948</v>
      </c>
      <c r="J928" s="50" t="s">
        <v>5135</v>
      </c>
      <c r="K928" s="25" t="s">
        <v>5136</v>
      </c>
      <c r="L928" s="49" t="s">
        <v>5137</v>
      </c>
      <c r="M928" s="25" t="s">
        <v>5070</v>
      </c>
      <c r="N928" s="49" t="s">
        <v>5071</v>
      </c>
      <c r="O928" s="25" t="s">
        <v>4891</v>
      </c>
      <c r="P928" s="49" t="s">
        <v>4892</v>
      </c>
      <c r="Q928" s="49"/>
      <c r="R928" s="50" t="s">
        <v>44</v>
      </c>
      <c r="S928" s="50"/>
    </row>
    <row r="929" customFormat="false" ht="15" hidden="false" customHeight="true" outlineLevel="0" collapsed="false">
      <c r="A929" s="46" t="n">
        <v>940</v>
      </c>
      <c r="B929" s="24" t="s">
        <v>5066</v>
      </c>
      <c r="C929" s="47"/>
      <c r="D929" s="47" t="s">
        <v>2282</v>
      </c>
      <c r="E929" s="46" t="s">
        <v>18</v>
      </c>
      <c r="F929" s="46" t="s">
        <v>2104</v>
      </c>
      <c r="G929" s="24" t="s">
        <v>1036</v>
      </c>
      <c r="H929" s="48" t="n">
        <v>5</v>
      </c>
      <c r="I929" s="46" t="s">
        <v>4948</v>
      </c>
      <c r="J929" s="47" t="s">
        <v>5138</v>
      </c>
      <c r="K929" s="24" t="s">
        <v>5139</v>
      </c>
      <c r="L929" s="46" t="s">
        <v>5140</v>
      </c>
      <c r="M929" s="24" t="s">
        <v>5070</v>
      </c>
      <c r="N929" s="46" t="s">
        <v>5071</v>
      </c>
      <c r="O929" s="24" t="s">
        <v>4891</v>
      </c>
      <c r="P929" s="46" t="s">
        <v>4892</v>
      </c>
      <c r="Q929" s="46"/>
      <c r="R929" s="47" t="s">
        <v>44</v>
      </c>
      <c r="S929" s="47"/>
    </row>
    <row r="930" customFormat="false" ht="15" hidden="false" customHeight="true" outlineLevel="0" collapsed="false">
      <c r="A930" s="49" t="n">
        <v>941</v>
      </c>
      <c r="B930" s="25" t="s">
        <v>5066</v>
      </c>
      <c r="C930" s="50"/>
      <c r="D930" s="50" t="s">
        <v>2282</v>
      </c>
      <c r="E930" s="49" t="s">
        <v>18</v>
      </c>
      <c r="F930" s="49" t="s">
        <v>2104</v>
      </c>
      <c r="G930" s="25" t="s">
        <v>1036</v>
      </c>
      <c r="H930" s="51" t="n">
        <v>5</v>
      </c>
      <c r="I930" s="49" t="s">
        <v>4948</v>
      </c>
      <c r="J930" s="50" t="s">
        <v>5141</v>
      </c>
      <c r="K930" s="25" t="s">
        <v>5142</v>
      </c>
      <c r="L930" s="49" t="s">
        <v>5143</v>
      </c>
      <c r="M930" s="25" t="s">
        <v>5070</v>
      </c>
      <c r="N930" s="49" t="s">
        <v>5071</v>
      </c>
      <c r="O930" s="25" t="s">
        <v>4891</v>
      </c>
      <c r="P930" s="49" t="s">
        <v>4892</v>
      </c>
      <c r="Q930" s="49"/>
      <c r="R930" s="50" t="s">
        <v>44</v>
      </c>
      <c r="S930" s="50"/>
    </row>
    <row r="931" customFormat="false" ht="15" hidden="false" customHeight="true" outlineLevel="0" collapsed="false">
      <c r="A931" s="46" t="n">
        <v>942</v>
      </c>
      <c r="B931" s="24" t="s">
        <v>5066</v>
      </c>
      <c r="C931" s="47"/>
      <c r="D931" s="47" t="s">
        <v>2282</v>
      </c>
      <c r="E931" s="46" t="s">
        <v>18</v>
      </c>
      <c r="F931" s="46" t="s">
        <v>2104</v>
      </c>
      <c r="G931" s="24" t="s">
        <v>1036</v>
      </c>
      <c r="H931" s="48" t="n">
        <v>5</v>
      </c>
      <c r="I931" s="46" t="s">
        <v>4948</v>
      </c>
      <c r="J931" s="47" t="s">
        <v>5144</v>
      </c>
      <c r="K931" s="24" t="s">
        <v>2834</v>
      </c>
      <c r="L931" s="46" t="s">
        <v>5145</v>
      </c>
      <c r="M931" s="24" t="s">
        <v>5070</v>
      </c>
      <c r="N931" s="46" t="s">
        <v>5071</v>
      </c>
      <c r="O931" s="24" t="s">
        <v>4891</v>
      </c>
      <c r="P931" s="46" t="s">
        <v>4892</v>
      </c>
      <c r="Q931" s="46"/>
      <c r="R931" s="47" t="s">
        <v>44</v>
      </c>
      <c r="S931" s="47"/>
    </row>
    <row r="932" customFormat="false" ht="15" hidden="false" customHeight="true" outlineLevel="0" collapsed="false">
      <c r="A932" s="49" t="n">
        <v>943</v>
      </c>
      <c r="B932" s="25" t="s">
        <v>3286</v>
      </c>
      <c r="C932" s="50"/>
      <c r="D932" s="50" t="s">
        <v>2282</v>
      </c>
      <c r="E932" s="49" t="s">
        <v>18</v>
      </c>
      <c r="F932" s="49" t="s">
        <v>2104</v>
      </c>
      <c r="G932" s="25" t="s">
        <v>1036</v>
      </c>
      <c r="H932" s="51" t="n">
        <v>5</v>
      </c>
      <c r="I932" s="49" t="s">
        <v>4948</v>
      </c>
      <c r="J932" s="50" t="s">
        <v>5146</v>
      </c>
      <c r="K932" s="25" t="s">
        <v>5147</v>
      </c>
      <c r="L932" s="49" t="s">
        <v>5148</v>
      </c>
      <c r="M932" s="25" t="s">
        <v>5070</v>
      </c>
      <c r="N932" s="49" t="s">
        <v>5071</v>
      </c>
      <c r="O932" s="25" t="s">
        <v>4891</v>
      </c>
      <c r="P932" s="49" t="s">
        <v>4892</v>
      </c>
      <c r="Q932" s="49"/>
      <c r="R932" s="50" t="s">
        <v>44</v>
      </c>
      <c r="S932" s="52" t="s">
        <v>65</v>
      </c>
    </row>
    <row r="933" customFormat="false" ht="15" hidden="false" customHeight="true" outlineLevel="0" collapsed="false">
      <c r="A933" s="46" t="n">
        <v>944</v>
      </c>
      <c r="B933" s="24" t="s">
        <v>5066</v>
      </c>
      <c r="C933" s="47"/>
      <c r="D933" s="47" t="s">
        <v>2282</v>
      </c>
      <c r="E933" s="46" t="s">
        <v>18</v>
      </c>
      <c r="F933" s="46" t="s">
        <v>2104</v>
      </c>
      <c r="G933" s="24" t="s">
        <v>1036</v>
      </c>
      <c r="H933" s="48" t="n">
        <v>5</v>
      </c>
      <c r="I933" s="46" t="s">
        <v>4948</v>
      </c>
      <c r="J933" s="47" t="s">
        <v>5149</v>
      </c>
      <c r="K933" s="24" t="s">
        <v>2798</v>
      </c>
      <c r="L933" s="46" t="s">
        <v>5150</v>
      </c>
      <c r="M933" s="24" t="s">
        <v>5070</v>
      </c>
      <c r="N933" s="46" t="s">
        <v>5071</v>
      </c>
      <c r="O933" s="24" t="s">
        <v>4891</v>
      </c>
      <c r="P933" s="46" t="s">
        <v>4892</v>
      </c>
      <c r="Q933" s="46"/>
      <c r="R933" s="47" t="s">
        <v>44</v>
      </c>
      <c r="S933" s="47"/>
    </row>
    <row r="934" customFormat="false" ht="15" hidden="false" customHeight="true" outlineLevel="0" collapsed="false">
      <c r="A934" s="49" t="n">
        <v>945</v>
      </c>
      <c r="B934" s="25" t="s">
        <v>5100</v>
      </c>
      <c r="C934" s="50"/>
      <c r="D934" s="50" t="s">
        <v>2282</v>
      </c>
      <c r="E934" s="49" t="s">
        <v>18</v>
      </c>
      <c r="F934" s="49" t="s">
        <v>2104</v>
      </c>
      <c r="G934" s="25" t="s">
        <v>1036</v>
      </c>
      <c r="H934" s="51" t="n">
        <v>5</v>
      </c>
      <c r="I934" s="49" t="s">
        <v>4948</v>
      </c>
      <c r="J934" s="50" t="s">
        <v>5151</v>
      </c>
      <c r="K934" s="25" t="s">
        <v>2611</v>
      </c>
      <c r="L934" s="49" t="s">
        <v>5152</v>
      </c>
      <c r="M934" s="25" t="s">
        <v>5070</v>
      </c>
      <c r="N934" s="49" t="s">
        <v>5071</v>
      </c>
      <c r="O934" s="25" t="s">
        <v>4891</v>
      </c>
      <c r="P934" s="49" t="s">
        <v>4892</v>
      </c>
      <c r="Q934" s="49"/>
      <c r="R934" s="50" t="s">
        <v>44</v>
      </c>
      <c r="S934" s="50"/>
    </row>
    <row r="935" customFormat="false" ht="15" hidden="false" customHeight="true" outlineLevel="0" collapsed="false">
      <c r="A935" s="46" t="n">
        <v>946</v>
      </c>
      <c r="B935" s="24" t="s">
        <v>5086</v>
      </c>
      <c r="C935" s="47"/>
      <c r="D935" s="47" t="s">
        <v>2282</v>
      </c>
      <c r="E935" s="46" t="s">
        <v>18</v>
      </c>
      <c r="F935" s="46" t="s">
        <v>2104</v>
      </c>
      <c r="G935" s="24" t="s">
        <v>1036</v>
      </c>
      <c r="H935" s="48" t="n">
        <v>5</v>
      </c>
      <c r="I935" s="46" t="s">
        <v>4948</v>
      </c>
      <c r="J935" s="47" t="s">
        <v>5153</v>
      </c>
      <c r="K935" s="24" t="s">
        <v>5154</v>
      </c>
      <c r="L935" s="46" t="s">
        <v>5155</v>
      </c>
      <c r="M935" s="24" t="s">
        <v>5081</v>
      </c>
      <c r="N935" s="46" t="s">
        <v>5082</v>
      </c>
      <c r="O935" s="24" t="s">
        <v>4891</v>
      </c>
      <c r="P935" s="46" t="s">
        <v>4892</v>
      </c>
      <c r="Q935" s="46"/>
      <c r="R935" s="47" t="s">
        <v>44</v>
      </c>
      <c r="S935" s="47"/>
    </row>
    <row r="936" customFormat="false" ht="15" hidden="false" customHeight="true" outlineLevel="0" collapsed="false">
      <c r="A936" s="49" t="n">
        <v>947</v>
      </c>
      <c r="B936" s="25" t="s">
        <v>5077</v>
      </c>
      <c r="C936" s="50"/>
      <c r="D936" s="50" t="s">
        <v>2282</v>
      </c>
      <c r="E936" s="49" t="s">
        <v>18</v>
      </c>
      <c r="F936" s="49" t="s">
        <v>2104</v>
      </c>
      <c r="G936" s="25" t="s">
        <v>1036</v>
      </c>
      <c r="H936" s="51" t="n">
        <v>5</v>
      </c>
      <c r="I936" s="49" t="s">
        <v>4948</v>
      </c>
      <c r="J936" s="50" t="s">
        <v>5156</v>
      </c>
      <c r="K936" s="25" t="s">
        <v>5157</v>
      </c>
      <c r="L936" s="49" t="s">
        <v>5158</v>
      </c>
      <c r="M936" s="25" t="s">
        <v>5081</v>
      </c>
      <c r="N936" s="49" t="s">
        <v>5082</v>
      </c>
      <c r="O936" s="25" t="s">
        <v>4891</v>
      </c>
      <c r="P936" s="49" t="s">
        <v>4892</v>
      </c>
      <c r="Q936" s="49"/>
      <c r="R936" s="50" t="s">
        <v>44</v>
      </c>
      <c r="S936" s="50"/>
    </row>
    <row r="937" customFormat="false" ht="15" hidden="false" customHeight="true" outlineLevel="0" collapsed="false">
      <c r="A937" s="46" t="n">
        <v>948</v>
      </c>
      <c r="B937" s="24" t="s">
        <v>5086</v>
      </c>
      <c r="C937" s="47"/>
      <c r="D937" s="47" t="s">
        <v>2282</v>
      </c>
      <c r="E937" s="46" t="s">
        <v>18</v>
      </c>
      <c r="F937" s="46" t="s">
        <v>2104</v>
      </c>
      <c r="G937" s="24" t="s">
        <v>1036</v>
      </c>
      <c r="H937" s="48" t="n">
        <v>5</v>
      </c>
      <c r="I937" s="46" t="s">
        <v>4948</v>
      </c>
      <c r="J937" s="47" t="s">
        <v>5159</v>
      </c>
      <c r="K937" s="24" t="s">
        <v>5160</v>
      </c>
      <c r="L937" s="46" t="s">
        <v>5161</v>
      </c>
      <c r="M937" s="24" t="s">
        <v>5064</v>
      </c>
      <c r="N937" s="46" t="s">
        <v>5065</v>
      </c>
      <c r="O937" s="24" t="s">
        <v>4891</v>
      </c>
      <c r="P937" s="46" t="s">
        <v>4892</v>
      </c>
      <c r="Q937" s="46"/>
      <c r="R937" s="47" t="s">
        <v>44</v>
      </c>
      <c r="S937" s="47"/>
    </row>
    <row r="938" customFormat="false" ht="15" hidden="false" customHeight="true" outlineLevel="0" collapsed="false">
      <c r="A938" s="49" t="n">
        <v>949</v>
      </c>
      <c r="B938" s="25" t="s">
        <v>5086</v>
      </c>
      <c r="C938" s="50"/>
      <c r="D938" s="50" t="s">
        <v>2282</v>
      </c>
      <c r="E938" s="49" t="s">
        <v>18</v>
      </c>
      <c r="F938" s="49" t="s">
        <v>2104</v>
      </c>
      <c r="G938" s="25" t="s">
        <v>1036</v>
      </c>
      <c r="H938" s="51" t="n">
        <v>5</v>
      </c>
      <c r="I938" s="49" t="s">
        <v>4948</v>
      </c>
      <c r="J938" s="50" t="s">
        <v>5162</v>
      </c>
      <c r="K938" s="25" t="s">
        <v>5163</v>
      </c>
      <c r="L938" s="49" t="s">
        <v>5164</v>
      </c>
      <c r="M938" s="25" t="s">
        <v>5064</v>
      </c>
      <c r="N938" s="49" t="s">
        <v>5065</v>
      </c>
      <c r="O938" s="25" t="s">
        <v>4891</v>
      </c>
      <c r="P938" s="49" t="s">
        <v>4892</v>
      </c>
      <c r="Q938" s="49"/>
      <c r="R938" s="50" t="s">
        <v>44</v>
      </c>
      <c r="S938" s="50"/>
    </row>
    <row r="939" customFormat="false" ht="15" hidden="false" customHeight="true" outlineLevel="0" collapsed="false">
      <c r="A939" s="46" t="n">
        <v>950</v>
      </c>
      <c r="B939" s="24" t="s">
        <v>5086</v>
      </c>
      <c r="C939" s="47"/>
      <c r="D939" s="47" t="s">
        <v>2282</v>
      </c>
      <c r="E939" s="46" t="s">
        <v>18</v>
      </c>
      <c r="F939" s="46" t="s">
        <v>2104</v>
      </c>
      <c r="G939" s="24" t="s">
        <v>1036</v>
      </c>
      <c r="H939" s="48" t="n">
        <v>5</v>
      </c>
      <c r="I939" s="46" t="s">
        <v>4948</v>
      </c>
      <c r="J939" s="47" t="s">
        <v>5165</v>
      </c>
      <c r="K939" s="24" t="s">
        <v>5166</v>
      </c>
      <c r="L939" s="46" t="s">
        <v>5167</v>
      </c>
      <c r="M939" s="24" t="s">
        <v>5064</v>
      </c>
      <c r="N939" s="46" t="s">
        <v>5065</v>
      </c>
      <c r="O939" s="24" t="s">
        <v>4891</v>
      </c>
      <c r="P939" s="46" t="s">
        <v>4892</v>
      </c>
      <c r="Q939" s="46"/>
      <c r="R939" s="47" t="s">
        <v>44</v>
      </c>
      <c r="S939" s="47"/>
    </row>
    <row r="940" customFormat="false" ht="15" hidden="false" customHeight="true" outlineLevel="0" collapsed="false">
      <c r="A940" s="49" t="n">
        <v>951</v>
      </c>
      <c r="B940" s="25" t="s">
        <v>5168</v>
      </c>
      <c r="C940" s="50"/>
      <c r="D940" s="50" t="s">
        <v>2282</v>
      </c>
      <c r="E940" s="49" t="s">
        <v>18</v>
      </c>
      <c r="F940" s="49" t="s">
        <v>2104</v>
      </c>
      <c r="G940" s="25" t="s">
        <v>1036</v>
      </c>
      <c r="H940" s="51" t="n">
        <v>5</v>
      </c>
      <c r="I940" s="49" t="s">
        <v>5053</v>
      </c>
      <c r="J940" s="50" t="s">
        <v>5169</v>
      </c>
      <c r="K940" s="25" t="s">
        <v>2982</v>
      </c>
      <c r="L940" s="49" t="s">
        <v>5170</v>
      </c>
      <c r="M940" s="25" t="s">
        <v>5064</v>
      </c>
      <c r="N940" s="49" t="s">
        <v>5065</v>
      </c>
      <c r="O940" s="25" t="s">
        <v>4891</v>
      </c>
      <c r="P940" s="49" t="s">
        <v>4892</v>
      </c>
      <c r="Q940" s="49"/>
      <c r="R940" s="50" t="s">
        <v>44</v>
      </c>
      <c r="S940" s="52" t="s">
        <v>65</v>
      </c>
    </row>
    <row r="941" customFormat="false" ht="15" hidden="false" customHeight="true" outlineLevel="0" collapsed="false">
      <c r="A941" s="46" t="n">
        <v>952</v>
      </c>
      <c r="B941" s="24" t="s">
        <v>5168</v>
      </c>
      <c r="C941" s="47"/>
      <c r="D941" s="47" t="s">
        <v>2282</v>
      </c>
      <c r="E941" s="46" t="s">
        <v>18</v>
      </c>
      <c r="F941" s="46" t="s">
        <v>2104</v>
      </c>
      <c r="G941" s="24" t="s">
        <v>1036</v>
      </c>
      <c r="H941" s="48" t="n">
        <v>5</v>
      </c>
      <c r="I941" s="46" t="s">
        <v>5053</v>
      </c>
      <c r="J941" s="47" t="s">
        <v>5171</v>
      </c>
      <c r="K941" s="24" t="s">
        <v>2207</v>
      </c>
      <c r="L941" s="46" t="s">
        <v>5172</v>
      </c>
      <c r="M941" s="24" t="s">
        <v>5064</v>
      </c>
      <c r="N941" s="46" t="s">
        <v>5065</v>
      </c>
      <c r="O941" s="24" t="s">
        <v>4891</v>
      </c>
      <c r="P941" s="46" t="s">
        <v>4892</v>
      </c>
      <c r="Q941" s="46"/>
      <c r="R941" s="47" t="s">
        <v>44</v>
      </c>
      <c r="S941" s="47"/>
    </row>
    <row r="942" customFormat="false" ht="15" hidden="false" customHeight="true" outlineLevel="0" collapsed="false">
      <c r="A942" s="49" t="n">
        <v>953</v>
      </c>
      <c r="B942" s="25" t="s">
        <v>5086</v>
      </c>
      <c r="C942" s="50"/>
      <c r="D942" s="50" t="s">
        <v>2282</v>
      </c>
      <c r="E942" s="49" t="s">
        <v>18</v>
      </c>
      <c r="F942" s="49" t="s">
        <v>2104</v>
      </c>
      <c r="G942" s="25" t="s">
        <v>1036</v>
      </c>
      <c r="H942" s="51" t="n">
        <v>5</v>
      </c>
      <c r="I942" s="49" t="s">
        <v>5053</v>
      </c>
      <c r="J942" s="50" t="s">
        <v>5173</v>
      </c>
      <c r="K942" s="25" t="s">
        <v>5174</v>
      </c>
      <c r="L942" s="49" t="s">
        <v>5175</v>
      </c>
      <c r="M942" s="25" t="s">
        <v>5064</v>
      </c>
      <c r="N942" s="49" t="s">
        <v>5065</v>
      </c>
      <c r="O942" s="25" t="s">
        <v>4891</v>
      </c>
      <c r="P942" s="49" t="s">
        <v>4892</v>
      </c>
      <c r="Q942" s="49"/>
      <c r="R942" s="50" t="s">
        <v>44</v>
      </c>
      <c r="S942" s="50"/>
    </row>
    <row r="943" customFormat="false" ht="15" hidden="false" customHeight="true" outlineLevel="0" collapsed="false">
      <c r="A943" s="46" t="n">
        <v>954</v>
      </c>
      <c r="B943" s="24" t="s">
        <v>5086</v>
      </c>
      <c r="C943" s="47"/>
      <c r="D943" s="47" t="s">
        <v>2282</v>
      </c>
      <c r="E943" s="46" t="s">
        <v>18</v>
      </c>
      <c r="F943" s="46" t="s">
        <v>2104</v>
      </c>
      <c r="G943" s="24" t="s">
        <v>1036</v>
      </c>
      <c r="H943" s="48" t="n">
        <v>5</v>
      </c>
      <c r="I943" s="46" t="s">
        <v>5053</v>
      </c>
      <c r="J943" s="47" t="s">
        <v>5176</v>
      </c>
      <c r="K943" s="24" t="s">
        <v>2055</v>
      </c>
      <c r="L943" s="46" t="s">
        <v>5177</v>
      </c>
      <c r="M943" s="24" t="s">
        <v>5064</v>
      </c>
      <c r="N943" s="46" t="s">
        <v>5065</v>
      </c>
      <c r="O943" s="24" t="s">
        <v>4891</v>
      </c>
      <c r="P943" s="46" t="s">
        <v>4892</v>
      </c>
      <c r="Q943" s="46"/>
      <c r="R943" s="47" t="s">
        <v>44</v>
      </c>
      <c r="S943" s="47"/>
    </row>
    <row r="944" customFormat="false" ht="15" hidden="false" customHeight="true" outlineLevel="0" collapsed="false">
      <c r="A944" s="49" t="n">
        <v>955</v>
      </c>
      <c r="B944" s="25" t="s">
        <v>5086</v>
      </c>
      <c r="C944" s="50"/>
      <c r="D944" s="50" t="s">
        <v>2282</v>
      </c>
      <c r="E944" s="49" t="s">
        <v>18</v>
      </c>
      <c r="F944" s="49" t="s">
        <v>2104</v>
      </c>
      <c r="G944" s="25" t="s">
        <v>1036</v>
      </c>
      <c r="H944" s="51" t="n">
        <v>5</v>
      </c>
      <c r="I944" s="49" t="s">
        <v>5053</v>
      </c>
      <c r="J944" s="50" t="s">
        <v>5178</v>
      </c>
      <c r="K944" s="25" t="s">
        <v>5179</v>
      </c>
      <c r="L944" s="49" t="s">
        <v>5180</v>
      </c>
      <c r="M944" s="25" t="s">
        <v>5064</v>
      </c>
      <c r="N944" s="49" t="s">
        <v>5065</v>
      </c>
      <c r="O944" s="25" t="s">
        <v>4891</v>
      </c>
      <c r="P944" s="49" t="s">
        <v>4892</v>
      </c>
      <c r="Q944" s="49"/>
      <c r="R944" s="50" t="s">
        <v>44</v>
      </c>
      <c r="S944" s="50"/>
    </row>
    <row r="945" customFormat="false" ht="15" hidden="false" customHeight="true" outlineLevel="0" collapsed="false">
      <c r="A945" s="46" t="n">
        <v>956</v>
      </c>
      <c r="B945" s="24" t="s">
        <v>5181</v>
      </c>
      <c r="C945" s="47"/>
      <c r="D945" s="47" t="s">
        <v>2282</v>
      </c>
      <c r="E945" s="46" t="s">
        <v>18</v>
      </c>
      <c r="F945" s="46" t="s">
        <v>2104</v>
      </c>
      <c r="G945" s="24" t="s">
        <v>1036</v>
      </c>
      <c r="H945" s="48" t="n">
        <v>5</v>
      </c>
      <c r="I945" s="46" t="s">
        <v>5053</v>
      </c>
      <c r="J945" s="47" t="s">
        <v>5182</v>
      </c>
      <c r="K945" s="24" t="s">
        <v>5183</v>
      </c>
      <c r="L945" s="46" t="s">
        <v>5184</v>
      </c>
      <c r="M945" s="24" t="s">
        <v>5081</v>
      </c>
      <c r="N945" s="46" t="s">
        <v>5082</v>
      </c>
      <c r="O945" s="24" t="s">
        <v>4891</v>
      </c>
      <c r="P945" s="46" t="s">
        <v>4892</v>
      </c>
      <c r="Q945" s="46"/>
      <c r="R945" s="47" t="s">
        <v>44</v>
      </c>
      <c r="S945" s="47"/>
    </row>
    <row r="946" customFormat="false" ht="15" hidden="false" customHeight="true" outlineLevel="0" collapsed="false">
      <c r="A946" s="49" t="n">
        <v>957</v>
      </c>
      <c r="B946" s="25" t="s">
        <v>5086</v>
      </c>
      <c r="C946" s="50"/>
      <c r="D946" s="50" t="s">
        <v>2282</v>
      </c>
      <c r="E946" s="49" t="s">
        <v>18</v>
      </c>
      <c r="F946" s="49" t="s">
        <v>2104</v>
      </c>
      <c r="G946" s="25" t="s">
        <v>1036</v>
      </c>
      <c r="H946" s="51" t="n">
        <v>5</v>
      </c>
      <c r="I946" s="49" t="s">
        <v>5053</v>
      </c>
      <c r="J946" s="50" t="s">
        <v>5185</v>
      </c>
      <c r="K946" s="25" t="s">
        <v>5186</v>
      </c>
      <c r="L946" s="49" t="s">
        <v>5187</v>
      </c>
      <c r="M946" s="25" t="s">
        <v>5081</v>
      </c>
      <c r="N946" s="49" t="s">
        <v>5082</v>
      </c>
      <c r="O946" s="25" t="s">
        <v>4891</v>
      </c>
      <c r="P946" s="49" t="s">
        <v>4892</v>
      </c>
      <c r="Q946" s="49"/>
      <c r="R946" s="50" t="s">
        <v>44</v>
      </c>
      <c r="S946" s="50"/>
    </row>
    <row r="947" customFormat="false" ht="15" hidden="false" customHeight="true" outlineLevel="0" collapsed="false">
      <c r="A947" s="46" t="n">
        <v>958</v>
      </c>
      <c r="B947" s="24" t="s">
        <v>5181</v>
      </c>
      <c r="C947" s="47"/>
      <c r="D947" s="47" t="s">
        <v>2282</v>
      </c>
      <c r="E947" s="46" t="s">
        <v>18</v>
      </c>
      <c r="F947" s="46" t="s">
        <v>2104</v>
      </c>
      <c r="G947" s="24" t="s">
        <v>1036</v>
      </c>
      <c r="H947" s="48" t="n">
        <v>5</v>
      </c>
      <c r="I947" s="46" t="s">
        <v>5053</v>
      </c>
      <c r="J947" s="47" t="s">
        <v>5188</v>
      </c>
      <c r="K947" s="24" t="s">
        <v>5189</v>
      </c>
      <c r="L947" s="46" t="s">
        <v>5190</v>
      </c>
      <c r="M947" s="24" t="s">
        <v>5081</v>
      </c>
      <c r="N947" s="46" t="s">
        <v>5082</v>
      </c>
      <c r="O947" s="24" t="s">
        <v>4891</v>
      </c>
      <c r="P947" s="46" t="s">
        <v>4892</v>
      </c>
      <c r="Q947" s="46"/>
      <c r="R947" s="47" t="s">
        <v>44</v>
      </c>
      <c r="S947" s="47"/>
    </row>
    <row r="948" customFormat="false" ht="15" hidden="false" customHeight="true" outlineLevel="0" collapsed="false">
      <c r="A948" s="49" t="n">
        <v>959</v>
      </c>
      <c r="B948" s="25" t="s">
        <v>5181</v>
      </c>
      <c r="C948" s="50"/>
      <c r="D948" s="50" t="s">
        <v>2282</v>
      </c>
      <c r="E948" s="49" t="s">
        <v>18</v>
      </c>
      <c r="F948" s="49" t="s">
        <v>2104</v>
      </c>
      <c r="G948" s="25" t="s">
        <v>1036</v>
      </c>
      <c r="H948" s="51" t="n">
        <v>5</v>
      </c>
      <c r="I948" s="49" t="s">
        <v>5053</v>
      </c>
      <c r="J948" s="50" t="s">
        <v>5191</v>
      </c>
      <c r="K948" s="25" t="s">
        <v>5192</v>
      </c>
      <c r="L948" s="49" t="s">
        <v>5193</v>
      </c>
      <c r="M948" s="25" t="s">
        <v>5081</v>
      </c>
      <c r="N948" s="49" t="s">
        <v>5082</v>
      </c>
      <c r="O948" s="25" t="s">
        <v>4891</v>
      </c>
      <c r="P948" s="49" t="s">
        <v>4892</v>
      </c>
      <c r="Q948" s="49"/>
      <c r="R948" s="50" t="s">
        <v>44</v>
      </c>
      <c r="S948" s="50"/>
    </row>
    <row r="949" customFormat="false" ht="15" hidden="false" customHeight="true" outlineLevel="0" collapsed="false">
      <c r="A949" s="46" t="n">
        <v>960</v>
      </c>
      <c r="B949" s="24" t="s">
        <v>5181</v>
      </c>
      <c r="C949" s="47"/>
      <c r="D949" s="47" t="s">
        <v>2282</v>
      </c>
      <c r="E949" s="46" t="s">
        <v>18</v>
      </c>
      <c r="F949" s="46" t="s">
        <v>2104</v>
      </c>
      <c r="G949" s="24" t="s">
        <v>1036</v>
      </c>
      <c r="H949" s="48" t="n">
        <v>5</v>
      </c>
      <c r="I949" s="46" t="s">
        <v>5053</v>
      </c>
      <c r="J949" s="47" t="s">
        <v>5194</v>
      </c>
      <c r="K949" s="24" t="s">
        <v>5195</v>
      </c>
      <c r="L949" s="46" t="s">
        <v>5196</v>
      </c>
      <c r="M949" s="24" t="s">
        <v>5081</v>
      </c>
      <c r="N949" s="46" t="s">
        <v>5082</v>
      </c>
      <c r="O949" s="24" t="s">
        <v>4891</v>
      </c>
      <c r="P949" s="46" t="s">
        <v>4892</v>
      </c>
      <c r="Q949" s="46"/>
      <c r="R949" s="47" t="s">
        <v>44</v>
      </c>
      <c r="S949" s="47"/>
    </row>
    <row r="950" customFormat="false" ht="15" hidden="false" customHeight="true" outlineLevel="0" collapsed="false">
      <c r="A950" s="49" t="n">
        <v>961</v>
      </c>
      <c r="B950" s="25" t="s">
        <v>5077</v>
      </c>
      <c r="C950" s="50"/>
      <c r="D950" s="50" t="s">
        <v>2282</v>
      </c>
      <c r="E950" s="49" t="s">
        <v>18</v>
      </c>
      <c r="F950" s="49" t="s">
        <v>2104</v>
      </c>
      <c r="G950" s="25" t="s">
        <v>1036</v>
      </c>
      <c r="H950" s="51" t="n">
        <v>5</v>
      </c>
      <c r="I950" s="49" t="s">
        <v>5053</v>
      </c>
      <c r="J950" s="50" t="s">
        <v>5197</v>
      </c>
      <c r="K950" s="25" t="s">
        <v>5198</v>
      </c>
      <c r="L950" s="49" t="s">
        <v>5199</v>
      </c>
      <c r="M950" s="25" t="s">
        <v>5081</v>
      </c>
      <c r="N950" s="49" t="s">
        <v>5082</v>
      </c>
      <c r="O950" s="25" t="s">
        <v>4891</v>
      </c>
      <c r="P950" s="49" t="s">
        <v>4892</v>
      </c>
      <c r="Q950" s="49"/>
      <c r="R950" s="50" t="s">
        <v>44</v>
      </c>
      <c r="S950" s="50"/>
    </row>
    <row r="951" customFormat="false" ht="15" hidden="false" customHeight="true" outlineLevel="0" collapsed="false">
      <c r="A951" s="46" t="n">
        <v>962</v>
      </c>
      <c r="B951" s="24" t="s">
        <v>5077</v>
      </c>
      <c r="C951" s="47"/>
      <c r="D951" s="47" t="s">
        <v>2282</v>
      </c>
      <c r="E951" s="46" t="s">
        <v>18</v>
      </c>
      <c r="F951" s="46" t="s">
        <v>2104</v>
      </c>
      <c r="G951" s="24" t="s">
        <v>1036</v>
      </c>
      <c r="H951" s="48" t="n">
        <v>5</v>
      </c>
      <c r="I951" s="46" t="s">
        <v>5053</v>
      </c>
      <c r="J951" s="47" t="s">
        <v>5200</v>
      </c>
      <c r="K951" s="24" t="s">
        <v>5201</v>
      </c>
      <c r="L951" s="46" t="s">
        <v>5202</v>
      </c>
      <c r="M951" s="24" t="s">
        <v>5081</v>
      </c>
      <c r="N951" s="46" t="s">
        <v>5082</v>
      </c>
      <c r="O951" s="24" t="s">
        <v>4891</v>
      </c>
      <c r="P951" s="46" t="s">
        <v>4892</v>
      </c>
      <c r="Q951" s="46"/>
      <c r="R951" s="47" t="s">
        <v>44</v>
      </c>
      <c r="S951" s="47"/>
    </row>
    <row r="952" customFormat="false" ht="15" hidden="false" customHeight="true" outlineLevel="0" collapsed="false">
      <c r="A952" s="49" t="n">
        <v>963</v>
      </c>
      <c r="B952" s="25" t="s">
        <v>5077</v>
      </c>
      <c r="C952" s="50"/>
      <c r="D952" s="50" t="s">
        <v>2282</v>
      </c>
      <c r="E952" s="49" t="s">
        <v>18</v>
      </c>
      <c r="F952" s="49" t="s">
        <v>2104</v>
      </c>
      <c r="G952" s="25" t="s">
        <v>1036</v>
      </c>
      <c r="H952" s="51" t="n">
        <v>5</v>
      </c>
      <c r="I952" s="49" t="s">
        <v>5203</v>
      </c>
      <c r="J952" s="50" t="s">
        <v>5204</v>
      </c>
      <c r="K952" s="25" t="s">
        <v>5205</v>
      </c>
      <c r="L952" s="49" t="s">
        <v>5206</v>
      </c>
      <c r="M952" s="25" t="s">
        <v>5081</v>
      </c>
      <c r="N952" s="49" t="s">
        <v>5082</v>
      </c>
      <c r="O952" s="25" t="s">
        <v>4891</v>
      </c>
      <c r="P952" s="49" t="s">
        <v>4892</v>
      </c>
      <c r="Q952" s="49"/>
      <c r="R952" s="50" t="s">
        <v>44</v>
      </c>
      <c r="S952" s="50"/>
    </row>
    <row r="953" customFormat="false" ht="15" hidden="false" customHeight="true" outlineLevel="0" collapsed="false">
      <c r="A953" s="46" t="n">
        <v>964</v>
      </c>
      <c r="B953" s="24" t="s">
        <v>5077</v>
      </c>
      <c r="C953" s="47"/>
      <c r="D953" s="47" t="s">
        <v>2282</v>
      </c>
      <c r="E953" s="46" t="s">
        <v>18</v>
      </c>
      <c r="F953" s="46" t="s">
        <v>2104</v>
      </c>
      <c r="G953" s="24" t="s">
        <v>1036</v>
      </c>
      <c r="H953" s="48" t="n">
        <v>5</v>
      </c>
      <c r="I953" s="46" t="s">
        <v>5203</v>
      </c>
      <c r="J953" s="47" t="s">
        <v>5207</v>
      </c>
      <c r="K953" s="24" t="s">
        <v>5208</v>
      </c>
      <c r="L953" s="46" t="s">
        <v>5209</v>
      </c>
      <c r="M953" s="24" t="s">
        <v>5081</v>
      </c>
      <c r="N953" s="46" t="s">
        <v>5082</v>
      </c>
      <c r="O953" s="24" t="s">
        <v>4891</v>
      </c>
      <c r="P953" s="46" t="s">
        <v>4892</v>
      </c>
      <c r="Q953" s="46"/>
      <c r="R953" s="47" t="s">
        <v>44</v>
      </c>
      <c r="S953" s="47"/>
    </row>
    <row r="954" customFormat="false" ht="15" hidden="false" customHeight="true" outlineLevel="0" collapsed="false">
      <c r="A954" s="49" t="n">
        <v>965</v>
      </c>
      <c r="B954" s="25" t="s">
        <v>5077</v>
      </c>
      <c r="C954" s="50"/>
      <c r="D954" s="50" t="s">
        <v>2282</v>
      </c>
      <c r="E954" s="49" t="s">
        <v>18</v>
      </c>
      <c r="F954" s="49" t="s">
        <v>2104</v>
      </c>
      <c r="G954" s="25" t="s">
        <v>1036</v>
      </c>
      <c r="H954" s="51" t="n">
        <v>5</v>
      </c>
      <c r="I954" s="49" t="s">
        <v>5203</v>
      </c>
      <c r="J954" s="50" t="s">
        <v>5210</v>
      </c>
      <c r="K954" s="25" t="s">
        <v>5211</v>
      </c>
      <c r="L954" s="49" t="s">
        <v>5212</v>
      </c>
      <c r="M954" s="25" t="s">
        <v>5081</v>
      </c>
      <c r="N954" s="49" t="s">
        <v>5082</v>
      </c>
      <c r="O954" s="25" t="s">
        <v>4891</v>
      </c>
      <c r="P954" s="49" t="s">
        <v>4892</v>
      </c>
      <c r="Q954" s="49"/>
      <c r="R954" s="50" t="s">
        <v>44</v>
      </c>
      <c r="S954" s="50"/>
    </row>
    <row r="955" customFormat="false" ht="15" hidden="false" customHeight="true" outlineLevel="0" collapsed="false">
      <c r="A955" s="46" t="n">
        <v>966</v>
      </c>
      <c r="B955" s="24" t="s">
        <v>5213</v>
      </c>
      <c r="C955" s="47"/>
      <c r="D955" s="47" t="s">
        <v>18</v>
      </c>
      <c r="E955" s="46" t="s">
        <v>18</v>
      </c>
      <c r="F955" s="46" t="s">
        <v>2104</v>
      </c>
      <c r="G955" s="24" t="s">
        <v>1036</v>
      </c>
      <c r="H955" s="48" t="n">
        <v>5</v>
      </c>
      <c r="I955" s="46" t="s">
        <v>4886</v>
      </c>
      <c r="J955" s="47" t="s">
        <v>5214</v>
      </c>
      <c r="K955" s="24" t="s">
        <v>5215</v>
      </c>
      <c r="L955" s="46" t="s">
        <v>5216</v>
      </c>
      <c r="M955" s="24" t="s">
        <v>5217</v>
      </c>
      <c r="N955" s="46" t="s">
        <v>5218</v>
      </c>
      <c r="O955" s="24" t="s">
        <v>4891</v>
      </c>
      <c r="P955" s="46" t="s">
        <v>4892</v>
      </c>
      <c r="Q955" s="46"/>
      <c r="R955" s="47" t="s">
        <v>44</v>
      </c>
      <c r="S955" s="47"/>
    </row>
    <row r="956" customFormat="false" ht="15" hidden="false" customHeight="true" outlineLevel="0" collapsed="false">
      <c r="A956" s="49" t="n">
        <v>967</v>
      </c>
      <c r="B956" s="25" t="s">
        <v>5219</v>
      </c>
      <c r="C956" s="50"/>
      <c r="D956" s="50" t="s">
        <v>18</v>
      </c>
      <c r="E956" s="49" t="s">
        <v>18</v>
      </c>
      <c r="F956" s="49" t="s">
        <v>2104</v>
      </c>
      <c r="G956" s="25" t="s">
        <v>1036</v>
      </c>
      <c r="H956" s="51" t="n">
        <v>5</v>
      </c>
      <c r="I956" s="49" t="s">
        <v>4886</v>
      </c>
      <c r="J956" s="50" t="s">
        <v>5220</v>
      </c>
      <c r="K956" s="25" t="s">
        <v>3333</v>
      </c>
      <c r="L956" s="49" t="s">
        <v>5221</v>
      </c>
      <c r="M956" s="25" t="s">
        <v>5217</v>
      </c>
      <c r="N956" s="49" t="s">
        <v>5218</v>
      </c>
      <c r="O956" s="25" t="s">
        <v>4891</v>
      </c>
      <c r="P956" s="49" t="s">
        <v>4892</v>
      </c>
      <c r="Q956" s="49"/>
      <c r="R956" s="50" t="s">
        <v>44</v>
      </c>
      <c r="S956" s="50"/>
    </row>
    <row r="957" customFormat="false" ht="15" hidden="false" customHeight="true" outlineLevel="0" collapsed="false">
      <c r="A957" s="46" t="n">
        <v>968</v>
      </c>
      <c r="B957" s="24" t="s">
        <v>5222</v>
      </c>
      <c r="C957" s="47"/>
      <c r="D957" s="47" t="s">
        <v>18</v>
      </c>
      <c r="E957" s="46" t="s">
        <v>18</v>
      </c>
      <c r="F957" s="46" t="s">
        <v>2104</v>
      </c>
      <c r="G957" s="24" t="s">
        <v>1036</v>
      </c>
      <c r="H957" s="48" t="n">
        <v>5</v>
      </c>
      <c r="I957" s="46" t="s">
        <v>4886</v>
      </c>
      <c r="J957" s="47" t="s">
        <v>5223</v>
      </c>
      <c r="K957" s="24" t="s">
        <v>5224</v>
      </c>
      <c r="L957" s="46" t="s">
        <v>5225</v>
      </c>
      <c r="M957" s="24" t="s">
        <v>5217</v>
      </c>
      <c r="N957" s="46" t="s">
        <v>5218</v>
      </c>
      <c r="O957" s="24" t="s">
        <v>4891</v>
      </c>
      <c r="P957" s="46" t="s">
        <v>4892</v>
      </c>
      <c r="Q957" s="46"/>
      <c r="R957" s="47" t="s">
        <v>44</v>
      </c>
      <c r="S957" s="47"/>
    </row>
    <row r="958" customFormat="false" ht="15" hidden="false" customHeight="true" outlineLevel="0" collapsed="false">
      <c r="A958" s="49" t="n">
        <v>969</v>
      </c>
      <c r="B958" s="25" t="s">
        <v>5226</v>
      </c>
      <c r="C958" s="50"/>
      <c r="D958" s="50" t="s">
        <v>18</v>
      </c>
      <c r="E958" s="49" t="s">
        <v>18</v>
      </c>
      <c r="F958" s="49" t="s">
        <v>2104</v>
      </c>
      <c r="G958" s="25" t="s">
        <v>1036</v>
      </c>
      <c r="H958" s="51" t="n">
        <v>5</v>
      </c>
      <c r="I958" s="49" t="s">
        <v>4886</v>
      </c>
      <c r="J958" s="50" t="s">
        <v>5227</v>
      </c>
      <c r="K958" s="25" t="s">
        <v>3433</v>
      </c>
      <c r="L958" s="49" t="s">
        <v>5228</v>
      </c>
      <c r="M958" s="25" t="s">
        <v>5217</v>
      </c>
      <c r="N958" s="49" t="s">
        <v>5218</v>
      </c>
      <c r="O958" s="25" t="s">
        <v>4891</v>
      </c>
      <c r="P958" s="49" t="s">
        <v>4892</v>
      </c>
      <c r="Q958" s="49"/>
      <c r="R958" s="50" t="s">
        <v>44</v>
      </c>
      <c r="S958" s="50"/>
    </row>
    <row r="959" customFormat="false" ht="15" hidden="false" customHeight="true" outlineLevel="0" collapsed="false">
      <c r="A959" s="46" t="n">
        <v>970</v>
      </c>
      <c r="B959" s="24" t="s">
        <v>5229</v>
      </c>
      <c r="C959" s="47"/>
      <c r="D959" s="47" t="s">
        <v>18</v>
      </c>
      <c r="E959" s="46" t="s">
        <v>18</v>
      </c>
      <c r="F959" s="46" t="s">
        <v>2104</v>
      </c>
      <c r="G959" s="24" t="s">
        <v>1036</v>
      </c>
      <c r="H959" s="48" t="n">
        <v>5</v>
      </c>
      <c r="I959" s="46" t="s">
        <v>4886</v>
      </c>
      <c r="J959" s="47" t="s">
        <v>5230</v>
      </c>
      <c r="K959" s="24" t="s">
        <v>5231</v>
      </c>
      <c r="L959" s="46" t="s">
        <v>5232</v>
      </c>
      <c r="M959" s="24" t="s">
        <v>5217</v>
      </c>
      <c r="N959" s="46" t="s">
        <v>5218</v>
      </c>
      <c r="O959" s="24" t="s">
        <v>4891</v>
      </c>
      <c r="P959" s="46" t="s">
        <v>4892</v>
      </c>
      <c r="Q959" s="46"/>
      <c r="R959" s="47" t="s">
        <v>44</v>
      </c>
      <c r="S959" s="47"/>
    </row>
    <row r="960" customFormat="false" ht="15" hidden="false" customHeight="true" outlineLevel="0" collapsed="false">
      <c r="A960" s="49" t="n">
        <v>971</v>
      </c>
      <c r="B960" s="25" t="s">
        <v>5233</v>
      </c>
      <c r="C960" s="50"/>
      <c r="D960" s="50" t="s">
        <v>18</v>
      </c>
      <c r="E960" s="49" t="s">
        <v>18</v>
      </c>
      <c r="F960" s="49" t="s">
        <v>2104</v>
      </c>
      <c r="G960" s="25" t="s">
        <v>1036</v>
      </c>
      <c r="H960" s="51" t="n">
        <v>5</v>
      </c>
      <c r="I960" s="49" t="s">
        <v>4886</v>
      </c>
      <c r="J960" s="50" t="s">
        <v>5234</v>
      </c>
      <c r="K960" s="25" t="s">
        <v>5235</v>
      </c>
      <c r="L960" s="49" t="s">
        <v>5236</v>
      </c>
      <c r="M960" s="25" t="s">
        <v>5217</v>
      </c>
      <c r="N960" s="49" t="s">
        <v>5218</v>
      </c>
      <c r="O960" s="25" t="s">
        <v>4891</v>
      </c>
      <c r="P960" s="49" t="s">
        <v>4892</v>
      </c>
      <c r="Q960" s="49"/>
      <c r="R960" s="50" t="s">
        <v>44</v>
      </c>
      <c r="S960" s="50"/>
    </row>
    <row r="961" customFormat="false" ht="15" hidden="false" customHeight="true" outlineLevel="0" collapsed="false">
      <c r="A961" s="46" t="n">
        <v>972</v>
      </c>
      <c r="B961" s="24" t="s">
        <v>5233</v>
      </c>
      <c r="C961" s="47"/>
      <c r="D961" s="47" t="s">
        <v>18</v>
      </c>
      <c r="E961" s="46" t="s">
        <v>18</v>
      </c>
      <c r="F961" s="46" t="s">
        <v>2104</v>
      </c>
      <c r="G961" s="24" t="s">
        <v>1036</v>
      </c>
      <c r="H961" s="48" t="n">
        <v>5</v>
      </c>
      <c r="I961" s="46" t="s">
        <v>4886</v>
      </c>
      <c r="J961" s="47" t="s">
        <v>5237</v>
      </c>
      <c r="K961" s="24" t="s">
        <v>3449</v>
      </c>
      <c r="L961" s="46" t="s">
        <v>5238</v>
      </c>
      <c r="M961" s="24" t="s">
        <v>5217</v>
      </c>
      <c r="N961" s="46" t="s">
        <v>5218</v>
      </c>
      <c r="O961" s="24" t="s">
        <v>4891</v>
      </c>
      <c r="P961" s="46" t="s">
        <v>4892</v>
      </c>
      <c r="Q961" s="46"/>
      <c r="R961" s="47" t="s">
        <v>44</v>
      </c>
      <c r="S961" s="47"/>
    </row>
    <row r="962" customFormat="false" ht="15" hidden="false" customHeight="true" outlineLevel="0" collapsed="false">
      <c r="A962" s="49" t="n">
        <v>973</v>
      </c>
      <c r="B962" s="25" t="s">
        <v>5233</v>
      </c>
      <c r="C962" s="50"/>
      <c r="D962" s="50" t="s">
        <v>18</v>
      </c>
      <c r="E962" s="49" t="s">
        <v>18</v>
      </c>
      <c r="F962" s="49" t="s">
        <v>2104</v>
      </c>
      <c r="G962" s="25" t="s">
        <v>1036</v>
      </c>
      <c r="H962" s="51" t="n">
        <v>5</v>
      </c>
      <c r="I962" s="49" t="s">
        <v>4886</v>
      </c>
      <c r="J962" s="50" t="s">
        <v>5239</v>
      </c>
      <c r="K962" s="25" t="s">
        <v>3228</v>
      </c>
      <c r="L962" s="49" t="s">
        <v>5240</v>
      </c>
      <c r="M962" s="25" t="s">
        <v>5217</v>
      </c>
      <c r="N962" s="49" t="s">
        <v>5218</v>
      </c>
      <c r="O962" s="25" t="s">
        <v>4891</v>
      </c>
      <c r="P962" s="49" t="s">
        <v>4892</v>
      </c>
      <c r="Q962" s="49"/>
      <c r="R962" s="50" t="s">
        <v>44</v>
      </c>
      <c r="S962" s="50"/>
    </row>
    <row r="963" customFormat="false" ht="15" hidden="false" customHeight="true" outlineLevel="0" collapsed="false">
      <c r="A963" s="46" t="n">
        <v>974</v>
      </c>
      <c r="B963" s="24" t="s">
        <v>5233</v>
      </c>
      <c r="C963" s="47"/>
      <c r="D963" s="47" t="s">
        <v>18</v>
      </c>
      <c r="E963" s="46" t="s">
        <v>18</v>
      </c>
      <c r="F963" s="46" t="s">
        <v>2104</v>
      </c>
      <c r="G963" s="24" t="s">
        <v>1036</v>
      </c>
      <c r="H963" s="48" t="n">
        <v>5</v>
      </c>
      <c r="I963" s="46" t="s">
        <v>4886</v>
      </c>
      <c r="J963" s="47" t="s">
        <v>5241</v>
      </c>
      <c r="K963" s="24" t="s">
        <v>5242</v>
      </c>
      <c r="L963" s="46" t="s">
        <v>5243</v>
      </c>
      <c r="M963" s="24" t="s">
        <v>5217</v>
      </c>
      <c r="N963" s="46" t="s">
        <v>5218</v>
      </c>
      <c r="O963" s="24" t="s">
        <v>4891</v>
      </c>
      <c r="P963" s="46" t="s">
        <v>4892</v>
      </c>
      <c r="Q963" s="46"/>
      <c r="R963" s="47" t="s">
        <v>44</v>
      </c>
      <c r="S963" s="47"/>
    </row>
    <row r="964" customFormat="false" ht="15" hidden="false" customHeight="true" outlineLevel="0" collapsed="false">
      <c r="A964" s="49" t="n">
        <v>975</v>
      </c>
      <c r="B964" s="25" t="s">
        <v>5233</v>
      </c>
      <c r="C964" s="50"/>
      <c r="D964" s="50" t="s">
        <v>18</v>
      </c>
      <c r="E964" s="49" t="s">
        <v>18</v>
      </c>
      <c r="F964" s="49" t="s">
        <v>2104</v>
      </c>
      <c r="G964" s="25" t="s">
        <v>1036</v>
      </c>
      <c r="H964" s="51" t="n">
        <v>5</v>
      </c>
      <c r="I964" s="49" t="s">
        <v>4886</v>
      </c>
      <c r="J964" s="50" t="s">
        <v>5244</v>
      </c>
      <c r="K964" s="25" t="s">
        <v>5245</v>
      </c>
      <c r="L964" s="49" t="s">
        <v>5246</v>
      </c>
      <c r="M964" s="25" t="s">
        <v>5217</v>
      </c>
      <c r="N964" s="49" t="s">
        <v>5218</v>
      </c>
      <c r="O964" s="25" t="s">
        <v>4891</v>
      </c>
      <c r="P964" s="49" t="s">
        <v>4892</v>
      </c>
      <c r="Q964" s="49"/>
      <c r="R964" s="50" t="s">
        <v>44</v>
      </c>
      <c r="S964" s="50"/>
    </row>
    <row r="965" customFormat="false" ht="15" hidden="false" customHeight="true" outlineLevel="0" collapsed="false">
      <c r="A965" s="46" t="n">
        <v>976</v>
      </c>
      <c r="B965" s="24" t="s">
        <v>5233</v>
      </c>
      <c r="C965" s="47"/>
      <c r="D965" s="47" t="s">
        <v>18</v>
      </c>
      <c r="E965" s="46" t="s">
        <v>18</v>
      </c>
      <c r="F965" s="46" t="s">
        <v>2104</v>
      </c>
      <c r="G965" s="24" t="s">
        <v>1036</v>
      </c>
      <c r="H965" s="48" t="n">
        <v>5</v>
      </c>
      <c r="I965" s="46" t="s">
        <v>4886</v>
      </c>
      <c r="J965" s="47" t="s">
        <v>5247</v>
      </c>
      <c r="K965" s="24" t="s">
        <v>5248</v>
      </c>
      <c r="L965" s="46" t="s">
        <v>5249</v>
      </c>
      <c r="M965" s="24" t="s">
        <v>5217</v>
      </c>
      <c r="N965" s="46" t="s">
        <v>5218</v>
      </c>
      <c r="O965" s="24" t="s">
        <v>4891</v>
      </c>
      <c r="P965" s="46" t="s">
        <v>4892</v>
      </c>
      <c r="Q965" s="46"/>
      <c r="R965" s="47" t="s">
        <v>44</v>
      </c>
      <c r="S965" s="47"/>
    </row>
    <row r="966" customFormat="false" ht="15" hidden="false" customHeight="true" outlineLevel="0" collapsed="false">
      <c r="A966" s="49" t="n">
        <v>977</v>
      </c>
      <c r="B966" s="25" t="s">
        <v>5250</v>
      </c>
      <c r="C966" s="50"/>
      <c r="D966" s="50" t="s">
        <v>18</v>
      </c>
      <c r="E966" s="49" t="s">
        <v>18</v>
      </c>
      <c r="F966" s="49" t="s">
        <v>2104</v>
      </c>
      <c r="G966" s="25" t="s">
        <v>1036</v>
      </c>
      <c r="H966" s="51" t="n">
        <v>5</v>
      </c>
      <c r="I966" s="49" t="s">
        <v>4886</v>
      </c>
      <c r="J966" s="50" t="s">
        <v>5251</v>
      </c>
      <c r="K966" s="25" t="s">
        <v>2737</v>
      </c>
      <c r="L966" s="49" t="s">
        <v>5252</v>
      </c>
      <c r="M966" s="25" t="s">
        <v>5217</v>
      </c>
      <c r="N966" s="49" t="s">
        <v>5218</v>
      </c>
      <c r="O966" s="25" t="s">
        <v>4891</v>
      </c>
      <c r="P966" s="49" t="s">
        <v>4892</v>
      </c>
      <c r="Q966" s="49"/>
      <c r="R966" s="50" t="s">
        <v>44</v>
      </c>
      <c r="S966" s="50"/>
    </row>
    <row r="967" customFormat="false" ht="15" hidden="false" customHeight="true" outlineLevel="0" collapsed="false">
      <c r="A967" s="46" t="n">
        <v>978</v>
      </c>
      <c r="B967" s="24" t="s">
        <v>5250</v>
      </c>
      <c r="C967" s="47"/>
      <c r="D967" s="47" t="s">
        <v>18</v>
      </c>
      <c r="E967" s="46" t="s">
        <v>18</v>
      </c>
      <c r="F967" s="46" t="s">
        <v>2104</v>
      </c>
      <c r="G967" s="24" t="s">
        <v>1036</v>
      </c>
      <c r="H967" s="48" t="n">
        <v>5</v>
      </c>
      <c r="I967" s="46" t="s">
        <v>4886</v>
      </c>
      <c r="J967" s="47" t="s">
        <v>5253</v>
      </c>
      <c r="K967" s="24" t="s">
        <v>5254</v>
      </c>
      <c r="L967" s="46" t="s">
        <v>5255</v>
      </c>
      <c r="M967" s="24" t="s">
        <v>5217</v>
      </c>
      <c r="N967" s="46" t="s">
        <v>5218</v>
      </c>
      <c r="O967" s="24" t="s">
        <v>4891</v>
      </c>
      <c r="P967" s="46" t="s">
        <v>4892</v>
      </c>
      <c r="Q967" s="46"/>
      <c r="R967" s="47" t="s">
        <v>44</v>
      </c>
      <c r="S967" s="47"/>
    </row>
    <row r="968" customFormat="false" ht="15" hidden="false" customHeight="true" outlineLevel="0" collapsed="false">
      <c r="A968" s="49" t="n">
        <v>979</v>
      </c>
      <c r="B968" s="25" t="s">
        <v>5250</v>
      </c>
      <c r="C968" s="50"/>
      <c r="D968" s="50" t="s">
        <v>18</v>
      </c>
      <c r="E968" s="49" t="s">
        <v>18</v>
      </c>
      <c r="F968" s="49" t="s">
        <v>2104</v>
      </c>
      <c r="G968" s="25" t="s">
        <v>1036</v>
      </c>
      <c r="H968" s="51" t="n">
        <v>5</v>
      </c>
      <c r="I968" s="49" t="s">
        <v>4886</v>
      </c>
      <c r="J968" s="50" t="s">
        <v>5256</v>
      </c>
      <c r="K968" s="25" t="s">
        <v>5257</v>
      </c>
      <c r="L968" s="49" t="s">
        <v>5252</v>
      </c>
      <c r="M968" s="25" t="s">
        <v>5217</v>
      </c>
      <c r="N968" s="49" t="s">
        <v>5218</v>
      </c>
      <c r="O968" s="25" t="s">
        <v>4891</v>
      </c>
      <c r="P968" s="49" t="s">
        <v>4892</v>
      </c>
      <c r="Q968" s="49"/>
      <c r="R968" s="50" t="s">
        <v>44</v>
      </c>
      <c r="S968" s="50"/>
    </row>
    <row r="969" customFormat="false" ht="15" hidden="false" customHeight="true" outlineLevel="0" collapsed="false">
      <c r="A969" s="46" t="n">
        <v>980</v>
      </c>
      <c r="B969" s="24" t="s">
        <v>5250</v>
      </c>
      <c r="C969" s="47"/>
      <c r="D969" s="47" t="s">
        <v>18</v>
      </c>
      <c r="E969" s="46" t="s">
        <v>18</v>
      </c>
      <c r="F969" s="46" t="s">
        <v>2104</v>
      </c>
      <c r="G969" s="24" t="s">
        <v>1036</v>
      </c>
      <c r="H969" s="48" t="n">
        <v>5</v>
      </c>
      <c r="I969" s="46" t="s">
        <v>4948</v>
      </c>
      <c r="J969" s="47" t="s">
        <v>5258</v>
      </c>
      <c r="K969" s="24" t="s">
        <v>2519</v>
      </c>
      <c r="L969" s="46" t="s">
        <v>5259</v>
      </c>
      <c r="M969" s="24" t="s">
        <v>5217</v>
      </c>
      <c r="N969" s="46" t="s">
        <v>5218</v>
      </c>
      <c r="O969" s="24" t="s">
        <v>4891</v>
      </c>
      <c r="P969" s="46" t="s">
        <v>4892</v>
      </c>
      <c r="Q969" s="46"/>
      <c r="R969" s="47" t="s">
        <v>44</v>
      </c>
      <c r="S969" s="47"/>
    </row>
    <row r="970" customFormat="false" ht="15" hidden="false" customHeight="true" outlineLevel="0" collapsed="false">
      <c r="A970" s="49" t="n">
        <v>981</v>
      </c>
      <c r="B970" s="25" t="s">
        <v>5260</v>
      </c>
      <c r="C970" s="50"/>
      <c r="D970" s="50" t="s">
        <v>18</v>
      </c>
      <c r="E970" s="49" t="s">
        <v>18</v>
      </c>
      <c r="F970" s="49" t="s">
        <v>2104</v>
      </c>
      <c r="G970" s="25" t="s">
        <v>1036</v>
      </c>
      <c r="H970" s="51" t="n">
        <v>5</v>
      </c>
      <c r="I970" s="49" t="s">
        <v>4948</v>
      </c>
      <c r="J970" s="50" t="s">
        <v>5261</v>
      </c>
      <c r="K970" s="25" t="s">
        <v>5262</v>
      </c>
      <c r="L970" s="49" t="s">
        <v>5263</v>
      </c>
      <c r="M970" s="25" t="s">
        <v>5217</v>
      </c>
      <c r="N970" s="49" t="s">
        <v>5218</v>
      </c>
      <c r="O970" s="25" t="s">
        <v>4891</v>
      </c>
      <c r="P970" s="49" t="s">
        <v>4892</v>
      </c>
      <c r="Q970" s="49"/>
      <c r="R970" s="50" t="s">
        <v>44</v>
      </c>
      <c r="S970" s="50"/>
    </row>
    <row r="971" customFormat="false" ht="15" hidden="false" customHeight="true" outlineLevel="0" collapsed="false">
      <c r="A971" s="46" t="n">
        <v>982</v>
      </c>
      <c r="B971" s="24" t="s">
        <v>5250</v>
      </c>
      <c r="C971" s="47"/>
      <c r="D971" s="47" t="s">
        <v>18</v>
      </c>
      <c r="E971" s="46" t="s">
        <v>18</v>
      </c>
      <c r="F971" s="46" t="s">
        <v>2104</v>
      </c>
      <c r="G971" s="24" t="s">
        <v>1036</v>
      </c>
      <c r="H971" s="48" t="n">
        <v>5</v>
      </c>
      <c r="I971" s="46" t="s">
        <v>4948</v>
      </c>
      <c r="J971" s="47" t="s">
        <v>5264</v>
      </c>
      <c r="K971" s="24" t="s">
        <v>5265</v>
      </c>
      <c r="L971" s="46" t="s">
        <v>5266</v>
      </c>
      <c r="M971" s="24" t="s">
        <v>5217</v>
      </c>
      <c r="N971" s="46" t="s">
        <v>5218</v>
      </c>
      <c r="O971" s="24" t="s">
        <v>4891</v>
      </c>
      <c r="P971" s="46" t="s">
        <v>4892</v>
      </c>
      <c r="Q971" s="46"/>
      <c r="R971" s="47" t="s">
        <v>44</v>
      </c>
      <c r="S971" s="47"/>
    </row>
    <row r="972" customFormat="false" ht="15" hidden="false" customHeight="true" outlineLevel="0" collapsed="false">
      <c r="A972" s="49" t="n">
        <v>983</v>
      </c>
      <c r="B972" s="25" t="s">
        <v>5250</v>
      </c>
      <c r="C972" s="50"/>
      <c r="D972" s="50" t="s">
        <v>18</v>
      </c>
      <c r="E972" s="49" t="s">
        <v>18</v>
      </c>
      <c r="F972" s="49" t="s">
        <v>2104</v>
      </c>
      <c r="G972" s="25" t="s">
        <v>1036</v>
      </c>
      <c r="H972" s="51" t="n">
        <v>5</v>
      </c>
      <c r="I972" s="49" t="s">
        <v>4948</v>
      </c>
      <c r="J972" s="50" t="s">
        <v>5267</v>
      </c>
      <c r="K972" s="25" t="s">
        <v>5268</v>
      </c>
      <c r="L972" s="49" t="s">
        <v>5269</v>
      </c>
      <c r="M972" s="25" t="s">
        <v>5217</v>
      </c>
      <c r="N972" s="49" t="s">
        <v>5218</v>
      </c>
      <c r="O972" s="25" t="s">
        <v>4891</v>
      </c>
      <c r="P972" s="49" t="s">
        <v>4892</v>
      </c>
      <c r="Q972" s="49"/>
      <c r="R972" s="50" t="s">
        <v>44</v>
      </c>
      <c r="S972" s="50"/>
    </row>
    <row r="973" customFormat="false" ht="15" hidden="false" customHeight="true" outlineLevel="0" collapsed="false">
      <c r="A973" s="46" t="n">
        <v>984</v>
      </c>
      <c r="B973" s="24" t="s">
        <v>5250</v>
      </c>
      <c r="C973" s="47"/>
      <c r="D973" s="47" t="s">
        <v>18</v>
      </c>
      <c r="E973" s="46" t="s">
        <v>18</v>
      </c>
      <c r="F973" s="46" t="s">
        <v>2104</v>
      </c>
      <c r="G973" s="24" t="s">
        <v>1036</v>
      </c>
      <c r="H973" s="48" t="n">
        <v>5</v>
      </c>
      <c r="I973" s="46" t="s">
        <v>4948</v>
      </c>
      <c r="J973" s="47" t="s">
        <v>5270</v>
      </c>
      <c r="K973" s="24" t="s">
        <v>5271</v>
      </c>
      <c r="L973" s="46" t="s">
        <v>5272</v>
      </c>
      <c r="M973" s="24" t="s">
        <v>5217</v>
      </c>
      <c r="N973" s="46" t="s">
        <v>5218</v>
      </c>
      <c r="O973" s="24" t="s">
        <v>4891</v>
      </c>
      <c r="P973" s="46" t="s">
        <v>4892</v>
      </c>
      <c r="Q973" s="46"/>
      <c r="R973" s="47" t="s">
        <v>44</v>
      </c>
      <c r="S973" s="47"/>
    </row>
    <row r="974" customFormat="false" ht="15" hidden="false" customHeight="true" outlineLevel="0" collapsed="false">
      <c r="A974" s="49" t="n">
        <v>985</v>
      </c>
      <c r="B974" s="25" t="s">
        <v>5273</v>
      </c>
      <c r="C974" s="50"/>
      <c r="D974" s="50" t="s">
        <v>18</v>
      </c>
      <c r="E974" s="49" t="s">
        <v>18</v>
      </c>
      <c r="F974" s="49" t="s">
        <v>2104</v>
      </c>
      <c r="G974" s="25" t="s">
        <v>1036</v>
      </c>
      <c r="H974" s="51" t="n">
        <v>5</v>
      </c>
      <c r="I974" s="49" t="s">
        <v>4948</v>
      </c>
      <c r="J974" s="50" t="s">
        <v>5274</v>
      </c>
      <c r="K974" s="25" t="s">
        <v>4969</v>
      </c>
      <c r="L974" s="49" t="s">
        <v>5275</v>
      </c>
      <c r="M974" s="25" t="s">
        <v>5217</v>
      </c>
      <c r="N974" s="49" t="s">
        <v>5218</v>
      </c>
      <c r="O974" s="25" t="s">
        <v>4891</v>
      </c>
      <c r="P974" s="49" t="s">
        <v>4892</v>
      </c>
      <c r="Q974" s="49"/>
      <c r="R974" s="50" t="s">
        <v>44</v>
      </c>
      <c r="S974" s="50"/>
    </row>
    <row r="975" customFormat="false" ht="15" hidden="false" customHeight="true" outlineLevel="0" collapsed="false">
      <c r="A975" s="46" t="n">
        <v>986</v>
      </c>
      <c r="B975" s="24" t="s">
        <v>5276</v>
      </c>
      <c r="C975" s="47"/>
      <c r="D975" s="47" t="s">
        <v>18</v>
      </c>
      <c r="E975" s="46" t="s">
        <v>18</v>
      </c>
      <c r="F975" s="46" t="s">
        <v>2104</v>
      </c>
      <c r="G975" s="24" t="s">
        <v>1036</v>
      </c>
      <c r="H975" s="48" t="n">
        <v>5</v>
      </c>
      <c r="I975" s="46" t="s">
        <v>4948</v>
      </c>
      <c r="J975" s="47" t="s">
        <v>5277</v>
      </c>
      <c r="K975" s="24" t="s">
        <v>3284</v>
      </c>
      <c r="L975" s="46" t="s">
        <v>5278</v>
      </c>
      <c r="M975" s="24" t="s">
        <v>5279</v>
      </c>
      <c r="N975" s="46" t="s">
        <v>5280</v>
      </c>
      <c r="O975" s="24" t="s">
        <v>4891</v>
      </c>
      <c r="P975" s="46" t="s">
        <v>4892</v>
      </c>
      <c r="Q975" s="46"/>
      <c r="R975" s="47" t="s">
        <v>44</v>
      </c>
      <c r="S975" s="47"/>
    </row>
    <row r="976" customFormat="false" ht="15" hidden="false" customHeight="true" outlineLevel="0" collapsed="false">
      <c r="A976" s="49" t="n">
        <v>987</v>
      </c>
      <c r="B976" s="25" t="s">
        <v>5276</v>
      </c>
      <c r="C976" s="50"/>
      <c r="D976" s="50" t="s">
        <v>18</v>
      </c>
      <c r="E976" s="49" t="s">
        <v>18</v>
      </c>
      <c r="F976" s="49" t="s">
        <v>2104</v>
      </c>
      <c r="G976" s="25" t="s">
        <v>1036</v>
      </c>
      <c r="H976" s="51" t="n">
        <v>5</v>
      </c>
      <c r="I976" s="49" t="s">
        <v>4948</v>
      </c>
      <c r="J976" s="50" t="s">
        <v>5281</v>
      </c>
      <c r="K976" s="25" t="s">
        <v>5282</v>
      </c>
      <c r="L976" s="49" t="s">
        <v>5283</v>
      </c>
      <c r="M976" s="25" t="s">
        <v>5279</v>
      </c>
      <c r="N976" s="49" t="s">
        <v>5280</v>
      </c>
      <c r="O976" s="25" t="s">
        <v>4891</v>
      </c>
      <c r="P976" s="49" t="s">
        <v>4892</v>
      </c>
      <c r="Q976" s="49"/>
      <c r="R976" s="50" t="s">
        <v>44</v>
      </c>
      <c r="S976" s="50"/>
    </row>
    <row r="977" customFormat="false" ht="15" hidden="false" customHeight="true" outlineLevel="0" collapsed="false">
      <c r="A977" s="46" t="n">
        <v>988</v>
      </c>
      <c r="B977" s="24" t="s">
        <v>5276</v>
      </c>
      <c r="C977" s="47"/>
      <c r="D977" s="47" t="s">
        <v>18</v>
      </c>
      <c r="E977" s="46" t="s">
        <v>18</v>
      </c>
      <c r="F977" s="46" t="s">
        <v>2104</v>
      </c>
      <c r="G977" s="24" t="s">
        <v>1036</v>
      </c>
      <c r="H977" s="48" t="n">
        <v>5</v>
      </c>
      <c r="I977" s="46" t="s">
        <v>4948</v>
      </c>
      <c r="J977" s="47" t="s">
        <v>5284</v>
      </c>
      <c r="K977" s="24" t="s">
        <v>5285</v>
      </c>
      <c r="L977" s="46" t="s">
        <v>5286</v>
      </c>
      <c r="M977" s="24" t="s">
        <v>5279</v>
      </c>
      <c r="N977" s="46" t="s">
        <v>5280</v>
      </c>
      <c r="O977" s="24" t="s">
        <v>4891</v>
      </c>
      <c r="P977" s="46" t="s">
        <v>4892</v>
      </c>
      <c r="Q977" s="46"/>
      <c r="R977" s="47" t="s">
        <v>44</v>
      </c>
      <c r="S977" s="47"/>
    </row>
    <row r="978" customFormat="false" ht="15" hidden="false" customHeight="true" outlineLevel="0" collapsed="false">
      <c r="A978" s="49" t="n">
        <v>989</v>
      </c>
      <c r="B978" s="25" t="s">
        <v>5276</v>
      </c>
      <c r="C978" s="50"/>
      <c r="D978" s="50" t="s">
        <v>18</v>
      </c>
      <c r="E978" s="49" t="s">
        <v>18</v>
      </c>
      <c r="F978" s="49" t="s">
        <v>2104</v>
      </c>
      <c r="G978" s="25" t="s">
        <v>1036</v>
      </c>
      <c r="H978" s="51" t="n">
        <v>5</v>
      </c>
      <c r="I978" s="49" t="s">
        <v>4948</v>
      </c>
      <c r="J978" s="50" t="s">
        <v>5287</v>
      </c>
      <c r="K978" s="25" t="s">
        <v>5288</v>
      </c>
      <c r="L978" s="49" t="s">
        <v>5289</v>
      </c>
      <c r="M978" s="25" t="s">
        <v>5279</v>
      </c>
      <c r="N978" s="49" t="s">
        <v>5280</v>
      </c>
      <c r="O978" s="25" t="s">
        <v>4891</v>
      </c>
      <c r="P978" s="49" t="s">
        <v>4892</v>
      </c>
      <c r="Q978" s="49"/>
      <c r="R978" s="50" t="s">
        <v>44</v>
      </c>
      <c r="S978" s="50"/>
    </row>
    <row r="979" customFormat="false" ht="15" hidden="false" customHeight="true" outlineLevel="0" collapsed="false">
      <c r="A979" s="46" t="n">
        <v>990</v>
      </c>
      <c r="B979" s="24" t="s">
        <v>5276</v>
      </c>
      <c r="C979" s="47"/>
      <c r="D979" s="47" t="s">
        <v>18</v>
      </c>
      <c r="E979" s="46" t="s">
        <v>18</v>
      </c>
      <c r="F979" s="46" t="s">
        <v>2104</v>
      </c>
      <c r="G979" s="24" t="s">
        <v>1036</v>
      </c>
      <c r="H979" s="48" t="n">
        <v>5</v>
      </c>
      <c r="I979" s="46" t="s">
        <v>4948</v>
      </c>
      <c r="J979" s="47" t="s">
        <v>5290</v>
      </c>
      <c r="K979" s="24" t="s">
        <v>5291</v>
      </c>
      <c r="L979" s="46" t="s">
        <v>5292</v>
      </c>
      <c r="M979" s="24" t="s">
        <v>5279</v>
      </c>
      <c r="N979" s="46" t="s">
        <v>5280</v>
      </c>
      <c r="O979" s="24" t="s">
        <v>4891</v>
      </c>
      <c r="P979" s="46" t="s">
        <v>4892</v>
      </c>
      <c r="Q979" s="46"/>
      <c r="R979" s="47" t="s">
        <v>44</v>
      </c>
      <c r="S979" s="47"/>
    </row>
    <row r="980" customFormat="false" ht="15" hidden="false" customHeight="true" outlineLevel="0" collapsed="false">
      <c r="A980" s="49" t="n">
        <v>991</v>
      </c>
      <c r="B980" s="25" t="s">
        <v>5276</v>
      </c>
      <c r="C980" s="50"/>
      <c r="D980" s="50" t="s">
        <v>18</v>
      </c>
      <c r="E980" s="49" t="s">
        <v>18</v>
      </c>
      <c r="F980" s="49" t="s">
        <v>2104</v>
      </c>
      <c r="G980" s="25" t="s">
        <v>1036</v>
      </c>
      <c r="H980" s="51" t="n">
        <v>5</v>
      </c>
      <c r="I980" s="49" t="s">
        <v>4948</v>
      </c>
      <c r="J980" s="50" t="s">
        <v>5293</v>
      </c>
      <c r="K980" s="25" t="s">
        <v>5294</v>
      </c>
      <c r="L980" s="49" t="s">
        <v>5295</v>
      </c>
      <c r="M980" s="25" t="s">
        <v>5279</v>
      </c>
      <c r="N980" s="49" t="s">
        <v>5280</v>
      </c>
      <c r="O980" s="25" t="s">
        <v>4891</v>
      </c>
      <c r="P980" s="49" t="s">
        <v>4892</v>
      </c>
      <c r="Q980" s="49"/>
      <c r="R980" s="50" t="s">
        <v>44</v>
      </c>
      <c r="S980" s="50"/>
    </row>
    <row r="981" customFormat="false" ht="15" hidden="false" customHeight="true" outlineLevel="0" collapsed="false">
      <c r="A981" s="46" t="n">
        <v>992</v>
      </c>
      <c r="B981" s="24" t="s">
        <v>5276</v>
      </c>
      <c r="C981" s="47"/>
      <c r="D981" s="47" t="s">
        <v>18</v>
      </c>
      <c r="E981" s="46" t="s">
        <v>18</v>
      </c>
      <c r="F981" s="46" t="s">
        <v>2104</v>
      </c>
      <c r="G981" s="24" t="s">
        <v>1036</v>
      </c>
      <c r="H981" s="48" t="n">
        <v>5</v>
      </c>
      <c r="I981" s="46" t="s">
        <v>4948</v>
      </c>
      <c r="J981" s="47" t="s">
        <v>5296</v>
      </c>
      <c r="K981" s="24" t="s">
        <v>5297</v>
      </c>
      <c r="L981" s="46" t="s">
        <v>5298</v>
      </c>
      <c r="M981" s="24" t="s">
        <v>5279</v>
      </c>
      <c r="N981" s="46" t="s">
        <v>5280</v>
      </c>
      <c r="O981" s="24" t="s">
        <v>4891</v>
      </c>
      <c r="P981" s="46" t="s">
        <v>4892</v>
      </c>
      <c r="Q981" s="46"/>
      <c r="R981" s="47" t="s">
        <v>44</v>
      </c>
      <c r="S981" s="47"/>
    </row>
    <row r="982" customFormat="false" ht="15" hidden="false" customHeight="true" outlineLevel="0" collapsed="false">
      <c r="A982" s="49" t="n">
        <v>993</v>
      </c>
      <c r="B982" s="25" t="s">
        <v>5276</v>
      </c>
      <c r="C982" s="50"/>
      <c r="D982" s="50" t="s">
        <v>18</v>
      </c>
      <c r="E982" s="49" t="s">
        <v>18</v>
      </c>
      <c r="F982" s="49" t="s">
        <v>2104</v>
      </c>
      <c r="G982" s="25" t="s">
        <v>1036</v>
      </c>
      <c r="H982" s="51" t="n">
        <v>5</v>
      </c>
      <c r="I982" s="49" t="s">
        <v>4948</v>
      </c>
      <c r="J982" s="50" t="s">
        <v>5299</v>
      </c>
      <c r="K982" s="25" t="s">
        <v>3449</v>
      </c>
      <c r="L982" s="49" t="s">
        <v>5300</v>
      </c>
      <c r="M982" s="25" t="s">
        <v>5279</v>
      </c>
      <c r="N982" s="49" t="s">
        <v>5280</v>
      </c>
      <c r="O982" s="25" t="s">
        <v>4891</v>
      </c>
      <c r="P982" s="49" t="s">
        <v>4892</v>
      </c>
      <c r="Q982" s="49"/>
      <c r="R982" s="50" t="s">
        <v>44</v>
      </c>
      <c r="S982" s="50"/>
    </row>
    <row r="983" customFormat="false" ht="15" hidden="false" customHeight="true" outlineLevel="0" collapsed="false">
      <c r="A983" s="46" t="n">
        <v>994</v>
      </c>
      <c r="B983" s="24" t="s">
        <v>5276</v>
      </c>
      <c r="C983" s="47"/>
      <c r="D983" s="47" t="s">
        <v>18</v>
      </c>
      <c r="E983" s="46" t="s">
        <v>18</v>
      </c>
      <c r="F983" s="46" t="s">
        <v>2104</v>
      </c>
      <c r="G983" s="24" t="s">
        <v>1036</v>
      </c>
      <c r="H983" s="48" t="n">
        <v>5</v>
      </c>
      <c r="I983" s="46" t="s">
        <v>4948</v>
      </c>
      <c r="J983" s="47" t="s">
        <v>5301</v>
      </c>
      <c r="K983" s="24" t="s">
        <v>5302</v>
      </c>
      <c r="L983" s="46" t="s">
        <v>5303</v>
      </c>
      <c r="M983" s="24" t="s">
        <v>5279</v>
      </c>
      <c r="N983" s="46" t="s">
        <v>5280</v>
      </c>
      <c r="O983" s="24" t="s">
        <v>4891</v>
      </c>
      <c r="P983" s="46" t="s">
        <v>4892</v>
      </c>
      <c r="Q983" s="46"/>
      <c r="R983" s="47" t="s">
        <v>44</v>
      </c>
      <c r="S983" s="47"/>
    </row>
    <row r="984" customFormat="false" ht="15" hidden="false" customHeight="true" outlineLevel="0" collapsed="false">
      <c r="A984" s="49" t="n">
        <v>995</v>
      </c>
      <c r="B984" s="25" t="s">
        <v>5276</v>
      </c>
      <c r="C984" s="50"/>
      <c r="D984" s="50" t="s">
        <v>18</v>
      </c>
      <c r="E984" s="49" t="s">
        <v>18</v>
      </c>
      <c r="F984" s="49" t="s">
        <v>2104</v>
      </c>
      <c r="G984" s="25" t="s">
        <v>1036</v>
      </c>
      <c r="H984" s="51" t="n">
        <v>5</v>
      </c>
      <c r="I984" s="49" t="s">
        <v>4948</v>
      </c>
      <c r="J984" s="50" t="s">
        <v>5304</v>
      </c>
      <c r="K984" s="25" t="s">
        <v>5305</v>
      </c>
      <c r="L984" s="49" t="s">
        <v>5306</v>
      </c>
      <c r="M984" s="25" t="s">
        <v>5279</v>
      </c>
      <c r="N984" s="49" t="s">
        <v>5280</v>
      </c>
      <c r="O984" s="25" t="s">
        <v>4891</v>
      </c>
      <c r="P984" s="49" t="s">
        <v>4892</v>
      </c>
      <c r="Q984" s="49"/>
      <c r="R984" s="50" t="s">
        <v>44</v>
      </c>
      <c r="S984" s="50"/>
    </row>
    <row r="985" customFormat="false" ht="15" hidden="false" customHeight="true" outlineLevel="0" collapsed="false">
      <c r="A985" s="46" t="n">
        <v>996</v>
      </c>
      <c r="B985" s="24" t="s">
        <v>3908</v>
      </c>
      <c r="C985" s="47"/>
      <c r="D985" s="47" t="s">
        <v>18</v>
      </c>
      <c r="E985" s="46" t="s">
        <v>18</v>
      </c>
      <c r="F985" s="46" t="s">
        <v>2104</v>
      </c>
      <c r="G985" s="24" t="s">
        <v>1036</v>
      </c>
      <c r="H985" s="48" t="n">
        <v>5</v>
      </c>
      <c r="I985" s="46" t="s">
        <v>4948</v>
      </c>
      <c r="J985" s="47" t="s">
        <v>5307</v>
      </c>
      <c r="K985" s="24" t="s">
        <v>5308</v>
      </c>
      <c r="L985" s="46" t="s">
        <v>5309</v>
      </c>
      <c r="M985" s="24" t="s">
        <v>5279</v>
      </c>
      <c r="N985" s="46" t="s">
        <v>5280</v>
      </c>
      <c r="O985" s="24" t="s">
        <v>4891</v>
      </c>
      <c r="P985" s="46" t="s">
        <v>4892</v>
      </c>
      <c r="Q985" s="46"/>
      <c r="R985" s="47" t="s">
        <v>44</v>
      </c>
      <c r="S985" s="47"/>
    </row>
    <row r="986" customFormat="false" ht="15" hidden="false" customHeight="true" outlineLevel="0" collapsed="false">
      <c r="A986" s="49" t="n">
        <v>997</v>
      </c>
      <c r="B986" s="25" t="s">
        <v>3908</v>
      </c>
      <c r="C986" s="50"/>
      <c r="D986" s="50" t="s">
        <v>18</v>
      </c>
      <c r="E986" s="49" t="s">
        <v>18</v>
      </c>
      <c r="F986" s="49" t="s">
        <v>2104</v>
      </c>
      <c r="G986" s="25" t="s">
        <v>1036</v>
      </c>
      <c r="H986" s="51" t="n">
        <v>5</v>
      </c>
      <c r="I986" s="49" t="s">
        <v>4948</v>
      </c>
      <c r="J986" s="50" t="s">
        <v>5310</v>
      </c>
      <c r="K986" s="25" t="s">
        <v>5311</v>
      </c>
      <c r="L986" s="49" t="s">
        <v>5312</v>
      </c>
      <c r="M986" s="25" t="s">
        <v>5279</v>
      </c>
      <c r="N986" s="49" t="s">
        <v>5280</v>
      </c>
      <c r="O986" s="25" t="s">
        <v>4891</v>
      </c>
      <c r="P986" s="49" t="s">
        <v>4892</v>
      </c>
      <c r="Q986" s="49"/>
      <c r="R986" s="50" t="s">
        <v>44</v>
      </c>
      <c r="S986" s="50"/>
    </row>
    <row r="987" customFormat="false" ht="15" hidden="false" customHeight="true" outlineLevel="0" collapsed="false">
      <c r="A987" s="46" t="n">
        <v>998</v>
      </c>
      <c r="B987" s="24" t="s">
        <v>3908</v>
      </c>
      <c r="C987" s="47"/>
      <c r="D987" s="47" t="s">
        <v>18</v>
      </c>
      <c r="E987" s="46" t="s">
        <v>18</v>
      </c>
      <c r="F987" s="46" t="s">
        <v>2104</v>
      </c>
      <c r="G987" s="24" t="s">
        <v>1036</v>
      </c>
      <c r="H987" s="48" t="n">
        <v>5</v>
      </c>
      <c r="I987" s="46" t="s">
        <v>4948</v>
      </c>
      <c r="J987" s="47" t="s">
        <v>5313</v>
      </c>
      <c r="K987" s="24" t="s">
        <v>5314</v>
      </c>
      <c r="L987" s="46" t="s">
        <v>5315</v>
      </c>
      <c r="M987" s="24" t="s">
        <v>5279</v>
      </c>
      <c r="N987" s="46" t="s">
        <v>5280</v>
      </c>
      <c r="O987" s="24" t="s">
        <v>4891</v>
      </c>
      <c r="P987" s="46" t="s">
        <v>4892</v>
      </c>
      <c r="Q987" s="46"/>
      <c r="R987" s="47" t="s">
        <v>44</v>
      </c>
      <c r="S987" s="47"/>
    </row>
    <row r="988" customFormat="false" ht="15" hidden="false" customHeight="true" outlineLevel="0" collapsed="false">
      <c r="A988" s="49" t="n">
        <v>999</v>
      </c>
      <c r="B988" s="25" t="s">
        <v>3908</v>
      </c>
      <c r="C988" s="50"/>
      <c r="D988" s="50" t="s">
        <v>18</v>
      </c>
      <c r="E988" s="49" t="s">
        <v>18</v>
      </c>
      <c r="F988" s="49" t="s">
        <v>2104</v>
      </c>
      <c r="G988" s="25" t="s">
        <v>1036</v>
      </c>
      <c r="H988" s="51" t="n">
        <v>5</v>
      </c>
      <c r="I988" s="49" t="s">
        <v>4948</v>
      </c>
      <c r="J988" s="50" t="s">
        <v>5316</v>
      </c>
      <c r="K988" s="25" t="s">
        <v>5317</v>
      </c>
      <c r="L988" s="49" t="s">
        <v>5318</v>
      </c>
      <c r="M988" s="25" t="s">
        <v>5279</v>
      </c>
      <c r="N988" s="49" t="s">
        <v>5280</v>
      </c>
      <c r="O988" s="25" t="s">
        <v>4891</v>
      </c>
      <c r="P988" s="49" t="s">
        <v>4892</v>
      </c>
      <c r="Q988" s="49"/>
      <c r="R988" s="50" t="s">
        <v>44</v>
      </c>
      <c r="S988" s="50"/>
    </row>
    <row r="989" customFormat="false" ht="15" hidden="false" customHeight="true" outlineLevel="0" collapsed="false">
      <c r="A989" s="46" t="n">
        <v>1000</v>
      </c>
      <c r="B989" s="24" t="s">
        <v>3908</v>
      </c>
      <c r="C989" s="47"/>
      <c r="D989" s="47" t="s">
        <v>18</v>
      </c>
      <c r="E989" s="46" t="s">
        <v>18</v>
      </c>
      <c r="F989" s="46" t="s">
        <v>2104</v>
      </c>
      <c r="G989" s="24" t="s">
        <v>1036</v>
      </c>
      <c r="H989" s="48" t="n">
        <v>5</v>
      </c>
      <c r="I989" s="46" t="s">
        <v>4948</v>
      </c>
      <c r="J989" s="47" t="s">
        <v>5319</v>
      </c>
      <c r="K989" s="24" t="s">
        <v>5320</v>
      </c>
      <c r="L989" s="46" t="s">
        <v>5321</v>
      </c>
      <c r="M989" s="24" t="s">
        <v>5279</v>
      </c>
      <c r="N989" s="46" t="s">
        <v>5280</v>
      </c>
      <c r="O989" s="24" t="s">
        <v>4891</v>
      </c>
      <c r="P989" s="46" t="s">
        <v>4892</v>
      </c>
      <c r="Q989" s="46"/>
      <c r="R989" s="47" t="s">
        <v>44</v>
      </c>
      <c r="S989" s="47"/>
    </row>
    <row r="990" customFormat="false" ht="15" hidden="false" customHeight="true" outlineLevel="0" collapsed="false">
      <c r="A990" s="49" t="n">
        <v>1001</v>
      </c>
      <c r="B990" s="25" t="s">
        <v>3908</v>
      </c>
      <c r="C990" s="50"/>
      <c r="D990" s="50" t="s">
        <v>18</v>
      </c>
      <c r="E990" s="49" t="s">
        <v>18</v>
      </c>
      <c r="F990" s="49" t="s">
        <v>2104</v>
      </c>
      <c r="G990" s="25" t="s">
        <v>1036</v>
      </c>
      <c r="H990" s="51" t="n">
        <v>5</v>
      </c>
      <c r="I990" s="49" t="s">
        <v>5203</v>
      </c>
      <c r="J990" s="50" t="s">
        <v>5322</v>
      </c>
      <c r="K990" s="25" t="s">
        <v>5323</v>
      </c>
      <c r="L990" s="49" t="s">
        <v>5324</v>
      </c>
      <c r="M990" s="25" t="s">
        <v>5279</v>
      </c>
      <c r="N990" s="49" t="s">
        <v>5280</v>
      </c>
      <c r="O990" s="25" t="s">
        <v>4891</v>
      </c>
      <c r="P990" s="49" t="s">
        <v>4892</v>
      </c>
      <c r="Q990" s="49"/>
      <c r="R990" s="50" t="s">
        <v>44</v>
      </c>
      <c r="S990" s="50"/>
    </row>
    <row r="991" customFormat="false" ht="15" hidden="false" customHeight="true" outlineLevel="0" collapsed="false">
      <c r="A991" s="46" t="n">
        <v>1002</v>
      </c>
      <c r="B991" s="24" t="s">
        <v>3908</v>
      </c>
      <c r="C991" s="47"/>
      <c r="D991" s="47" t="s">
        <v>18</v>
      </c>
      <c r="E991" s="46" t="s">
        <v>18</v>
      </c>
      <c r="F991" s="46" t="s">
        <v>2104</v>
      </c>
      <c r="G991" s="24" t="s">
        <v>1036</v>
      </c>
      <c r="H991" s="48" t="n">
        <v>5</v>
      </c>
      <c r="I991" s="46" t="s">
        <v>5203</v>
      </c>
      <c r="J991" s="47" t="s">
        <v>5325</v>
      </c>
      <c r="K991" s="24" t="s">
        <v>5326</v>
      </c>
      <c r="L991" s="46" t="s">
        <v>5327</v>
      </c>
      <c r="M991" s="24" t="s">
        <v>5279</v>
      </c>
      <c r="N991" s="46" t="s">
        <v>5280</v>
      </c>
      <c r="O991" s="24" t="s">
        <v>4891</v>
      </c>
      <c r="P991" s="46" t="s">
        <v>4892</v>
      </c>
      <c r="Q991" s="46"/>
      <c r="R991" s="47" t="s">
        <v>44</v>
      </c>
      <c r="S991" s="47"/>
    </row>
    <row r="992" customFormat="false" ht="15" hidden="false" customHeight="true" outlineLevel="0" collapsed="false">
      <c r="A992" s="49" t="n">
        <v>1003</v>
      </c>
      <c r="B992" s="25" t="s">
        <v>3908</v>
      </c>
      <c r="C992" s="50"/>
      <c r="D992" s="50" t="s">
        <v>18</v>
      </c>
      <c r="E992" s="49" t="s">
        <v>18</v>
      </c>
      <c r="F992" s="49" t="s">
        <v>2104</v>
      </c>
      <c r="G992" s="25" t="s">
        <v>1036</v>
      </c>
      <c r="H992" s="51" t="n">
        <v>5</v>
      </c>
      <c r="I992" s="49" t="s">
        <v>5203</v>
      </c>
      <c r="J992" s="50" t="s">
        <v>5328</v>
      </c>
      <c r="K992" s="25" t="s">
        <v>5329</v>
      </c>
      <c r="L992" s="49" t="s">
        <v>5330</v>
      </c>
      <c r="M992" s="25" t="s">
        <v>5279</v>
      </c>
      <c r="N992" s="49" t="s">
        <v>5280</v>
      </c>
      <c r="O992" s="25" t="s">
        <v>4891</v>
      </c>
      <c r="P992" s="49" t="s">
        <v>4892</v>
      </c>
      <c r="Q992" s="49"/>
      <c r="R992" s="50" t="s">
        <v>44</v>
      </c>
      <c r="S992" s="50"/>
    </row>
    <row r="993" customFormat="false" ht="15" hidden="false" customHeight="true" outlineLevel="0" collapsed="false">
      <c r="A993" s="46" t="n">
        <v>1004</v>
      </c>
      <c r="B993" s="24" t="s">
        <v>3908</v>
      </c>
      <c r="C993" s="47"/>
      <c r="D993" s="47" t="s">
        <v>18</v>
      </c>
      <c r="E993" s="46" t="s">
        <v>18</v>
      </c>
      <c r="F993" s="46" t="s">
        <v>2104</v>
      </c>
      <c r="G993" s="24" t="s">
        <v>1036</v>
      </c>
      <c r="H993" s="48" t="n">
        <v>5</v>
      </c>
      <c r="I993" s="46" t="s">
        <v>5203</v>
      </c>
      <c r="J993" s="47" t="s">
        <v>5331</v>
      </c>
      <c r="K993" s="24" t="s">
        <v>5332</v>
      </c>
      <c r="L993" s="46" t="s">
        <v>5333</v>
      </c>
      <c r="M993" s="24" t="s">
        <v>5279</v>
      </c>
      <c r="N993" s="46" t="s">
        <v>5280</v>
      </c>
      <c r="O993" s="24" t="s">
        <v>4891</v>
      </c>
      <c r="P993" s="46" t="s">
        <v>4892</v>
      </c>
      <c r="Q993" s="46"/>
      <c r="R993" s="47" t="s">
        <v>44</v>
      </c>
      <c r="S993" s="47"/>
    </row>
    <row r="994" customFormat="false" ht="15" hidden="false" customHeight="true" outlineLevel="0" collapsed="false">
      <c r="A994" s="49" t="n">
        <v>1005</v>
      </c>
      <c r="B994" s="25" t="s">
        <v>3908</v>
      </c>
      <c r="C994" s="50"/>
      <c r="D994" s="50" t="s">
        <v>18</v>
      </c>
      <c r="E994" s="49" t="s">
        <v>18</v>
      </c>
      <c r="F994" s="49" t="s">
        <v>2104</v>
      </c>
      <c r="G994" s="25" t="s">
        <v>1036</v>
      </c>
      <c r="H994" s="51" t="n">
        <v>5</v>
      </c>
      <c r="I994" s="49" t="s">
        <v>5203</v>
      </c>
      <c r="J994" s="50" t="s">
        <v>5334</v>
      </c>
      <c r="K994" s="25" t="s">
        <v>5335</v>
      </c>
      <c r="L994" s="49" t="s">
        <v>5336</v>
      </c>
      <c r="M994" s="25" t="s">
        <v>5279</v>
      </c>
      <c r="N994" s="49" t="s">
        <v>5280</v>
      </c>
      <c r="O994" s="25" t="s">
        <v>4891</v>
      </c>
      <c r="P994" s="49" t="s">
        <v>4892</v>
      </c>
      <c r="Q994" s="49"/>
      <c r="R994" s="50" t="s">
        <v>44</v>
      </c>
      <c r="S994" s="50"/>
    </row>
    <row r="995" customFormat="false" ht="15" hidden="false" customHeight="true" outlineLevel="0" collapsed="false">
      <c r="A995" s="46" t="n">
        <v>1006</v>
      </c>
      <c r="B995" s="24" t="s">
        <v>5337</v>
      </c>
      <c r="C995" s="47"/>
      <c r="D995" s="47" t="s">
        <v>18</v>
      </c>
      <c r="E995" s="46" t="s">
        <v>18</v>
      </c>
      <c r="F995" s="46" t="s">
        <v>2104</v>
      </c>
      <c r="G995" s="24" t="s">
        <v>1036</v>
      </c>
      <c r="H995" s="48" t="n">
        <v>5</v>
      </c>
      <c r="I995" s="46" t="s">
        <v>5203</v>
      </c>
      <c r="J995" s="47" t="s">
        <v>5338</v>
      </c>
      <c r="K995" s="24" t="s">
        <v>2083</v>
      </c>
      <c r="L995" s="46" t="s">
        <v>5339</v>
      </c>
      <c r="M995" s="24" t="s">
        <v>5340</v>
      </c>
      <c r="N995" s="46" t="s">
        <v>5341</v>
      </c>
      <c r="O995" s="24" t="s">
        <v>4891</v>
      </c>
      <c r="P995" s="46" t="s">
        <v>4892</v>
      </c>
      <c r="Q995" s="46"/>
      <c r="R995" s="47" t="s">
        <v>44</v>
      </c>
      <c r="S995" s="47"/>
    </row>
    <row r="996" customFormat="false" ht="15" hidden="false" customHeight="true" outlineLevel="0" collapsed="false">
      <c r="A996" s="49" t="n">
        <v>1007</v>
      </c>
      <c r="B996" s="25" t="s">
        <v>5337</v>
      </c>
      <c r="C996" s="50"/>
      <c r="D996" s="50" t="s">
        <v>18</v>
      </c>
      <c r="E996" s="49" t="s">
        <v>18</v>
      </c>
      <c r="F996" s="49" t="s">
        <v>2104</v>
      </c>
      <c r="G996" s="25" t="s">
        <v>1036</v>
      </c>
      <c r="H996" s="51" t="n">
        <v>5</v>
      </c>
      <c r="I996" s="49" t="s">
        <v>5203</v>
      </c>
      <c r="J996" s="50" t="s">
        <v>5342</v>
      </c>
      <c r="K996" s="25" t="s">
        <v>5343</v>
      </c>
      <c r="L996" s="49" t="s">
        <v>5344</v>
      </c>
      <c r="M996" s="25" t="s">
        <v>5340</v>
      </c>
      <c r="N996" s="49" t="s">
        <v>5341</v>
      </c>
      <c r="O996" s="25" t="s">
        <v>4891</v>
      </c>
      <c r="P996" s="49" t="s">
        <v>4892</v>
      </c>
      <c r="Q996" s="49"/>
      <c r="R996" s="50" t="s">
        <v>44</v>
      </c>
      <c r="S996" s="50"/>
    </row>
    <row r="997" customFormat="false" ht="15" hidden="false" customHeight="true" outlineLevel="0" collapsed="false">
      <c r="A997" s="46" t="n">
        <v>1008</v>
      </c>
      <c r="B997" s="24" t="s">
        <v>5337</v>
      </c>
      <c r="C997" s="47"/>
      <c r="D997" s="47" t="s">
        <v>18</v>
      </c>
      <c r="E997" s="46" t="s">
        <v>18</v>
      </c>
      <c r="F997" s="46" t="s">
        <v>2104</v>
      </c>
      <c r="G997" s="24" t="s">
        <v>1036</v>
      </c>
      <c r="H997" s="48" t="n">
        <v>5</v>
      </c>
      <c r="I997" s="46" t="s">
        <v>5203</v>
      </c>
      <c r="J997" s="47" t="s">
        <v>5345</v>
      </c>
      <c r="K997" s="24" t="s">
        <v>5346</v>
      </c>
      <c r="L997" s="46" t="s">
        <v>5347</v>
      </c>
      <c r="M997" s="24" t="s">
        <v>5340</v>
      </c>
      <c r="N997" s="46" t="s">
        <v>5341</v>
      </c>
      <c r="O997" s="24" t="s">
        <v>4891</v>
      </c>
      <c r="P997" s="46" t="s">
        <v>4892</v>
      </c>
      <c r="Q997" s="46"/>
      <c r="R997" s="47" t="s">
        <v>44</v>
      </c>
      <c r="S997" s="47"/>
    </row>
    <row r="998" customFormat="false" ht="15" hidden="false" customHeight="true" outlineLevel="0" collapsed="false">
      <c r="A998" s="49" t="n">
        <v>1009</v>
      </c>
      <c r="B998" s="25" t="s">
        <v>5348</v>
      </c>
      <c r="C998" s="50"/>
      <c r="D998" s="50" t="s">
        <v>18</v>
      </c>
      <c r="E998" s="49" t="s">
        <v>18</v>
      </c>
      <c r="F998" s="49" t="s">
        <v>2104</v>
      </c>
      <c r="G998" s="25" t="s">
        <v>1036</v>
      </c>
      <c r="H998" s="51" t="n">
        <v>5</v>
      </c>
      <c r="I998" s="49" t="s">
        <v>5203</v>
      </c>
      <c r="J998" s="50" t="s">
        <v>5349</v>
      </c>
      <c r="K998" s="25" t="s">
        <v>5350</v>
      </c>
      <c r="L998" s="49" t="s">
        <v>5351</v>
      </c>
      <c r="M998" s="25" t="s">
        <v>5340</v>
      </c>
      <c r="N998" s="49" t="s">
        <v>5341</v>
      </c>
      <c r="O998" s="25" t="s">
        <v>4891</v>
      </c>
      <c r="P998" s="49" t="s">
        <v>4892</v>
      </c>
      <c r="Q998" s="49"/>
      <c r="R998" s="50" t="s">
        <v>44</v>
      </c>
      <c r="S998" s="50"/>
    </row>
    <row r="999" customFormat="false" ht="15" hidden="false" customHeight="true" outlineLevel="0" collapsed="false">
      <c r="A999" s="46" t="n">
        <v>1010</v>
      </c>
      <c r="B999" s="24" t="s">
        <v>5348</v>
      </c>
      <c r="C999" s="47"/>
      <c r="D999" s="47" t="s">
        <v>18</v>
      </c>
      <c r="E999" s="46" t="s">
        <v>18</v>
      </c>
      <c r="F999" s="46" t="s">
        <v>2104</v>
      </c>
      <c r="G999" s="24" t="s">
        <v>1036</v>
      </c>
      <c r="H999" s="48" t="n">
        <v>5</v>
      </c>
      <c r="I999" s="46" t="s">
        <v>5203</v>
      </c>
      <c r="J999" s="47" t="s">
        <v>5352</v>
      </c>
      <c r="K999" s="24" t="s">
        <v>5353</v>
      </c>
      <c r="L999" s="46" t="s">
        <v>5354</v>
      </c>
      <c r="M999" s="24" t="s">
        <v>5340</v>
      </c>
      <c r="N999" s="46" t="s">
        <v>5341</v>
      </c>
      <c r="O999" s="24" t="s">
        <v>4891</v>
      </c>
      <c r="P999" s="46" t="s">
        <v>4892</v>
      </c>
      <c r="Q999" s="46"/>
      <c r="R999" s="47" t="s">
        <v>44</v>
      </c>
      <c r="S999" s="47"/>
    </row>
    <row r="1000" customFormat="false" ht="15" hidden="false" customHeight="true" outlineLevel="0" collapsed="false">
      <c r="A1000" s="49" t="n">
        <v>1011</v>
      </c>
      <c r="B1000" s="25" t="s">
        <v>5348</v>
      </c>
      <c r="C1000" s="50"/>
      <c r="D1000" s="50" t="s">
        <v>18</v>
      </c>
      <c r="E1000" s="49" t="s">
        <v>18</v>
      </c>
      <c r="F1000" s="49" t="s">
        <v>2104</v>
      </c>
      <c r="G1000" s="25" t="s">
        <v>1036</v>
      </c>
      <c r="H1000" s="51" t="n">
        <v>5</v>
      </c>
      <c r="I1000" s="49" t="s">
        <v>5203</v>
      </c>
      <c r="J1000" s="50" t="s">
        <v>5355</v>
      </c>
      <c r="K1000" s="25" t="s">
        <v>5356</v>
      </c>
      <c r="L1000" s="49" t="s">
        <v>5357</v>
      </c>
      <c r="M1000" s="25" t="s">
        <v>5340</v>
      </c>
      <c r="N1000" s="49" t="s">
        <v>5341</v>
      </c>
      <c r="O1000" s="25" t="s">
        <v>4891</v>
      </c>
      <c r="P1000" s="49" t="s">
        <v>4892</v>
      </c>
      <c r="Q1000" s="49"/>
      <c r="R1000" s="50" t="s">
        <v>44</v>
      </c>
      <c r="S1000" s="50"/>
    </row>
    <row r="1001" customFormat="false" ht="15" hidden="false" customHeight="true" outlineLevel="0" collapsed="false">
      <c r="A1001" s="46" t="n">
        <v>1012</v>
      </c>
      <c r="B1001" s="24" t="s">
        <v>5337</v>
      </c>
      <c r="C1001" s="47"/>
      <c r="D1001" s="47" t="s">
        <v>18</v>
      </c>
      <c r="E1001" s="46" t="s">
        <v>18</v>
      </c>
      <c r="F1001" s="46" t="s">
        <v>2104</v>
      </c>
      <c r="G1001" s="24" t="s">
        <v>1036</v>
      </c>
      <c r="H1001" s="48" t="n">
        <v>5</v>
      </c>
      <c r="I1001" s="46" t="s">
        <v>5203</v>
      </c>
      <c r="J1001" s="47" t="s">
        <v>5358</v>
      </c>
      <c r="K1001" s="24" t="s">
        <v>5359</v>
      </c>
      <c r="L1001" s="46" t="s">
        <v>5360</v>
      </c>
      <c r="M1001" s="24" t="s">
        <v>5340</v>
      </c>
      <c r="N1001" s="46" t="s">
        <v>5341</v>
      </c>
      <c r="O1001" s="24" t="s">
        <v>4891</v>
      </c>
      <c r="P1001" s="46" t="s">
        <v>4892</v>
      </c>
      <c r="Q1001" s="46"/>
      <c r="R1001" s="47" t="s">
        <v>44</v>
      </c>
      <c r="S1001" s="47"/>
    </row>
    <row r="1002" customFormat="false" ht="15" hidden="false" customHeight="true" outlineLevel="0" collapsed="false">
      <c r="A1002" s="49" t="n">
        <v>1013</v>
      </c>
      <c r="B1002" s="25" t="s">
        <v>5337</v>
      </c>
      <c r="C1002" s="50"/>
      <c r="D1002" s="50" t="s">
        <v>18</v>
      </c>
      <c r="E1002" s="49" t="s">
        <v>18</v>
      </c>
      <c r="F1002" s="49" t="s">
        <v>2104</v>
      </c>
      <c r="G1002" s="25" t="s">
        <v>1036</v>
      </c>
      <c r="H1002" s="51" t="n">
        <v>5</v>
      </c>
      <c r="I1002" s="49" t="s">
        <v>5203</v>
      </c>
      <c r="J1002" s="50" t="s">
        <v>5361</v>
      </c>
      <c r="K1002" s="25" t="s">
        <v>5362</v>
      </c>
      <c r="L1002" s="49" t="s">
        <v>5363</v>
      </c>
      <c r="M1002" s="25" t="s">
        <v>5340</v>
      </c>
      <c r="N1002" s="49" t="s">
        <v>5341</v>
      </c>
      <c r="O1002" s="25" t="s">
        <v>4891</v>
      </c>
      <c r="P1002" s="49" t="s">
        <v>4892</v>
      </c>
      <c r="Q1002" s="49"/>
      <c r="R1002" s="50" t="s">
        <v>44</v>
      </c>
      <c r="S1002" s="50"/>
    </row>
    <row r="1003" customFormat="false" ht="15" hidden="false" customHeight="true" outlineLevel="0" collapsed="false">
      <c r="A1003" s="46" t="n">
        <v>1014</v>
      </c>
      <c r="B1003" s="24" t="s">
        <v>5348</v>
      </c>
      <c r="C1003" s="47"/>
      <c r="D1003" s="47" t="s">
        <v>18</v>
      </c>
      <c r="E1003" s="46" t="s">
        <v>18</v>
      </c>
      <c r="F1003" s="46" t="s">
        <v>2104</v>
      </c>
      <c r="G1003" s="24" t="s">
        <v>1036</v>
      </c>
      <c r="H1003" s="48" t="n">
        <v>5</v>
      </c>
      <c r="I1003" s="46" t="s">
        <v>5049</v>
      </c>
      <c r="J1003" s="47" t="s">
        <v>5364</v>
      </c>
      <c r="K1003" s="24" t="s">
        <v>5365</v>
      </c>
      <c r="L1003" s="46" t="s">
        <v>5366</v>
      </c>
      <c r="M1003" s="24" t="s">
        <v>5340</v>
      </c>
      <c r="N1003" s="46" t="s">
        <v>5341</v>
      </c>
      <c r="O1003" s="24" t="s">
        <v>4891</v>
      </c>
      <c r="P1003" s="46" t="s">
        <v>4892</v>
      </c>
      <c r="Q1003" s="46"/>
      <c r="R1003" s="47" t="s">
        <v>44</v>
      </c>
      <c r="S1003" s="47"/>
    </row>
    <row r="1004" customFormat="false" ht="15" hidden="false" customHeight="true" outlineLevel="0" collapsed="false">
      <c r="A1004" s="49" t="n">
        <v>1015</v>
      </c>
      <c r="B1004" s="25" t="s">
        <v>5348</v>
      </c>
      <c r="C1004" s="50"/>
      <c r="D1004" s="50" t="s">
        <v>18</v>
      </c>
      <c r="E1004" s="49" t="s">
        <v>18</v>
      </c>
      <c r="F1004" s="49" t="s">
        <v>2104</v>
      </c>
      <c r="G1004" s="25" t="s">
        <v>1036</v>
      </c>
      <c r="H1004" s="51" t="n">
        <v>5</v>
      </c>
      <c r="I1004" s="49" t="s">
        <v>5049</v>
      </c>
      <c r="J1004" s="50" t="s">
        <v>5367</v>
      </c>
      <c r="K1004" s="25" t="s">
        <v>5368</v>
      </c>
      <c r="L1004" s="49" t="s">
        <v>5369</v>
      </c>
      <c r="M1004" s="25" t="s">
        <v>5340</v>
      </c>
      <c r="N1004" s="49" t="s">
        <v>5341</v>
      </c>
      <c r="O1004" s="25" t="s">
        <v>4891</v>
      </c>
      <c r="P1004" s="49" t="s">
        <v>4892</v>
      </c>
      <c r="Q1004" s="49"/>
      <c r="R1004" s="50" t="s">
        <v>44</v>
      </c>
      <c r="S1004" s="50"/>
    </row>
    <row r="1005" customFormat="false" ht="15" hidden="false" customHeight="true" outlineLevel="0" collapsed="false">
      <c r="A1005" s="46" t="n">
        <v>1016</v>
      </c>
      <c r="B1005" s="24" t="s">
        <v>5370</v>
      </c>
      <c r="C1005" s="47"/>
      <c r="D1005" s="47" t="s">
        <v>18</v>
      </c>
      <c r="E1005" s="46" t="s">
        <v>18</v>
      </c>
      <c r="F1005" s="46" t="s">
        <v>2104</v>
      </c>
      <c r="G1005" s="24" t="s">
        <v>1036</v>
      </c>
      <c r="H1005" s="48" t="n">
        <v>5</v>
      </c>
      <c r="I1005" s="46" t="s">
        <v>5049</v>
      </c>
      <c r="J1005" s="47" t="s">
        <v>5371</v>
      </c>
      <c r="K1005" s="24" t="s">
        <v>5372</v>
      </c>
      <c r="L1005" s="46" t="s">
        <v>5373</v>
      </c>
      <c r="M1005" s="24" t="s">
        <v>5340</v>
      </c>
      <c r="N1005" s="46" t="s">
        <v>5341</v>
      </c>
      <c r="O1005" s="24" t="s">
        <v>4891</v>
      </c>
      <c r="P1005" s="46" t="s">
        <v>4892</v>
      </c>
      <c r="Q1005" s="46"/>
      <c r="R1005" s="47" t="s">
        <v>44</v>
      </c>
      <c r="S1005" s="47"/>
    </row>
    <row r="1006" customFormat="false" ht="15" hidden="false" customHeight="true" outlineLevel="0" collapsed="false">
      <c r="A1006" s="49" t="n">
        <v>1017</v>
      </c>
      <c r="B1006" s="25" t="s">
        <v>5337</v>
      </c>
      <c r="C1006" s="50"/>
      <c r="D1006" s="50" t="s">
        <v>18</v>
      </c>
      <c r="E1006" s="49" t="s">
        <v>18</v>
      </c>
      <c r="F1006" s="49" t="s">
        <v>2104</v>
      </c>
      <c r="G1006" s="25" t="s">
        <v>1036</v>
      </c>
      <c r="H1006" s="51" t="n">
        <v>5</v>
      </c>
      <c r="I1006" s="49" t="s">
        <v>5049</v>
      </c>
      <c r="J1006" s="50" t="s">
        <v>5374</v>
      </c>
      <c r="K1006" s="25" t="s">
        <v>5375</v>
      </c>
      <c r="L1006" s="49" t="s">
        <v>5376</v>
      </c>
      <c r="M1006" s="25" t="s">
        <v>5340</v>
      </c>
      <c r="N1006" s="49" t="s">
        <v>5341</v>
      </c>
      <c r="O1006" s="25" t="s">
        <v>4891</v>
      </c>
      <c r="P1006" s="49" t="s">
        <v>4892</v>
      </c>
      <c r="Q1006" s="49"/>
      <c r="R1006" s="50" t="s">
        <v>44</v>
      </c>
      <c r="S1006" s="50"/>
    </row>
    <row r="1007" customFormat="false" ht="15" hidden="false" customHeight="true" outlineLevel="0" collapsed="false">
      <c r="A1007" s="46" t="n">
        <v>1018</v>
      </c>
      <c r="B1007" s="24" t="s">
        <v>5337</v>
      </c>
      <c r="C1007" s="47"/>
      <c r="D1007" s="47" t="s">
        <v>18</v>
      </c>
      <c r="E1007" s="46" t="s">
        <v>18</v>
      </c>
      <c r="F1007" s="46" t="s">
        <v>2104</v>
      </c>
      <c r="G1007" s="24" t="s">
        <v>1036</v>
      </c>
      <c r="H1007" s="48" t="n">
        <v>5</v>
      </c>
      <c r="I1007" s="46" t="s">
        <v>5049</v>
      </c>
      <c r="J1007" s="47" t="s">
        <v>5377</v>
      </c>
      <c r="K1007" s="24" t="s">
        <v>5378</v>
      </c>
      <c r="L1007" s="46" t="s">
        <v>5379</v>
      </c>
      <c r="M1007" s="24" t="s">
        <v>5340</v>
      </c>
      <c r="N1007" s="46" t="s">
        <v>5341</v>
      </c>
      <c r="O1007" s="24" t="s">
        <v>4891</v>
      </c>
      <c r="P1007" s="46" t="s">
        <v>4892</v>
      </c>
      <c r="Q1007" s="46"/>
      <c r="R1007" s="47" t="s">
        <v>44</v>
      </c>
      <c r="S1007" s="47"/>
    </row>
    <row r="1008" customFormat="false" ht="15" hidden="false" customHeight="true" outlineLevel="0" collapsed="false">
      <c r="A1008" s="49" t="n">
        <v>1019</v>
      </c>
      <c r="B1008" s="25" t="s">
        <v>5337</v>
      </c>
      <c r="C1008" s="50"/>
      <c r="D1008" s="50" t="s">
        <v>18</v>
      </c>
      <c r="E1008" s="49" t="s">
        <v>18</v>
      </c>
      <c r="F1008" s="49" t="s">
        <v>2104</v>
      </c>
      <c r="G1008" s="25" t="s">
        <v>1036</v>
      </c>
      <c r="H1008" s="51" t="n">
        <v>5</v>
      </c>
      <c r="I1008" s="49" t="s">
        <v>5049</v>
      </c>
      <c r="J1008" s="50" t="s">
        <v>5361</v>
      </c>
      <c r="K1008" s="25" t="s">
        <v>5380</v>
      </c>
      <c r="L1008" s="49" t="s">
        <v>5381</v>
      </c>
      <c r="M1008" s="25" t="s">
        <v>5340</v>
      </c>
      <c r="N1008" s="49" t="s">
        <v>5341</v>
      </c>
      <c r="O1008" s="25" t="s">
        <v>4891</v>
      </c>
      <c r="P1008" s="49" t="s">
        <v>4892</v>
      </c>
      <c r="Q1008" s="49"/>
      <c r="R1008" s="50" t="s">
        <v>44</v>
      </c>
      <c r="S1008" s="50"/>
    </row>
    <row r="1009" customFormat="false" ht="15" hidden="false" customHeight="true" outlineLevel="0" collapsed="false">
      <c r="A1009" s="46" t="n">
        <v>1020</v>
      </c>
      <c r="B1009" s="24" t="s">
        <v>5337</v>
      </c>
      <c r="C1009" s="47"/>
      <c r="D1009" s="47" t="s">
        <v>18</v>
      </c>
      <c r="E1009" s="46" t="s">
        <v>18</v>
      </c>
      <c r="F1009" s="46" t="s">
        <v>2104</v>
      </c>
      <c r="G1009" s="24" t="s">
        <v>1036</v>
      </c>
      <c r="H1009" s="48" t="n">
        <v>5</v>
      </c>
      <c r="I1009" s="46" t="s">
        <v>5049</v>
      </c>
      <c r="J1009" s="47" t="s">
        <v>5382</v>
      </c>
      <c r="K1009" s="24" t="s">
        <v>5383</v>
      </c>
      <c r="L1009" s="46" t="s">
        <v>5384</v>
      </c>
      <c r="M1009" s="24" t="s">
        <v>5340</v>
      </c>
      <c r="N1009" s="46" t="s">
        <v>5341</v>
      </c>
      <c r="O1009" s="24" t="s">
        <v>4891</v>
      </c>
      <c r="P1009" s="46" t="s">
        <v>4892</v>
      </c>
      <c r="Q1009" s="46"/>
      <c r="R1009" s="47" t="s">
        <v>44</v>
      </c>
      <c r="S1009" s="47"/>
    </row>
    <row r="1010" customFormat="false" ht="15" hidden="false" customHeight="true" outlineLevel="0" collapsed="false">
      <c r="A1010" s="49" t="n">
        <v>1021</v>
      </c>
      <c r="B1010" s="25" t="s">
        <v>5348</v>
      </c>
      <c r="C1010" s="50"/>
      <c r="D1010" s="50" t="s">
        <v>18</v>
      </c>
      <c r="E1010" s="49" t="s">
        <v>18</v>
      </c>
      <c r="F1010" s="49" t="s">
        <v>2104</v>
      </c>
      <c r="G1010" s="25" t="s">
        <v>1036</v>
      </c>
      <c r="H1010" s="51" t="n">
        <v>5</v>
      </c>
      <c r="I1010" s="49" t="s">
        <v>5049</v>
      </c>
      <c r="J1010" s="50" t="s">
        <v>5385</v>
      </c>
      <c r="K1010" s="25" t="s">
        <v>5386</v>
      </c>
      <c r="L1010" s="49" t="s">
        <v>5387</v>
      </c>
      <c r="M1010" s="25" t="s">
        <v>5340</v>
      </c>
      <c r="N1010" s="49" t="s">
        <v>5341</v>
      </c>
      <c r="O1010" s="25" t="s">
        <v>4891</v>
      </c>
      <c r="P1010" s="49" t="s">
        <v>4892</v>
      </c>
      <c r="Q1010" s="49"/>
      <c r="R1010" s="50" t="s">
        <v>44</v>
      </c>
      <c r="S1010" s="50"/>
    </row>
    <row r="1011" customFormat="false" ht="15" hidden="false" customHeight="true" outlineLevel="0" collapsed="false">
      <c r="A1011" s="46" t="n">
        <v>1022</v>
      </c>
      <c r="B1011" s="24" t="s">
        <v>5348</v>
      </c>
      <c r="C1011" s="47"/>
      <c r="D1011" s="47" t="s">
        <v>18</v>
      </c>
      <c r="E1011" s="46" t="s">
        <v>18</v>
      </c>
      <c r="F1011" s="46" t="s">
        <v>2104</v>
      </c>
      <c r="G1011" s="24" t="s">
        <v>1036</v>
      </c>
      <c r="H1011" s="48" t="n">
        <v>5</v>
      </c>
      <c r="I1011" s="46" t="s">
        <v>5049</v>
      </c>
      <c r="J1011" s="47" t="s">
        <v>5388</v>
      </c>
      <c r="K1011" s="24" t="s">
        <v>5389</v>
      </c>
      <c r="L1011" s="46" t="s">
        <v>5390</v>
      </c>
      <c r="M1011" s="24" t="s">
        <v>5340</v>
      </c>
      <c r="N1011" s="46" t="s">
        <v>5341</v>
      </c>
      <c r="O1011" s="24" t="s">
        <v>4891</v>
      </c>
      <c r="P1011" s="46" t="s">
        <v>4892</v>
      </c>
      <c r="Q1011" s="46"/>
      <c r="R1011" s="47" t="s">
        <v>44</v>
      </c>
      <c r="S1011" s="47"/>
    </row>
    <row r="1012" customFormat="false" ht="15" hidden="false" customHeight="true" outlineLevel="0" collapsed="false">
      <c r="A1012" s="49" t="n">
        <v>1023</v>
      </c>
      <c r="B1012" s="25" t="s">
        <v>5370</v>
      </c>
      <c r="C1012" s="50"/>
      <c r="D1012" s="50" t="s">
        <v>18</v>
      </c>
      <c r="E1012" s="49" t="s">
        <v>18</v>
      </c>
      <c r="F1012" s="49" t="s">
        <v>2104</v>
      </c>
      <c r="G1012" s="25" t="s">
        <v>1036</v>
      </c>
      <c r="H1012" s="51" t="n">
        <v>5</v>
      </c>
      <c r="I1012" s="49" t="s">
        <v>5049</v>
      </c>
      <c r="J1012" s="50" t="s">
        <v>5391</v>
      </c>
      <c r="K1012" s="25" t="s">
        <v>5392</v>
      </c>
      <c r="L1012" s="49" t="s">
        <v>5393</v>
      </c>
      <c r="M1012" s="25" t="s">
        <v>5340</v>
      </c>
      <c r="N1012" s="49" t="s">
        <v>5341</v>
      </c>
      <c r="O1012" s="25" t="s">
        <v>4891</v>
      </c>
      <c r="P1012" s="49" t="s">
        <v>4892</v>
      </c>
      <c r="Q1012" s="49"/>
      <c r="R1012" s="50" t="s">
        <v>44</v>
      </c>
      <c r="S1012" s="50"/>
    </row>
    <row r="1013" customFormat="false" ht="15" hidden="false" customHeight="true" outlineLevel="0" collapsed="false">
      <c r="A1013" s="46" t="n">
        <v>1024</v>
      </c>
      <c r="B1013" s="24" t="s">
        <v>5370</v>
      </c>
      <c r="C1013" s="47"/>
      <c r="D1013" s="47" t="s">
        <v>18</v>
      </c>
      <c r="E1013" s="46" t="s">
        <v>18</v>
      </c>
      <c r="F1013" s="46" t="s">
        <v>2104</v>
      </c>
      <c r="G1013" s="24" t="s">
        <v>1036</v>
      </c>
      <c r="H1013" s="48" t="n">
        <v>5</v>
      </c>
      <c r="I1013" s="46" t="s">
        <v>5049</v>
      </c>
      <c r="J1013" s="47" t="s">
        <v>5394</v>
      </c>
      <c r="K1013" s="24" t="s">
        <v>5395</v>
      </c>
      <c r="L1013" s="46" t="s">
        <v>5396</v>
      </c>
      <c r="M1013" s="24" t="s">
        <v>5340</v>
      </c>
      <c r="N1013" s="46" t="s">
        <v>5341</v>
      </c>
      <c r="O1013" s="24" t="s">
        <v>4891</v>
      </c>
      <c r="P1013" s="46" t="s">
        <v>4892</v>
      </c>
      <c r="Q1013" s="46"/>
      <c r="R1013" s="47" t="s">
        <v>44</v>
      </c>
      <c r="S1013" s="47"/>
    </row>
    <row r="1014" customFormat="false" ht="15" hidden="false" customHeight="true" outlineLevel="0" collapsed="false">
      <c r="A1014" s="49" t="n">
        <v>1025</v>
      </c>
      <c r="B1014" s="25" t="s">
        <v>5370</v>
      </c>
      <c r="C1014" s="50"/>
      <c r="D1014" s="50" t="s">
        <v>18</v>
      </c>
      <c r="E1014" s="49" t="s">
        <v>18</v>
      </c>
      <c r="F1014" s="49" t="s">
        <v>2104</v>
      </c>
      <c r="G1014" s="25" t="s">
        <v>1036</v>
      </c>
      <c r="H1014" s="51" t="n">
        <v>5</v>
      </c>
      <c r="I1014" s="49" t="s">
        <v>5049</v>
      </c>
      <c r="J1014" s="50" t="s">
        <v>5397</v>
      </c>
      <c r="K1014" s="25" t="s">
        <v>5398</v>
      </c>
      <c r="L1014" s="49" t="s">
        <v>5399</v>
      </c>
      <c r="M1014" s="25" t="s">
        <v>5340</v>
      </c>
      <c r="N1014" s="49" t="s">
        <v>5341</v>
      </c>
      <c r="O1014" s="25" t="s">
        <v>4891</v>
      </c>
      <c r="P1014" s="49" t="s">
        <v>4892</v>
      </c>
      <c r="Q1014" s="49"/>
      <c r="R1014" s="50" t="s">
        <v>44</v>
      </c>
      <c r="S1014" s="50"/>
    </row>
    <row r="1015" customFormat="false" ht="15" hidden="false" customHeight="true" outlineLevel="0" collapsed="false">
      <c r="A1015" s="46" t="n">
        <v>1026</v>
      </c>
      <c r="B1015" s="24" t="s">
        <v>5400</v>
      </c>
      <c r="C1015" s="47"/>
      <c r="D1015" s="47" t="s">
        <v>5401</v>
      </c>
      <c r="E1015" s="46" t="s">
        <v>18</v>
      </c>
      <c r="F1015" s="46" t="s">
        <v>2104</v>
      </c>
      <c r="G1015" s="24" t="s">
        <v>1036</v>
      </c>
      <c r="H1015" s="48" t="n">
        <v>5</v>
      </c>
      <c r="I1015" s="46" t="s">
        <v>5016</v>
      </c>
      <c r="J1015" s="47" t="s">
        <v>5402</v>
      </c>
      <c r="K1015" s="24" t="s">
        <v>5403</v>
      </c>
      <c r="L1015" s="46" t="s">
        <v>5216</v>
      </c>
      <c r="M1015" s="24" t="s">
        <v>5404</v>
      </c>
      <c r="N1015" s="46" t="s">
        <v>5405</v>
      </c>
      <c r="O1015" s="24" t="s">
        <v>4891</v>
      </c>
      <c r="P1015" s="46" t="s">
        <v>4892</v>
      </c>
      <c r="Q1015" s="46"/>
      <c r="R1015" s="47" t="s">
        <v>44</v>
      </c>
      <c r="S1015" s="47"/>
    </row>
    <row r="1016" customFormat="false" ht="15" hidden="false" customHeight="true" outlineLevel="0" collapsed="false">
      <c r="A1016" s="49" t="n">
        <v>1027</v>
      </c>
      <c r="B1016" s="25" t="s">
        <v>5400</v>
      </c>
      <c r="C1016" s="50"/>
      <c r="D1016" s="50" t="s">
        <v>5401</v>
      </c>
      <c r="E1016" s="49" t="s">
        <v>18</v>
      </c>
      <c r="F1016" s="49" t="s">
        <v>2104</v>
      </c>
      <c r="G1016" s="25" t="s">
        <v>1036</v>
      </c>
      <c r="H1016" s="51" t="n">
        <v>5</v>
      </c>
      <c r="I1016" s="49" t="s">
        <v>5016</v>
      </c>
      <c r="J1016" s="50" t="s">
        <v>5406</v>
      </c>
      <c r="K1016" s="25" t="s">
        <v>5407</v>
      </c>
      <c r="L1016" s="49" t="s">
        <v>5221</v>
      </c>
      <c r="M1016" s="25" t="s">
        <v>5404</v>
      </c>
      <c r="N1016" s="49" t="s">
        <v>5405</v>
      </c>
      <c r="O1016" s="25" t="s">
        <v>4891</v>
      </c>
      <c r="P1016" s="49" t="s">
        <v>4892</v>
      </c>
      <c r="Q1016" s="49"/>
      <c r="R1016" s="50" t="s">
        <v>44</v>
      </c>
      <c r="S1016" s="50"/>
    </row>
    <row r="1017" customFormat="false" ht="15" hidden="false" customHeight="true" outlineLevel="0" collapsed="false">
      <c r="A1017" s="46" t="n">
        <v>1028</v>
      </c>
      <c r="B1017" s="24" t="s">
        <v>5400</v>
      </c>
      <c r="C1017" s="47"/>
      <c r="D1017" s="47" t="s">
        <v>5401</v>
      </c>
      <c r="E1017" s="46" t="s">
        <v>18</v>
      </c>
      <c r="F1017" s="46" t="s">
        <v>2104</v>
      </c>
      <c r="G1017" s="24" t="s">
        <v>1036</v>
      </c>
      <c r="H1017" s="48" t="n">
        <v>5</v>
      </c>
      <c r="I1017" s="46" t="s">
        <v>5016</v>
      </c>
      <c r="J1017" s="47" t="s">
        <v>5408</v>
      </c>
      <c r="K1017" s="24" t="s">
        <v>5409</v>
      </c>
      <c r="L1017" s="46" t="s">
        <v>5225</v>
      </c>
      <c r="M1017" s="24" t="s">
        <v>5404</v>
      </c>
      <c r="N1017" s="46" t="s">
        <v>5405</v>
      </c>
      <c r="O1017" s="24" t="s">
        <v>4891</v>
      </c>
      <c r="P1017" s="46" t="s">
        <v>4892</v>
      </c>
      <c r="Q1017" s="46"/>
      <c r="R1017" s="47" t="s">
        <v>44</v>
      </c>
      <c r="S1017" s="47"/>
    </row>
    <row r="1018" customFormat="false" ht="15" hidden="false" customHeight="true" outlineLevel="0" collapsed="false">
      <c r="A1018" s="49" t="n">
        <v>1029</v>
      </c>
      <c r="B1018" s="25" t="s">
        <v>5400</v>
      </c>
      <c r="C1018" s="50"/>
      <c r="D1018" s="50" t="s">
        <v>5401</v>
      </c>
      <c r="E1018" s="49" t="s">
        <v>18</v>
      </c>
      <c r="F1018" s="49" t="s">
        <v>2104</v>
      </c>
      <c r="G1018" s="25" t="s">
        <v>1036</v>
      </c>
      <c r="H1018" s="51" t="n">
        <v>5</v>
      </c>
      <c r="I1018" s="49" t="s">
        <v>5016</v>
      </c>
      <c r="J1018" s="50" t="s">
        <v>5410</v>
      </c>
      <c r="K1018" s="25" t="s">
        <v>5411</v>
      </c>
      <c r="L1018" s="49" t="s">
        <v>5228</v>
      </c>
      <c r="M1018" s="25" t="s">
        <v>5404</v>
      </c>
      <c r="N1018" s="49" t="s">
        <v>5405</v>
      </c>
      <c r="O1018" s="25" t="s">
        <v>4891</v>
      </c>
      <c r="P1018" s="49" t="s">
        <v>4892</v>
      </c>
      <c r="Q1018" s="49"/>
      <c r="R1018" s="50" t="s">
        <v>44</v>
      </c>
      <c r="S1018" s="50"/>
    </row>
    <row r="1019" customFormat="false" ht="15" hidden="false" customHeight="true" outlineLevel="0" collapsed="false">
      <c r="A1019" s="46" t="n">
        <v>1030</v>
      </c>
      <c r="B1019" s="24" t="s">
        <v>5400</v>
      </c>
      <c r="C1019" s="47"/>
      <c r="D1019" s="47" t="s">
        <v>5401</v>
      </c>
      <c r="E1019" s="46" t="s">
        <v>18</v>
      </c>
      <c r="F1019" s="46" t="s">
        <v>2104</v>
      </c>
      <c r="G1019" s="24" t="s">
        <v>1036</v>
      </c>
      <c r="H1019" s="48" t="n">
        <v>5</v>
      </c>
      <c r="I1019" s="46" t="s">
        <v>5016</v>
      </c>
      <c r="J1019" s="47" t="s">
        <v>5412</v>
      </c>
      <c r="K1019" s="24" t="s">
        <v>5117</v>
      </c>
      <c r="L1019" s="46" t="s">
        <v>5232</v>
      </c>
      <c r="M1019" s="24" t="s">
        <v>5404</v>
      </c>
      <c r="N1019" s="46" t="s">
        <v>5405</v>
      </c>
      <c r="O1019" s="24" t="s">
        <v>4891</v>
      </c>
      <c r="P1019" s="46" t="s">
        <v>4892</v>
      </c>
      <c r="Q1019" s="46"/>
      <c r="R1019" s="47" t="s">
        <v>44</v>
      </c>
      <c r="S1019" s="47"/>
    </row>
    <row r="1020" customFormat="false" ht="15" hidden="false" customHeight="true" outlineLevel="0" collapsed="false">
      <c r="A1020" s="49" t="n">
        <v>1031</v>
      </c>
      <c r="B1020" s="25" t="s">
        <v>5400</v>
      </c>
      <c r="C1020" s="50"/>
      <c r="D1020" s="50" t="s">
        <v>5401</v>
      </c>
      <c r="E1020" s="49" t="s">
        <v>18</v>
      </c>
      <c r="F1020" s="49" t="s">
        <v>2104</v>
      </c>
      <c r="G1020" s="25" t="s">
        <v>1036</v>
      </c>
      <c r="H1020" s="51" t="n">
        <v>5</v>
      </c>
      <c r="I1020" s="49" t="s">
        <v>5016</v>
      </c>
      <c r="J1020" s="50" t="s">
        <v>5413</v>
      </c>
      <c r="K1020" s="25" t="s">
        <v>5414</v>
      </c>
      <c r="L1020" s="49" t="s">
        <v>5236</v>
      </c>
      <c r="M1020" s="25" t="s">
        <v>5404</v>
      </c>
      <c r="N1020" s="49" t="s">
        <v>5405</v>
      </c>
      <c r="O1020" s="25" t="s">
        <v>4891</v>
      </c>
      <c r="P1020" s="49" t="s">
        <v>4892</v>
      </c>
      <c r="Q1020" s="49"/>
      <c r="R1020" s="50" t="s">
        <v>44</v>
      </c>
      <c r="S1020" s="50"/>
    </row>
    <row r="1021" customFormat="false" ht="15" hidden="false" customHeight="true" outlineLevel="0" collapsed="false">
      <c r="A1021" s="46" t="n">
        <v>1032</v>
      </c>
      <c r="B1021" s="24" t="s">
        <v>5415</v>
      </c>
      <c r="C1021" s="47"/>
      <c r="D1021" s="47" t="s">
        <v>5401</v>
      </c>
      <c r="E1021" s="46" t="s">
        <v>18</v>
      </c>
      <c r="F1021" s="46" t="s">
        <v>2104</v>
      </c>
      <c r="G1021" s="24" t="s">
        <v>1036</v>
      </c>
      <c r="H1021" s="48" t="n">
        <v>5</v>
      </c>
      <c r="I1021" s="46" t="s">
        <v>5016</v>
      </c>
      <c r="J1021" s="47" t="s">
        <v>5416</v>
      </c>
      <c r="K1021" s="24" t="s">
        <v>5417</v>
      </c>
      <c r="L1021" s="46" t="s">
        <v>5238</v>
      </c>
      <c r="M1021" s="24" t="s">
        <v>5418</v>
      </c>
      <c r="N1021" s="46" t="s">
        <v>5419</v>
      </c>
      <c r="O1021" s="24" t="s">
        <v>4891</v>
      </c>
      <c r="P1021" s="46" t="s">
        <v>4892</v>
      </c>
      <c r="Q1021" s="46"/>
      <c r="R1021" s="47" t="s">
        <v>44</v>
      </c>
      <c r="S1021" s="47"/>
    </row>
    <row r="1022" customFormat="false" ht="15" hidden="false" customHeight="true" outlineLevel="0" collapsed="false">
      <c r="A1022" s="49" t="n">
        <v>1033</v>
      </c>
      <c r="B1022" s="25" t="s">
        <v>5415</v>
      </c>
      <c r="C1022" s="50"/>
      <c r="D1022" s="50" t="s">
        <v>5401</v>
      </c>
      <c r="E1022" s="49" t="s">
        <v>18</v>
      </c>
      <c r="F1022" s="49" t="s">
        <v>2104</v>
      </c>
      <c r="G1022" s="25" t="s">
        <v>1036</v>
      </c>
      <c r="H1022" s="51" t="n">
        <v>5</v>
      </c>
      <c r="I1022" s="49" t="s">
        <v>5016</v>
      </c>
      <c r="J1022" s="50" t="s">
        <v>5420</v>
      </c>
      <c r="K1022" s="25" t="s">
        <v>3235</v>
      </c>
      <c r="L1022" s="49" t="s">
        <v>5240</v>
      </c>
      <c r="M1022" s="25" t="s">
        <v>5418</v>
      </c>
      <c r="N1022" s="49" t="s">
        <v>5419</v>
      </c>
      <c r="O1022" s="25" t="s">
        <v>4891</v>
      </c>
      <c r="P1022" s="49" t="s">
        <v>4892</v>
      </c>
      <c r="Q1022" s="49"/>
      <c r="R1022" s="50" t="s">
        <v>44</v>
      </c>
      <c r="S1022" s="50"/>
    </row>
    <row r="1023" customFormat="false" ht="15" hidden="false" customHeight="true" outlineLevel="0" collapsed="false">
      <c r="A1023" s="46" t="n">
        <v>1034</v>
      </c>
      <c r="B1023" s="24" t="s">
        <v>5415</v>
      </c>
      <c r="C1023" s="47"/>
      <c r="D1023" s="47" t="s">
        <v>5401</v>
      </c>
      <c r="E1023" s="46" t="s">
        <v>18</v>
      </c>
      <c r="F1023" s="46" t="s">
        <v>2104</v>
      </c>
      <c r="G1023" s="24" t="s">
        <v>1036</v>
      </c>
      <c r="H1023" s="48" t="n">
        <v>5</v>
      </c>
      <c r="I1023" s="46" t="s">
        <v>5016</v>
      </c>
      <c r="J1023" s="47" t="s">
        <v>5421</v>
      </c>
      <c r="K1023" s="24" t="s">
        <v>5422</v>
      </c>
      <c r="L1023" s="46" t="s">
        <v>5243</v>
      </c>
      <c r="M1023" s="24" t="s">
        <v>5418</v>
      </c>
      <c r="N1023" s="46" t="s">
        <v>5419</v>
      </c>
      <c r="O1023" s="24" t="s">
        <v>4891</v>
      </c>
      <c r="P1023" s="46" t="s">
        <v>4892</v>
      </c>
      <c r="Q1023" s="46"/>
      <c r="R1023" s="47" t="s">
        <v>44</v>
      </c>
      <c r="S1023" s="47"/>
    </row>
    <row r="1024" customFormat="false" ht="15" hidden="false" customHeight="true" outlineLevel="0" collapsed="false">
      <c r="A1024" s="49" t="n">
        <v>1035</v>
      </c>
      <c r="B1024" s="25" t="s">
        <v>5415</v>
      </c>
      <c r="C1024" s="50"/>
      <c r="D1024" s="50" t="s">
        <v>5401</v>
      </c>
      <c r="E1024" s="49" t="s">
        <v>18</v>
      </c>
      <c r="F1024" s="49" t="s">
        <v>2104</v>
      </c>
      <c r="G1024" s="25" t="s">
        <v>1036</v>
      </c>
      <c r="H1024" s="51" t="n">
        <v>5</v>
      </c>
      <c r="I1024" s="49" t="s">
        <v>5016</v>
      </c>
      <c r="J1024" s="50" t="s">
        <v>5423</v>
      </c>
      <c r="K1024" s="25" t="s">
        <v>5424</v>
      </c>
      <c r="L1024" s="49" t="s">
        <v>5246</v>
      </c>
      <c r="M1024" s="25" t="s">
        <v>5418</v>
      </c>
      <c r="N1024" s="49" t="s">
        <v>5419</v>
      </c>
      <c r="O1024" s="25" t="s">
        <v>4891</v>
      </c>
      <c r="P1024" s="49" t="s">
        <v>4892</v>
      </c>
      <c r="Q1024" s="49"/>
      <c r="R1024" s="50" t="s">
        <v>44</v>
      </c>
      <c r="S1024" s="50"/>
    </row>
    <row r="1025" customFormat="false" ht="15" hidden="false" customHeight="true" outlineLevel="0" collapsed="false">
      <c r="A1025" s="46" t="n">
        <v>1036</v>
      </c>
      <c r="B1025" s="24" t="s">
        <v>5415</v>
      </c>
      <c r="C1025" s="47"/>
      <c r="D1025" s="47" t="s">
        <v>5401</v>
      </c>
      <c r="E1025" s="46" t="s">
        <v>18</v>
      </c>
      <c r="F1025" s="46" t="s">
        <v>2104</v>
      </c>
      <c r="G1025" s="24" t="s">
        <v>1036</v>
      </c>
      <c r="H1025" s="48" t="n">
        <v>5</v>
      </c>
      <c r="I1025" s="46" t="s">
        <v>5016</v>
      </c>
      <c r="J1025" s="47" t="s">
        <v>5425</v>
      </c>
      <c r="K1025" s="24" t="s">
        <v>5426</v>
      </c>
      <c r="L1025" s="46" t="s">
        <v>5249</v>
      </c>
      <c r="M1025" s="24" t="s">
        <v>5418</v>
      </c>
      <c r="N1025" s="46" t="s">
        <v>5419</v>
      </c>
      <c r="O1025" s="24" t="s">
        <v>4891</v>
      </c>
      <c r="P1025" s="46" t="s">
        <v>4892</v>
      </c>
      <c r="Q1025" s="46"/>
      <c r="R1025" s="47" t="s">
        <v>44</v>
      </c>
      <c r="S1025" s="47"/>
    </row>
    <row r="1026" customFormat="false" ht="15" hidden="false" customHeight="true" outlineLevel="0" collapsed="false">
      <c r="A1026" s="49" t="n">
        <v>1037</v>
      </c>
      <c r="B1026" s="25" t="s">
        <v>5401</v>
      </c>
      <c r="C1026" s="50"/>
      <c r="D1026" s="50" t="s">
        <v>5401</v>
      </c>
      <c r="E1026" s="49" t="s">
        <v>18</v>
      </c>
      <c r="F1026" s="49" t="s">
        <v>2104</v>
      </c>
      <c r="G1026" s="25" t="s">
        <v>1036</v>
      </c>
      <c r="H1026" s="51" t="n">
        <v>5</v>
      </c>
      <c r="I1026" s="49" t="s">
        <v>5016</v>
      </c>
      <c r="J1026" s="50" t="s">
        <v>5427</v>
      </c>
      <c r="K1026" s="25" t="s">
        <v>5428</v>
      </c>
      <c r="L1026" s="49" t="s">
        <v>5252</v>
      </c>
      <c r="M1026" s="25" t="s">
        <v>5404</v>
      </c>
      <c r="N1026" s="49" t="s">
        <v>5405</v>
      </c>
      <c r="O1026" s="25" t="s">
        <v>4891</v>
      </c>
      <c r="P1026" s="49" t="s">
        <v>4892</v>
      </c>
      <c r="Q1026" s="49"/>
      <c r="R1026" s="50" t="s">
        <v>44</v>
      </c>
      <c r="S1026" s="50"/>
    </row>
    <row r="1027" customFormat="false" ht="15" hidden="false" customHeight="true" outlineLevel="0" collapsed="false">
      <c r="A1027" s="46" t="n">
        <v>1038</v>
      </c>
      <c r="B1027" s="24" t="s">
        <v>5401</v>
      </c>
      <c r="C1027" s="47"/>
      <c r="D1027" s="47" t="s">
        <v>5401</v>
      </c>
      <c r="E1027" s="46" t="s">
        <v>18</v>
      </c>
      <c r="F1027" s="46" t="s">
        <v>2104</v>
      </c>
      <c r="G1027" s="24" t="s">
        <v>1036</v>
      </c>
      <c r="H1027" s="48" t="n">
        <v>5</v>
      </c>
      <c r="I1027" s="46" t="s">
        <v>5049</v>
      </c>
      <c r="J1027" s="47" t="s">
        <v>5429</v>
      </c>
      <c r="K1027" s="24" t="s">
        <v>3121</v>
      </c>
      <c r="L1027" s="46" t="s">
        <v>5255</v>
      </c>
      <c r="M1027" s="24" t="s">
        <v>5404</v>
      </c>
      <c r="N1027" s="46" t="s">
        <v>5405</v>
      </c>
      <c r="O1027" s="24" t="s">
        <v>4891</v>
      </c>
      <c r="P1027" s="46" t="s">
        <v>4892</v>
      </c>
      <c r="Q1027" s="46"/>
      <c r="R1027" s="47" t="s">
        <v>44</v>
      </c>
      <c r="S1027" s="47"/>
    </row>
    <row r="1028" customFormat="false" ht="15" hidden="false" customHeight="true" outlineLevel="0" collapsed="false">
      <c r="A1028" s="49" t="n">
        <v>1039</v>
      </c>
      <c r="B1028" s="25" t="s">
        <v>5401</v>
      </c>
      <c r="C1028" s="50"/>
      <c r="D1028" s="50" t="s">
        <v>5401</v>
      </c>
      <c r="E1028" s="49" t="s">
        <v>18</v>
      </c>
      <c r="F1028" s="49" t="s">
        <v>2104</v>
      </c>
      <c r="G1028" s="25" t="s">
        <v>1036</v>
      </c>
      <c r="H1028" s="51" t="n">
        <v>5</v>
      </c>
      <c r="I1028" s="49" t="s">
        <v>5049</v>
      </c>
      <c r="J1028" s="50" t="s">
        <v>5430</v>
      </c>
      <c r="K1028" s="25" t="s">
        <v>5431</v>
      </c>
      <c r="L1028" s="49" t="s">
        <v>5252</v>
      </c>
      <c r="M1028" s="25" t="s">
        <v>5404</v>
      </c>
      <c r="N1028" s="49" t="s">
        <v>5405</v>
      </c>
      <c r="O1028" s="25" t="s">
        <v>4891</v>
      </c>
      <c r="P1028" s="49" t="s">
        <v>4892</v>
      </c>
      <c r="Q1028" s="49"/>
      <c r="R1028" s="50" t="s">
        <v>44</v>
      </c>
      <c r="S1028" s="50"/>
    </row>
    <row r="1029" customFormat="false" ht="15" hidden="false" customHeight="true" outlineLevel="0" collapsed="false">
      <c r="A1029" s="46" t="n">
        <v>1040</v>
      </c>
      <c r="B1029" s="24" t="s">
        <v>5432</v>
      </c>
      <c r="C1029" s="47"/>
      <c r="D1029" s="47" t="s">
        <v>5401</v>
      </c>
      <c r="E1029" s="46" t="s">
        <v>18</v>
      </c>
      <c r="F1029" s="46" t="s">
        <v>2104</v>
      </c>
      <c r="G1029" s="24" t="s">
        <v>1036</v>
      </c>
      <c r="H1029" s="48" t="n">
        <v>5</v>
      </c>
      <c r="I1029" s="46" t="s">
        <v>5049</v>
      </c>
      <c r="J1029" s="47" t="s">
        <v>5433</v>
      </c>
      <c r="K1029" s="24" t="s">
        <v>5434</v>
      </c>
      <c r="L1029" s="46" t="s">
        <v>5259</v>
      </c>
      <c r="M1029" s="24" t="s">
        <v>5404</v>
      </c>
      <c r="N1029" s="46" t="s">
        <v>5405</v>
      </c>
      <c r="O1029" s="24" t="s">
        <v>4891</v>
      </c>
      <c r="P1029" s="46" t="s">
        <v>4892</v>
      </c>
      <c r="Q1029" s="46"/>
      <c r="R1029" s="47" t="s">
        <v>44</v>
      </c>
      <c r="S1029" s="47"/>
    </row>
    <row r="1030" customFormat="false" ht="15" hidden="false" customHeight="true" outlineLevel="0" collapsed="false">
      <c r="A1030" s="49" t="n">
        <v>1041</v>
      </c>
      <c r="B1030" s="25" t="s">
        <v>5401</v>
      </c>
      <c r="C1030" s="50"/>
      <c r="D1030" s="50" t="s">
        <v>5401</v>
      </c>
      <c r="E1030" s="49" t="s">
        <v>18</v>
      </c>
      <c r="F1030" s="49" t="s">
        <v>2104</v>
      </c>
      <c r="G1030" s="25" t="s">
        <v>1036</v>
      </c>
      <c r="H1030" s="51" t="n">
        <v>5</v>
      </c>
      <c r="I1030" s="49" t="s">
        <v>5049</v>
      </c>
      <c r="J1030" s="50" t="s">
        <v>5435</v>
      </c>
      <c r="K1030" s="25" t="s">
        <v>5436</v>
      </c>
      <c r="L1030" s="49" t="s">
        <v>5263</v>
      </c>
      <c r="M1030" s="25" t="s">
        <v>5404</v>
      </c>
      <c r="N1030" s="49" t="s">
        <v>5405</v>
      </c>
      <c r="O1030" s="25" t="s">
        <v>4891</v>
      </c>
      <c r="P1030" s="49" t="s">
        <v>4892</v>
      </c>
      <c r="Q1030" s="49"/>
      <c r="R1030" s="50" t="s">
        <v>44</v>
      </c>
      <c r="S1030" s="50"/>
    </row>
    <row r="1031" customFormat="false" ht="15" hidden="false" customHeight="true" outlineLevel="0" collapsed="false">
      <c r="A1031" s="46" t="n">
        <v>1042</v>
      </c>
      <c r="B1031" s="24" t="s">
        <v>5437</v>
      </c>
      <c r="C1031" s="47"/>
      <c r="D1031" s="47" t="s">
        <v>5401</v>
      </c>
      <c r="E1031" s="46" t="s">
        <v>18</v>
      </c>
      <c r="F1031" s="46" t="s">
        <v>2104</v>
      </c>
      <c r="G1031" s="24" t="s">
        <v>1036</v>
      </c>
      <c r="H1031" s="48" t="n">
        <v>5</v>
      </c>
      <c r="I1031" s="46" t="s">
        <v>5049</v>
      </c>
      <c r="J1031" s="47" t="s">
        <v>5438</v>
      </c>
      <c r="K1031" s="24" t="s">
        <v>5439</v>
      </c>
      <c r="L1031" s="46" t="s">
        <v>5266</v>
      </c>
      <c r="M1031" s="24" t="s">
        <v>5404</v>
      </c>
      <c r="N1031" s="46" t="s">
        <v>5405</v>
      </c>
      <c r="O1031" s="24" t="s">
        <v>4891</v>
      </c>
      <c r="P1031" s="46" t="s">
        <v>4892</v>
      </c>
      <c r="Q1031" s="46"/>
      <c r="R1031" s="47" t="s">
        <v>44</v>
      </c>
      <c r="S1031" s="47"/>
    </row>
    <row r="1032" customFormat="false" ht="15" hidden="false" customHeight="true" outlineLevel="0" collapsed="false">
      <c r="A1032" s="49" t="n">
        <v>1043</v>
      </c>
      <c r="B1032" s="25" t="s">
        <v>5437</v>
      </c>
      <c r="C1032" s="50"/>
      <c r="D1032" s="50" t="s">
        <v>5401</v>
      </c>
      <c r="E1032" s="49" t="s">
        <v>18</v>
      </c>
      <c r="F1032" s="49" t="s">
        <v>2104</v>
      </c>
      <c r="G1032" s="25" t="s">
        <v>1036</v>
      </c>
      <c r="H1032" s="51" t="n">
        <v>5</v>
      </c>
      <c r="I1032" s="49" t="s">
        <v>5049</v>
      </c>
      <c r="J1032" s="50" t="s">
        <v>5440</v>
      </c>
      <c r="K1032" s="25" t="s">
        <v>5441</v>
      </c>
      <c r="L1032" s="49" t="s">
        <v>5269</v>
      </c>
      <c r="M1032" s="25" t="s">
        <v>5404</v>
      </c>
      <c r="N1032" s="49" t="s">
        <v>5405</v>
      </c>
      <c r="O1032" s="25" t="s">
        <v>4891</v>
      </c>
      <c r="P1032" s="49" t="s">
        <v>4892</v>
      </c>
      <c r="Q1032" s="49"/>
      <c r="R1032" s="50" t="s">
        <v>44</v>
      </c>
      <c r="S1032" s="50"/>
    </row>
    <row r="1033" customFormat="false" ht="15" hidden="false" customHeight="true" outlineLevel="0" collapsed="false">
      <c r="A1033" s="46" t="n">
        <v>1044</v>
      </c>
      <c r="B1033" s="24" t="s">
        <v>5437</v>
      </c>
      <c r="C1033" s="47"/>
      <c r="D1033" s="47" t="s">
        <v>5401</v>
      </c>
      <c r="E1033" s="46" t="s">
        <v>18</v>
      </c>
      <c r="F1033" s="46" t="s">
        <v>2104</v>
      </c>
      <c r="G1033" s="24" t="s">
        <v>1036</v>
      </c>
      <c r="H1033" s="48" t="n">
        <v>5</v>
      </c>
      <c r="I1033" s="46" t="s">
        <v>5049</v>
      </c>
      <c r="J1033" s="47" t="s">
        <v>5442</v>
      </c>
      <c r="K1033" s="24" t="s">
        <v>5443</v>
      </c>
      <c r="L1033" s="46" t="s">
        <v>5272</v>
      </c>
      <c r="M1033" s="24" t="s">
        <v>5404</v>
      </c>
      <c r="N1033" s="46" t="s">
        <v>5405</v>
      </c>
      <c r="O1033" s="24" t="s">
        <v>4891</v>
      </c>
      <c r="P1033" s="46" t="s">
        <v>4892</v>
      </c>
      <c r="Q1033" s="46"/>
      <c r="R1033" s="47" t="s">
        <v>44</v>
      </c>
      <c r="S1033" s="47"/>
    </row>
    <row r="1034" customFormat="false" ht="15" hidden="false" customHeight="true" outlineLevel="0" collapsed="false">
      <c r="A1034" s="49" t="n">
        <v>1045</v>
      </c>
      <c r="B1034" s="25" t="s">
        <v>5401</v>
      </c>
      <c r="C1034" s="50"/>
      <c r="D1034" s="50" t="s">
        <v>5401</v>
      </c>
      <c r="E1034" s="49" t="s">
        <v>18</v>
      </c>
      <c r="F1034" s="49" t="s">
        <v>2104</v>
      </c>
      <c r="G1034" s="25" t="s">
        <v>1036</v>
      </c>
      <c r="H1034" s="51" t="n">
        <v>5</v>
      </c>
      <c r="I1034" s="49" t="s">
        <v>5049</v>
      </c>
      <c r="J1034" s="50" t="s">
        <v>5444</v>
      </c>
      <c r="K1034" s="25" t="s">
        <v>5445</v>
      </c>
      <c r="L1034" s="49" t="s">
        <v>5275</v>
      </c>
      <c r="M1034" s="25" t="s">
        <v>5404</v>
      </c>
      <c r="N1034" s="49" t="s">
        <v>5405</v>
      </c>
      <c r="O1034" s="25" t="s">
        <v>4891</v>
      </c>
      <c r="P1034" s="49" t="s">
        <v>4892</v>
      </c>
      <c r="Q1034" s="49"/>
      <c r="R1034" s="50" t="s">
        <v>44</v>
      </c>
      <c r="S1034" s="50"/>
    </row>
    <row r="1035" customFormat="false" ht="15" hidden="false" customHeight="true" outlineLevel="0" collapsed="false">
      <c r="A1035" s="46" t="n">
        <v>1046</v>
      </c>
      <c r="B1035" s="24" t="s">
        <v>5401</v>
      </c>
      <c r="C1035" s="47"/>
      <c r="D1035" s="47" t="s">
        <v>5401</v>
      </c>
      <c r="E1035" s="46" t="s">
        <v>18</v>
      </c>
      <c r="F1035" s="46" t="s">
        <v>2104</v>
      </c>
      <c r="G1035" s="24" t="s">
        <v>1036</v>
      </c>
      <c r="H1035" s="48" t="n">
        <v>5</v>
      </c>
      <c r="I1035" s="46" t="s">
        <v>5049</v>
      </c>
      <c r="J1035" s="47" t="s">
        <v>5446</v>
      </c>
      <c r="K1035" s="24" t="s">
        <v>5447</v>
      </c>
      <c r="L1035" s="46" t="s">
        <v>5278</v>
      </c>
      <c r="M1035" s="24" t="s">
        <v>5404</v>
      </c>
      <c r="N1035" s="46" t="s">
        <v>5405</v>
      </c>
      <c r="O1035" s="24" t="s">
        <v>4891</v>
      </c>
      <c r="P1035" s="46" t="s">
        <v>4892</v>
      </c>
      <c r="Q1035" s="46"/>
      <c r="R1035" s="47" t="s">
        <v>44</v>
      </c>
      <c r="S1035" s="47"/>
    </row>
    <row r="1036" customFormat="false" ht="15" hidden="false" customHeight="true" outlineLevel="0" collapsed="false">
      <c r="A1036" s="49" t="n">
        <v>1047</v>
      </c>
      <c r="B1036" s="25" t="s">
        <v>5448</v>
      </c>
      <c r="C1036" s="50"/>
      <c r="D1036" s="50" t="s">
        <v>5401</v>
      </c>
      <c r="E1036" s="49" t="s">
        <v>18</v>
      </c>
      <c r="F1036" s="49" t="s">
        <v>2104</v>
      </c>
      <c r="G1036" s="25" t="s">
        <v>1036</v>
      </c>
      <c r="H1036" s="51" t="n">
        <v>5</v>
      </c>
      <c r="I1036" s="49" t="s">
        <v>5049</v>
      </c>
      <c r="J1036" s="50" t="s">
        <v>5449</v>
      </c>
      <c r="K1036" s="25" t="s">
        <v>5450</v>
      </c>
      <c r="L1036" s="49" t="s">
        <v>5283</v>
      </c>
      <c r="M1036" s="25" t="s">
        <v>5418</v>
      </c>
      <c r="N1036" s="49" t="s">
        <v>5419</v>
      </c>
      <c r="O1036" s="25" t="s">
        <v>4891</v>
      </c>
      <c r="P1036" s="49" t="s">
        <v>4892</v>
      </c>
      <c r="Q1036" s="49"/>
      <c r="R1036" s="50" t="s">
        <v>44</v>
      </c>
      <c r="S1036" s="50"/>
    </row>
    <row r="1037" customFormat="false" ht="15" hidden="false" customHeight="true" outlineLevel="0" collapsed="false">
      <c r="A1037" s="46" t="n">
        <v>1048</v>
      </c>
      <c r="B1037" s="24" t="s">
        <v>5451</v>
      </c>
      <c r="C1037" s="47"/>
      <c r="D1037" s="47" t="s">
        <v>5401</v>
      </c>
      <c r="E1037" s="46" t="s">
        <v>18</v>
      </c>
      <c r="F1037" s="46" t="s">
        <v>2104</v>
      </c>
      <c r="G1037" s="24" t="s">
        <v>1036</v>
      </c>
      <c r="H1037" s="48" t="n">
        <v>5</v>
      </c>
      <c r="I1037" s="46" t="s">
        <v>5049</v>
      </c>
      <c r="J1037" s="47" t="s">
        <v>5452</v>
      </c>
      <c r="K1037" s="24" t="s">
        <v>3576</v>
      </c>
      <c r="L1037" s="46" t="s">
        <v>5286</v>
      </c>
      <c r="M1037" s="24" t="s">
        <v>5418</v>
      </c>
      <c r="N1037" s="46" t="s">
        <v>5419</v>
      </c>
      <c r="O1037" s="24" t="s">
        <v>4891</v>
      </c>
      <c r="P1037" s="46" t="s">
        <v>4892</v>
      </c>
      <c r="Q1037" s="46"/>
      <c r="R1037" s="47" t="s">
        <v>44</v>
      </c>
      <c r="S1037" s="47"/>
    </row>
    <row r="1038" customFormat="false" ht="15" hidden="false" customHeight="true" outlineLevel="0" collapsed="false">
      <c r="A1038" s="49" t="n">
        <v>1049</v>
      </c>
      <c r="B1038" s="25" t="s">
        <v>5451</v>
      </c>
      <c r="C1038" s="50"/>
      <c r="D1038" s="50" t="s">
        <v>5401</v>
      </c>
      <c r="E1038" s="49" t="s">
        <v>18</v>
      </c>
      <c r="F1038" s="49" t="s">
        <v>2104</v>
      </c>
      <c r="G1038" s="25" t="s">
        <v>1036</v>
      </c>
      <c r="H1038" s="51" t="n">
        <v>5</v>
      </c>
      <c r="I1038" s="49" t="s">
        <v>5049</v>
      </c>
      <c r="J1038" s="50" t="s">
        <v>5453</v>
      </c>
      <c r="K1038" s="25" t="s">
        <v>5454</v>
      </c>
      <c r="L1038" s="49" t="s">
        <v>5289</v>
      </c>
      <c r="M1038" s="25" t="s">
        <v>5418</v>
      </c>
      <c r="N1038" s="49" t="s">
        <v>5419</v>
      </c>
      <c r="O1038" s="25" t="s">
        <v>4891</v>
      </c>
      <c r="P1038" s="49" t="s">
        <v>4892</v>
      </c>
      <c r="Q1038" s="49"/>
      <c r="R1038" s="50" t="s">
        <v>44</v>
      </c>
      <c r="S1038" s="50"/>
    </row>
    <row r="1039" customFormat="false" ht="15" hidden="false" customHeight="true" outlineLevel="0" collapsed="false">
      <c r="A1039" s="46" t="n">
        <v>1050</v>
      </c>
      <c r="B1039" s="24" t="s">
        <v>5455</v>
      </c>
      <c r="C1039" s="47"/>
      <c r="D1039" s="47" t="s">
        <v>5401</v>
      </c>
      <c r="E1039" s="46" t="s">
        <v>18</v>
      </c>
      <c r="F1039" s="46" t="s">
        <v>2104</v>
      </c>
      <c r="G1039" s="24" t="s">
        <v>1036</v>
      </c>
      <c r="H1039" s="48" t="n">
        <v>5</v>
      </c>
      <c r="I1039" s="46" t="s">
        <v>5049</v>
      </c>
      <c r="J1039" s="47" t="s">
        <v>5456</v>
      </c>
      <c r="K1039" s="24" t="s">
        <v>3333</v>
      </c>
      <c r="L1039" s="46" t="s">
        <v>5292</v>
      </c>
      <c r="M1039" s="24" t="s">
        <v>5418</v>
      </c>
      <c r="N1039" s="46" t="s">
        <v>5419</v>
      </c>
      <c r="O1039" s="24" t="s">
        <v>4891</v>
      </c>
      <c r="P1039" s="46" t="s">
        <v>4892</v>
      </c>
      <c r="Q1039" s="46"/>
      <c r="R1039" s="47" t="s">
        <v>44</v>
      </c>
      <c r="S1039" s="47"/>
    </row>
    <row r="1040" customFormat="false" ht="15" hidden="false" customHeight="true" outlineLevel="0" collapsed="false">
      <c r="A1040" s="49" t="n">
        <v>1051</v>
      </c>
      <c r="B1040" s="25" t="s">
        <v>5455</v>
      </c>
      <c r="C1040" s="50"/>
      <c r="D1040" s="50" t="s">
        <v>5401</v>
      </c>
      <c r="E1040" s="49" t="s">
        <v>18</v>
      </c>
      <c r="F1040" s="49" t="s">
        <v>2104</v>
      </c>
      <c r="G1040" s="25" t="s">
        <v>1036</v>
      </c>
      <c r="H1040" s="51" t="n">
        <v>5</v>
      </c>
      <c r="I1040" s="49" t="s">
        <v>5049</v>
      </c>
      <c r="J1040" s="50" t="s">
        <v>5457</v>
      </c>
      <c r="K1040" s="25" t="s">
        <v>5458</v>
      </c>
      <c r="L1040" s="49" t="s">
        <v>5295</v>
      </c>
      <c r="M1040" s="25" t="s">
        <v>5418</v>
      </c>
      <c r="N1040" s="49" t="s">
        <v>5419</v>
      </c>
      <c r="O1040" s="25" t="s">
        <v>4891</v>
      </c>
      <c r="P1040" s="49" t="s">
        <v>4892</v>
      </c>
      <c r="Q1040" s="49"/>
      <c r="R1040" s="50" t="s">
        <v>44</v>
      </c>
      <c r="S1040" s="50"/>
    </row>
    <row r="1041" customFormat="false" ht="15" hidden="false" customHeight="true" outlineLevel="0" collapsed="false">
      <c r="A1041" s="46" t="n">
        <v>1052</v>
      </c>
      <c r="B1041" s="24" t="s">
        <v>5432</v>
      </c>
      <c r="C1041" s="47"/>
      <c r="D1041" s="47" t="s">
        <v>5401</v>
      </c>
      <c r="E1041" s="46" t="s">
        <v>18</v>
      </c>
      <c r="F1041" s="46" t="s">
        <v>2104</v>
      </c>
      <c r="G1041" s="24" t="s">
        <v>1036</v>
      </c>
      <c r="H1041" s="48" t="n">
        <v>5</v>
      </c>
      <c r="I1041" s="46" t="s">
        <v>5049</v>
      </c>
      <c r="J1041" s="47" t="s">
        <v>5459</v>
      </c>
      <c r="K1041" s="24" t="s">
        <v>5460</v>
      </c>
      <c r="L1041" s="46" t="s">
        <v>5298</v>
      </c>
      <c r="M1041" s="24" t="s">
        <v>5418</v>
      </c>
      <c r="N1041" s="46" t="s">
        <v>5419</v>
      </c>
      <c r="O1041" s="24" t="s">
        <v>4891</v>
      </c>
      <c r="P1041" s="46" t="s">
        <v>4892</v>
      </c>
      <c r="Q1041" s="46"/>
      <c r="R1041" s="47" t="s">
        <v>44</v>
      </c>
      <c r="S1041" s="47"/>
    </row>
    <row r="1042" customFormat="false" ht="15" hidden="false" customHeight="true" outlineLevel="0" collapsed="false">
      <c r="A1042" s="49" t="n">
        <v>1053</v>
      </c>
      <c r="B1042" s="25" t="s">
        <v>5455</v>
      </c>
      <c r="C1042" s="50"/>
      <c r="D1042" s="50" t="s">
        <v>5401</v>
      </c>
      <c r="E1042" s="49" t="s">
        <v>18</v>
      </c>
      <c r="F1042" s="49" t="s">
        <v>2104</v>
      </c>
      <c r="G1042" s="25" t="s">
        <v>1036</v>
      </c>
      <c r="H1042" s="51" t="n">
        <v>5</v>
      </c>
      <c r="I1042" s="49" t="s">
        <v>5049</v>
      </c>
      <c r="J1042" s="50" t="s">
        <v>5461</v>
      </c>
      <c r="K1042" s="25" t="s">
        <v>4739</v>
      </c>
      <c r="L1042" s="49" t="s">
        <v>5300</v>
      </c>
      <c r="M1042" s="25" t="s">
        <v>5418</v>
      </c>
      <c r="N1042" s="49" t="s">
        <v>5419</v>
      </c>
      <c r="O1042" s="25" t="s">
        <v>4891</v>
      </c>
      <c r="P1042" s="49" t="s">
        <v>4892</v>
      </c>
      <c r="Q1042" s="49"/>
      <c r="R1042" s="50" t="s">
        <v>44</v>
      </c>
      <c r="S1042" s="50"/>
    </row>
    <row r="1043" customFormat="false" ht="15" hidden="false" customHeight="true" outlineLevel="0" collapsed="false">
      <c r="A1043" s="46" t="n">
        <v>1054</v>
      </c>
      <c r="B1043" s="24" t="s">
        <v>5462</v>
      </c>
      <c r="C1043" s="47"/>
      <c r="D1043" s="47" t="s">
        <v>5401</v>
      </c>
      <c r="E1043" s="46" t="s">
        <v>18</v>
      </c>
      <c r="F1043" s="46" t="s">
        <v>2104</v>
      </c>
      <c r="G1043" s="24" t="s">
        <v>1036</v>
      </c>
      <c r="H1043" s="48" t="n">
        <v>5</v>
      </c>
      <c r="I1043" s="46" t="s">
        <v>5049</v>
      </c>
      <c r="J1043" s="47" t="s">
        <v>5463</v>
      </c>
      <c r="K1043" s="24" t="s">
        <v>5464</v>
      </c>
      <c r="L1043" s="46" t="s">
        <v>5303</v>
      </c>
      <c r="M1043" s="24" t="s">
        <v>5418</v>
      </c>
      <c r="N1043" s="46" t="s">
        <v>5419</v>
      </c>
      <c r="O1043" s="24" t="s">
        <v>4891</v>
      </c>
      <c r="P1043" s="46" t="s">
        <v>4892</v>
      </c>
      <c r="Q1043" s="46"/>
      <c r="R1043" s="47" t="s">
        <v>44</v>
      </c>
      <c r="S1043" s="47"/>
    </row>
    <row r="1044" customFormat="false" ht="15" hidden="false" customHeight="true" outlineLevel="0" collapsed="false">
      <c r="A1044" s="49" t="n">
        <v>1055</v>
      </c>
      <c r="B1044" s="25" t="s">
        <v>5455</v>
      </c>
      <c r="C1044" s="50"/>
      <c r="D1044" s="50" t="s">
        <v>5401</v>
      </c>
      <c r="E1044" s="49" t="s">
        <v>18</v>
      </c>
      <c r="F1044" s="49" t="s">
        <v>2104</v>
      </c>
      <c r="G1044" s="25" t="s">
        <v>1036</v>
      </c>
      <c r="H1044" s="51" t="n">
        <v>5</v>
      </c>
      <c r="I1044" s="49" t="s">
        <v>5053</v>
      </c>
      <c r="J1044" s="50" t="s">
        <v>5465</v>
      </c>
      <c r="K1044" s="25" t="s">
        <v>5466</v>
      </c>
      <c r="L1044" s="49" t="s">
        <v>5306</v>
      </c>
      <c r="M1044" s="25" t="s">
        <v>5418</v>
      </c>
      <c r="N1044" s="49" t="s">
        <v>5419</v>
      </c>
      <c r="O1044" s="25" t="s">
        <v>4891</v>
      </c>
      <c r="P1044" s="49" t="s">
        <v>4892</v>
      </c>
      <c r="Q1044" s="49"/>
      <c r="R1044" s="50" t="s">
        <v>44</v>
      </c>
      <c r="S1044" s="50"/>
    </row>
    <row r="1045" customFormat="false" ht="15" hidden="false" customHeight="true" outlineLevel="0" collapsed="false">
      <c r="A1045" s="46" t="n">
        <v>1056</v>
      </c>
      <c r="B1045" s="24" t="s">
        <v>5455</v>
      </c>
      <c r="C1045" s="47"/>
      <c r="D1045" s="47" t="s">
        <v>5401</v>
      </c>
      <c r="E1045" s="46" t="s">
        <v>18</v>
      </c>
      <c r="F1045" s="46" t="s">
        <v>2104</v>
      </c>
      <c r="G1045" s="24" t="s">
        <v>1036</v>
      </c>
      <c r="H1045" s="48" t="n">
        <v>5</v>
      </c>
      <c r="I1045" s="46" t="s">
        <v>5053</v>
      </c>
      <c r="J1045" s="47" t="s">
        <v>5433</v>
      </c>
      <c r="K1045" s="24" t="s">
        <v>5467</v>
      </c>
      <c r="L1045" s="46" t="s">
        <v>5309</v>
      </c>
      <c r="M1045" s="24" t="s">
        <v>5418</v>
      </c>
      <c r="N1045" s="46" t="s">
        <v>5419</v>
      </c>
      <c r="O1045" s="24" t="s">
        <v>4891</v>
      </c>
      <c r="P1045" s="46" t="s">
        <v>4892</v>
      </c>
      <c r="Q1045" s="46"/>
      <c r="R1045" s="47" t="s">
        <v>44</v>
      </c>
      <c r="S1045" s="47"/>
    </row>
    <row r="1046" customFormat="false" ht="15" hidden="false" customHeight="true" outlineLevel="0" collapsed="false">
      <c r="A1046" s="49" t="n">
        <v>1057</v>
      </c>
      <c r="B1046" s="25" t="s">
        <v>5455</v>
      </c>
      <c r="C1046" s="50"/>
      <c r="D1046" s="50" t="s">
        <v>5401</v>
      </c>
      <c r="E1046" s="49" t="s">
        <v>18</v>
      </c>
      <c r="F1046" s="49" t="s">
        <v>2104</v>
      </c>
      <c r="G1046" s="25" t="s">
        <v>1036</v>
      </c>
      <c r="H1046" s="51" t="n">
        <v>5</v>
      </c>
      <c r="I1046" s="49" t="s">
        <v>5053</v>
      </c>
      <c r="J1046" s="50" t="s">
        <v>5468</v>
      </c>
      <c r="K1046" s="25" t="s">
        <v>5469</v>
      </c>
      <c r="L1046" s="49" t="s">
        <v>5312</v>
      </c>
      <c r="M1046" s="25" t="s">
        <v>5418</v>
      </c>
      <c r="N1046" s="49" t="s">
        <v>5419</v>
      </c>
      <c r="O1046" s="25" t="s">
        <v>4891</v>
      </c>
      <c r="P1046" s="49" t="s">
        <v>4892</v>
      </c>
      <c r="Q1046" s="49"/>
      <c r="R1046" s="50" t="s">
        <v>44</v>
      </c>
      <c r="S1046" s="50"/>
    </row>
    <row r="1047" customFormat="false" ht="15" hidden="false" customHeight="true" outlineLevel="0" collapsed="false">
      <c r="A1047" s="46" t="n">
        <v>1058</v>
      </c>
      <c r="B1047" s="24" t="s">
        <v>5470</v>
      </c>
      <c r="C1047" s="47"/>
      <c r="D1047" s="47" t="s">
        <v>5401</v>
      </c>
      <c r="E1047" s="46" t="s">
        <v>18</v>
      </c>
      <c r="F1047" s="46" t="s">
        <v>2104</v>
      </c>
      <c r="G1047" s="24" t="s">
        <v>1036</v>
      </c>
      <c r="H1047" s="48" t="n">
        <v>5</v>
      </c>
      <c r="I1047" s="46" t="s">
        <v>5053</v>
      </c>
      <c r="J1047" s="47" t="s">
        <v>5471</v>
      </c>
      <c r="K1047" s="24" t="s">
        <v>3228</v>
      </c>
      <c r="L1047" s="46" t="s">
        <v>5315</v>
      </c>
      <c r="M1047" s="24" t="s">
        <v>5418</v>
      </c>
      <c r="N1047" s="46" t="s">
        <v>5419</v>
      </c>
      <c r="O1047" s="24" t="s">
        <v>4891</v>
      </c>
      <c r="P1047" s="46" t="s">
        <v>4892</v>
      </c>
      <c r="Q1047" s="46"/>
      <c r="R1047" s="47" t="s">
        <v>44</v>
      </c>
      <c r="S1047" s="52" t="s">
        <v>65</v>
      </c>
    </row>
    <row r="1048" customFormat="false" ht="15" hidden="false" customHeight="true" outlineLevel="0" collapsed="false">
      <c r="A1048" s="49" t="n">
        <v>1059</v>
      </c>
      <c r="B1048" s="25" t="s">
        <v>5415</v>
      </c>
      <c r="C1048" s="50"/>
      <c r="D1048" s="50" t="s">
        <v>5401</v>
      </c>
      <c r="E1048" s="49" t="s">
        <v>18</v>
      </c>
      <c r="F1048" s="49" t="s">
        <v>2104</v>
      </c>
      <c r="G1048" s="25" t="s">
        <v>1036</v>
      </c>
      <c r="H1048" s="51" t="n">
        <v>5</v>
      </c>
      <c r="I1048" s="49" t="s">
        <v>5053</v>
      </c>
      <c r="J1048" s="50" t="s">
        <v>5472</v>
      </c>
      <c r="K1048" s="25" t="s">
        <v>2083</v>
      </c>
      <c r="L1048" s="49" t="s">
        <v>5318</v>
      </c>
      <c r="M1048" s="25" t="s">
        <v>5418</v>
      </c>
      <c r="N1048" s="49" t="s">
        <v>5419</v>
      </c>
      <c r="O1048" s="25" t="s">
        <v>4891</v>
      </c>
      <c r="P1048" s="49" t="s">
        <v>4892</v>
      </c>
      <c r="Q1048" s="49"/>
      <c r="R1048" s="50" t="s">
        <v>44</v>
      </c>
      <c r="S1048" s="50"/>
    </row>
    <row r="1049" customFormat="false" ht="15" hidden="false" customHeight="true" outlineLevel="0" collapsed="false">
      <c r="A1049" s="46" t="n">
        <v>1060</v>
      </c>
      <c r="B1049" s="24" t="s">
        <v>5415</v>
      </c>
      <c r="C1049" s="47"/>
      <c r="D1049" s="47" t="s">
        <v>5401</v>
      </c>
      <c r="E1049" s="46" t="s">
        <v>18</v>
      </c>
      <c r="F1049" s="46" t="s">
        <v>2104</v>
      </c>
      <c r="G1049" s="24" t="s">
        <v>1036</v>
      </c>
      <c r="H1049" s="48" t="n">
        <v>5</v>
      </c>
      <c r="I1049" s="46" t="s">
        <v>5053</v>
      </c>
      <c r="J1049" s="47" t="s">
        <v>5473</v>
      </c>
      <c r="K1049" s="24" t="s">
        <v>5474</v>
      </c>
      <c r="L1049" s="46" t="s">
        <v>5321</v>
      </c>
      <c r="M1049" s="24" t="s">
        <v>5418</v>
      </c>
      <c r="N1049" s="46" t="s">
        <v>5419</v>
      </c>
      <c r="O1049" s="24" t="s">
        <v>4891</v>
      </c>
      <c r="P1049" s="46" t="s">
        <v>4892</v>
      </c>
      <c r="Q1049" s="46"/>
      <c r="R1049" s="47" t="s">
        <v>44</v>
      </c>
      <c r="S1049" s="47"/>
    </row>
    <row r="1050" customFormat="false" ht="15" hidden="false" customHeight="true" outlineLevel="0" collapsed="false">
      <c r="A1050" s="49" t="n">
        <v>1061</v>
      </c>
      <c r="B1050" s="25" t="s">
        <v>5475</v>
      </c>
      <c r="C1050" s="50"/>
      <c r="D1050" s="50" t="s">
        <v>5401</v>
      </c>
      <c r="E1050" s="49" t="s">
        <v>18</v>
      </c>
      <c r="F1050" s="49" t="s">
        <v>2104</v>
      </c>
      <c r="G1050" s="25" t="s">
        <v>1036</v>
      </c>
      <c r="H1050" s="51" t="n">
        <v>5</v>
      </c>
      <c r="I1050" s="49" t="s">
        <v>5053</v>
      </c>
      <c r="J1050" s="50" t="s">
        <v>5476</v>
      </c>
      <c r="K1050" s="25" t="s">
        <v>3157</v>
      </c>
      <c r="L1050" s="49" t="s">
        <v>5324</v>
      </c>
      <c r="M1050" s="25" t="s">
        <v>5477</v>
      </c>
      <c r="N1050" s="49" t="s">
        <v>5478</v>
      </c>
      <c r="O1050" s="25" t="s">
        <v>4891</v>
      </c>
      <c r="P1050" s="49" t="s">
        <v>4892</v>
      </c>
      <c r="Q1050" s="49"/>
      <c r="R1050" s="50" t="s">
        <v>44</v>
      </c>
      <c r="S1050" s="50"/>
    </row>
    <row r="1051" customFormat="false" ht="15" hidden="false" customHeight="true" outlineLevel="0" collapsed="false">
      <c r="A1051" s="46" t="n">
        <v>1062</v>
      </c>
      <c r="B1051" s="24" t="s">
        <v>5475</v>
      </c>
      <c r="C1051" s="47"/>
      <c r="D1051" s="47" t="s">
        <v>5401</v>
      </c>
      <c r="E1051" s="46" t="s">
        <v>18</v>
      </c>
      <c r="F1051" s="46" t="s">
        <v>2104</v>
      </c>
      <c r="G1051" s="24" t="s">
        <v>1036</v>
      </c>
      <c r="H1051" s="48" t="n">
        <v>5</v>
      </c>
      <c r="I1051" s="46" t="s">
        <v>5053</v>
      </c>
      <c r="J1051" s="47" t="s">
        <v>5479</v>
      </c>
      <c r="K1051" s="24" t="s">
        <v>5480</v>
      </c>
      <c r="L1051" s="46" t="s">
        <v>5327</v>
      </c>
      <c r="M1051" s="24" t="s">
        <v>5477</v>
      </c>
      <c r="N1051" s="46" t="s">
        <v>5478</v>
      </c>
      <c r="O1051" s="24" t="s">
        <v>4891</v>
      </c>
      <c r="P1051" s="46" t="s">
        <v>4892</v>
      </c>
      <c r="Q1051" s="46"/>
      <c r="R1051" s="47" t="s">
        <v>44</v>
      </c>
      <c r="S1051" s="47"/>
    </row>
    <row r="1052" customFormat="false" ht="15" hidden="false" customHeight="true" outlineLevel="0" collapsed="false">
      <c r="A1052" s="49" t="n">
        <v>1063</v>
      </c>
      <c r="B1052" s="25" t="s">
        <v>5475</v>
      </c>
      <c r="C1052" s="50"/>
      <c r="D1052" s="50" t="s">
        <v>5401</v>
      </c>
      <c r="E1052" s="49" t="s">
        <v>18</v>
      </c>
      <c r="F1052" s="49" t="s">
        <v>2104</v>
      </c>
      <c r="G1052" s="25" t="s">
        <v>1036</v>
      </c>
      <c r="H1052" s="51" t="n">
        <v>5</v>
      </c>
      <c r="I1052" s="49" t="s">
        <v>5053</v>
      </c>
      <c r="J1052" s="50" t="s">
        <v>5481</v>
      </c>
      <c r="K1052" s="25" t="s">
        <v>5482</v>
      </c>
      <c r="L1052" s="49" t="s">
        <v>5330</v>
      </c>
      <c r="M1052" s="25" t="s">
        <v>5477</v>
      </c>
      <c r="N1052" s="49" t="s">
        <v>5478</v>
      </c>
      <c r="O1052" s="25" t="s">
        <v>4891</v>
      </c>
      <c r="P1052" s="49" t="s">
        <v>4892</v>
      </c>
      <c r="Q1052" s="49"/>
      <c r="R1052" s="50" t="s">
        <v>44</v>
      </c>
      <c r="S1052" s="50"/>
    </row>
    <row r="1053" customFormat="false" ht="15" hidden="false" customHeight="true" outlineLevel="0" collapsed="false">
      <c r="A1053" s="46" t="n">
        <v>1064</v>
      </c>
      <c r="B1053" s="24" t="s">
        <v>5475</v>
      </c>
      <c r="C1053" s="47"/>
      <c r="D1053" s="47" t="s">
        <v>5401</v>
      </c>
      <c r="E1053" s="46" t="s">
        <v>18</v>
      </c>
      <c r="F1053" s="46" t="s">
        <v>2104</v>
      </c>
      <c r="G1053" s="24" t="s">
        <v>1036</v>
      </c>
      <c r="H1053" s="48" t="n">
        <v>5</v>
      </c>
      <c r="I1053" s="46" t="s">
        <v>5053</v>
      </c>
      <c r="J1053" s="47" t="s">
        <v>5483</v>
      </c>
      <c r="K1053" s="24" t="s">
        <v>5484</v>
      </c>
      <c r="L1053" s="46" t="s">
        <v>5333</v>
      </c>
      <c r="M1053" s="24" t="s">
        <v>5477</v>
      </c>
      <c r="N1053" s="46" t="s">
        <v>5478</v>
      </c>
      <c r="O1053" s="24" t="s">
        <v>4891</v>
      </c>
      <c r="P1053" s="46" t="s">
        <v>4892</v>
      </c>
      <c r="Q1053" s="46"/>
      <c r="R1053" s="47" t="s">
        <v>44</v>
      </c>
      <c r="S1053" s="47"/>
    </row>
    <row r="1054" customFormat="false" ht="15" hidden="false" customHeight="true" outlineLevel="0" collapsed="false">
      <c r="A1054" s="49" t="n">
        <v>1065</v>
      </c>
      <c r="B1054" s="25" t="s">
        <v>5475</v>
      </c>
      <c r="C1054" s="50"/>
      <c r="D1054" s="50" t="s">
        <v>5401</v>
      </c>
      <c r="E1054" s="49" t="s">
        <v>18</v>
      </c>
      <c r="F1054" s="49" t="s">
        <v>2104</v>
      </c>
      <c r="G1054" s="25" t="s">
        <v>1036</v>
      </c>
      <c r="H1054" s="51" t="n">
        <v>5</v>
      </c>
      <c r="I1054" s="49" t="s">
        <v>5053</v>
      </c>
      <c r="J1054" s="50" t="s">
        <v>5485</v>
      </c>
      <c r="K1054" s="25" t="s">
        <v>5102</v>
      </c>
      <c r="L1054" s="49" t="s">
        <v>5336</v>
      </c>
      <c r="M1054" s="25" t="s">
        <v>5477</v>
      </c>
      <c r="N1054" s="49" t="s">
        <v>5478</v>
      </c>
      <c r="O1054" s="25" t="s">
        <v>4891</v>
      </c>
      <c r="P1054" s="49" t="s">
        <v>4892</v>
      </c>
      <c r="Q1054" s="49"/>
      <c r="R1054" s="50" t="s">
        <v>44</v>
      </c>
      <c r="S1054" s="50"/>
    </row>
    <row r="1055" customFormat="false" ht="15" hidden="false" customHeight="true" outlineLevel="0" collapsed="false">
      <c r="A1055" s="46" t="n">
        <v>1066</v>
      </c>
      <c r="B1055" s="24" t="s">
        <v>5475</v>
      </c>
      <c r="C1055" s="47"/>
      <c r="D1055" s="47" t="s">
        <v>5401</v>
      </c>
      <c r="E1055" s="46" t="s">
        <v>18</v>
      </c>
      <c r="F1055" s="46" t="s">
        <v>2104</v>
      </c>
      <c r="G1055" s="24" t="s">
        <v>1036</v>
      </c>
      <c r="H1055" s="48" t="n">
        <v>5</v>
      </c>
      <c r="I1055" s="46" t="s">
        <v>5053</v>
      </c>
      <c r="J1055" s="47" t="s">
        <v>5486</v>
      </c>
      <c r="K1055" s="24" t="s">
        <v>5487</v>
      </c>
      <c r="L1055" s="46" t="s">
        <v>5339</v>
      </c>
      <c r="M1055" s="24" t="s">
        <v>5477</v>
      </c>
      <c r="N1055" s="46" t="s">
        <v>5478</v>
      </c>
      <c r="O1055" s="24" t="s">
        <v>4891</v>
      </c>
      <c r="P1055" s="46" t="s">
        <v>4892</v>
      </c>
      <c r="Q1055" s="46"/>
      <c r="R1055" s="47" t="s">
        <v>44</v>
      </c>
      <c r="S1055" s="47"/>
    </row>
    <row r="1056" customFormat="false" ht="15" hidden="false" customHeight="true" outlineLevel="0" collapsed="false">
      <c r="A1056" s="49" t="n">
        <v>1067</v>
      </c>
      <c r="B1056" s="25" t="s">
        <v>5475</v>
      </c>
      <c r="C1056" s="50"/>
      <c r="D1056" s="50" t="s">
        <v>5401</v>
      </c>
      <c r="E1056" s="49" t="s">
        <v>18</v>
      </c>
      <c r="F1056" s="49" t="s">
        <v>2104</v>
      </c>
      <c r="G1056" s="25" t="s">
        <v>1036</v>
      </c>
      <c r="H1056" s="51" t="n">
        <v>5</v>
      </c>
      <c r="I1056" s="49" t="s">
        <v>5053</v>
      </c>
      <c r="J1056" s="50" t="s">
        <v>5488</v>
      </c>
      <c r="K1056" s="25" t="s">
        <v>5489</v>
      </c>
      <c r="L1056" s="49" t="s">
        <v>5344</v>
      </c>
      <c r="M1056" s="25" t="s">
        <v>5477</v>
      </c>
      <c r="N1056" s="49" t="s">
        <v>5478</v>
      </c>
      <c r="O1056" s="25" t="s">
        <v>4891</v>
      </c>
      <c r="P1056" s="49" t="s">
        <v>4892</v>
      </c>
      <c r="Q1056" s="49"/>
      <c r="R1056" s="50" t="s">
        <v>44</v>
      </c>
      <c r="S1056" s="50"/>
    </row>
    <row r="1057" customFormat="false" ht="15" hidden="false" customHeight="true" outlineLevel="0" collapsed="false">
      <c r="A1057" s="46" t="n">
        <v>1068</v>
      </c>
      <c r="B1057" s="24" t="s">
        <v>5475</v>
      </c>
      <c r="C1057" s="47"/>
      <c r="D1057" s="47" t="s">
        <v>5401</v>
      </c>
      <c r="E1057" s="46" t="s">
        <v>18</v>
      </c>
      <c r="F1057" s="46" t="s">
        <v>2104</v>
      </c>
      <c r="G1057" s="24" t="s">
        <v>1036</v>
      </c>
      <c r="H1057" s="48" t="n">
        <v>5</v>
      </c>
      <c r="I1057" s="46" t="s">
        <v>5053</v>
      </c>
      <c r="J1057" s="47" t="s">
        <v>5490</v>
      </c>
      <c r="K1057" s="24" t="s">
        <v>5489</v>
      </c>
      <c r="L1057" s="46" t="s">
        <v>5347</v>
      </c>
      <c r="M1057" s="24" t="s">
        <v>5477</v>
      </c>
      <c r="N1057" s="46" t="s">
        <v>5478</v>
      </c>
      <c r="O1057" s="24" t="s">
        <v>4891</v>
      </c>
      <c r="P1057" s="46" t="s">
        <v>4892</v>
      </c>
      <c r="Q1057" s="46"/>
      <c r="R1057" s="47" t="s">
        <v>44</v>
      </c>
      <c r="S1057" s="47"/>
    </row>
    <row r="1058" customFormat="false" ht="15" hidden="false" customHeight="true" outlineLevel="0" collapsed="false">
      <c r="A1058" s="49" t="n">
        <v>1069</v>
      </c>
      <c r="B1058" s="25" t="s">
        <v>5475</v>
      </c>
      <c r="C1058" s="50"/>
      <c r="D1058" s="50" t="s">
        <v>5401</v>
      </c>
      <c r="E1058" s="49" t="s">
        <v>18</v>
      </c>
      <c r="F1058" s="49" t="s">
        <v>2104</v>
      </c>
      <c r="G1058" s="25" t="s">
        <v>1036</v>
      </c>
      <c r="H1058" s="51" t="n">
        <v>5</v>
      </c>
      <c r="I1058" s="49" t="s">
        <v>5053</v>
      </c>
      <c r="J1058" s="50" t="s">
        <v>5491</v>
      </c>
      <c r="K1058" s="25" t="s">
        <v>5294</v>
      </c>
      <c r="L1058" s="49" t="s">
        <v>5351</v>
      </c>
      <c r="M1058" s="25" t="s">
        <v>5477</v>
      </c>
      <c r="N1058" s="49" t="s">
        <v>5478</v>
      </c>
      <c r="O1058" s="25" t="s">
        <v>4891</v>
      </c>
      <c r="P1058" s="49" t="s">
        <v>4892</v>
      </c>
      <c r="Q1058" s="49"/>
      <c r="R1058" s="50" t="s">
        <v>44</v>
      </c>
      <c r="S1058" s="50"/>
    </row>
    <row r="1059" customFormat="false" ht="15" hidden="false" customHeight="true" outlineLevel="0" collapsed="false">
      <c r="A1059" s="46" t="n">
        <v>1070</v>
      </c>
      <c r="B1059" s="24" t="s">
        <v>5475</v>
      </c>
      <c r="C1059" s="47"/>
      <c r="D1059" s="47" t="s">
        <v>5401</v>
      </c>
      <c r="E1059" s="46" t="s">
        <v>18</v>
      </c>
      <c r="F1059" s="46" t="s">
        <v>2104</v>
      </c>
      <c r="G1059" s="24" t="s">
        <v>1036</v>
      </c>
      <c r="H1059" s="48" t="n">
        <v>5</v>
      </c>
      <c r="I1059" s="46" t="s">
        <v>5053</v>
      </c>
      <c r="J1059" s="47" t="s">
        <v>5492</v>
      </c>
      <c r="K1059" s="24" t="s">
        <v>5493</v>
      </c>
      <c r="L1059" s="46" t="s">
        <v>5354</v>
      </c>
      <c r="M1059" s="24" t="s">
        <v>5477</v>
      </c>
      <c r="N1059" s="46" t="s">
        <v>5478</v>
      </c>
      <c r="O1059" s="24" t="s">
        <v>4891</v>
      </c>
      <c r="P1059" s="46" t="s">
        <v>4892</v>
      </c>
      <c r="Q1059" s="46"/>
      <c r="R1059" s="47" t="s">
        <v>44</v>
      </c>
      <c r="S1059" s="47"/>
    </row>
    <row r="1060" customFormat="false" ht="15" hidden="false" customHeight="true" outlineLevel="0" collapsed="false">
      <c r="A1060" s="49" t="n">
        <v>1071</v>
      </c>
      <c r="B1060" s="25" t="s">
        <v>5475</v>
      </c>
      <c r="C1060" s="50"/>
      <c r="D1060" s="50" t="s">
        <v>5401</v>
      </c>
      <c r="E1060" s="49" t="s">
        <v>18</v>
      </c>
      <c r="F1060" s="49" t="s">
        <v>2104</v>
      </c>
      <c r="G1060" s="25" t="s">
        <v>1036</v>
      </c>
      <c r="H1060" s="51" t="n">
        <v>5</v>
      </c>
      <c r="I1060" s="49" t="s">
        <v>5053</v>
      </c>
      <c r="J1060" s="50" t="s">
        <v>5494</v>
      </c>
      <c r="K1060" s="25" t="s">
        <v>5495</v>
      </c>
      <c r="L1060" s="49" t="s">
        <v>5357</v>
      </c>
      <c r="M1060" s="25" t="s">
        <v>5477</v>
      </c>
      <c r="N1060" s="49" t="s">
        <v>5478</v>
      </c>
      <c r="O1060" s="25" t="s">
        <v>4891</v>
      </c>
      <c r="P1060" s="49" t="s">
        <v>4892</v>
      </c>
      <c r="Q1060" s="49"/>
      <c r="R1060" s="50" t="s">
        <v>44</v>
      </c>
      <c r="S1060" s="50"/>
    </row>
    <row r="1061" customFormat="false" ht="15" hidden="false" customHeight="true" outlineLevel="0" collapsed="false">
      <c r="A1061" s="46" t="n">
        <v>1072</v>
      </c>
      <c r="B1061" s="24" t="s">
        <v>5475</v>
      </c>
      <c r="C1061" s="47"/>
      <c r="D1061" s="47" t="s">
        <v>5401</v>
      </c>
      <c r="E1061" s="46" t="s">
        <v>18</v>
      </c>
      <c r="F1061" s="46" t="s">
        <v>2104</v>
      </c>
      <c r="G1061" s="24" t="s">
        <v>1036</v>
      </c>
      <c r="H1061" s="48" t="n">
        <v>5</v>
      </c>
      <c r="I1061" s="46" t="s">
        <v>5053</v>
      </c>
      <c r="J1061" s="47" t="s">
        <v>5496</v>
      </c>
      <c r="K1061" s="24" t="s">
        <v>4337</v>
      </c>
      <c r="L1061" s="46" t="s">
        <v>5360</v>
      </c>
      <c r="M1061" s="24" t="s">
        <v>5477</v>
      </c>
      <c r="N1061" s="46" t="s">
        <v>5478</v>
      </c>
      <c r="O1061" s="24" t="s">
        <v>4891</v>
      </c>
      <c r="P1061" s="46" t="s">
        <v>4892</v>
      </c>
      <c r="Q1061" s="46"/>
      <c r="R1061" s="47" t="s">
        <v>44</v>
      </c>
      <c r="S1061" s="47"/>
    </row>
    <row r="1062" customFormat="false" ht="15" hidden="false" customHeight="true" outlineLevel="0" collapsed="false">
      <c r="A1062" s="49" t="n">
        <v>1073</v>
      </c>
      <c r="B1062" s="25" t="s">
        <v>5475</v>
      </c>
      <c r="C1062" s="50"/>
      <c r="D1062" s="50" t="s">
        <v>5401</v>
      </c>
      <c r="E1062" s="49" t="s">
        <v>18</v>
      </c>
      <c r="F1062" s="49" t="s">
        <v>2104</v>
      </c>
      <c r="G1062" s="25" t="s">
        <v>1036</v>
      </c>
      <c r="H1062" s="51" t="n">
        <v>5</v>
      </c>
      <c r="I1062" s="49" t="s">
        <v>5053</v>
      </c>
      <c r="J1062" s="50" t="s">
        <v>5497</v>
      </c>
      <c r="K1062" s="25" t="s">
        <v>5498</v>
      </c>
      <c r="L1062" s="49" t="s">
        <v>5363</v>
      </c>
      <c r="M1062" s="25" t="s">
        <v>5477</v>
      </c>
      <c r="N1062" s="49" t="s">
        <v>5478</v>
      </c>
      <c r="O1062" s="25" t="s">
        <v>4891</v>
      </c>
      <c r="P1062" s="49" t="s">
        <v>4892</v>
      </c>
      <c r="Q1062" s="49"/>
      <c r="R1062" s="50" t="s">
        <v>44</v>
      </c>
      <c r="S1062" s="50"/>
    </row>
    <row r="1063" customFormat="false" ht="15" hidden="false" customHeight="true" outlineLevel="0" collapsed="false">
      <c r="A1063" s="46" t="n">
        <v>1074</v>
      </c>
      <c r="B1063" s="24" t="s">
        <v>5475</v>
      </c>
      <c r="C1063" s="47"/>
      <c r="D1063" s="47" t="s">
        <v>5401</v>
      </c>
      <c r="E1063" s="46" t="s">
        <v>18</v>
      </c>
      <c r="F1063" s="46" t="s">
        <v>2104</v>
      </c>
      <c r="G1063" s="24" t="s">
        <v>1036</v>
      </c>
      <c r="H1063" s="48" t="n">
        <v>5</v>
      </c>
      <c r="I1063" s="46" t="s">
        <v>5053</v>
      </c>
      <c r="J1063" s="47" t="s">
        <v>5499</v>
      </c>
      <c r="K1063" s="24" t="s">
        <v>5500</v>
      </c>
      <c r="L1063" s="46" t="s">
        <v>5366</v>
      </c>
      <c r="M1063" s="24" t="s">
        <v>5477</v>
      </c>
      <c r="N1063" s="46" t="s">
        <v>5478</v>
      </c>
      <c r="O1063" s="24" t="s">
        <v>4891</v>
      </c>
      <c r="P1063" s="46" t="s">
        <v>4892</v>
      </c>
      <c r="Q1063" s="46"/>
      <c r="R1063" s="47" t="s">
        <v>44</v>
      </c>
      <c r="S1063" s="47"/>
    </row>
    <row r="1064" customFormat="false" ht="15" hidden="false" customHeight="true" outlineLevel="0" collapsed="false">
      <c r="A1064" s="49" t="n">
        <v>1075</v>
      </c>
      <c r="B1064" s="25" t="s">
        <v>5475</v>
      </c>
      <c r="C1064" s="50"/>
      <c r="D1064" s="50" t="s">
        <v>5401</v>
      </c>
      <c r="E1064" s="49" t="s">
        <v>18</v>
      </c>
      <c r="F1064" s="49" t="s">
        <v>2104</v>
      </c>
      <c r="G1064" s="25" t="s">
        <v>1036</v>
      </c>
      <c r="H1064" s="51" t="n">
        <v>5</v>
      </c>
      <c r="I1064" s="49" t="s">
        <v>5053</v>
      </c>
      <c r="J1064" s="50" t="s">
        <v>5501</v>
      </c>
      <c r="K1064" s="25" t="s">
        <v>5502</v>
      </c>
      <c r="L1064" s="49" t="s">
        <v>5369</v>
      </c>
      <c r="M1064" s="25" t="s">
        <v>5477</v>
      </c>
      <c r="N1064" s="49" t="s">
        <v>5478</v>
      </c>
      <c r="O1064" s="25" t="s">
        <v>4891</v>
      </c>
      <c r="P1064" s="49" t="s">
        <v>4892</v>
      </c>
      <c r="Q1064" s="49"/>
      <c r="R1064" s="50" t="s">
        <v>44</v>
      </c>
      <c r="S1064" s="50"/>
    </row>
    <row r="1065" customFormat="false" ht="15" hidden="false" customHeight="true" outlineLevel="0" collapsed="false">
      <c r="A1065" s="46" t="n">
        <v>1076</v>
      </c>
      <c r="B1065" s="24" t="s">
        <v>5475</v>
      </c>
      <c r="C1065" s="47"/>
      <c r="D1065" s="47" t="s">
        <v>5401</v>
      </c>
      <c r="E1065" s="46" t="s">
        <v>18</v>
      </c>
      <c r="F1065" s="46" t="s">
        <v>2104</v>
      </c>
      <c r="G1065" s="24" t="s">
        <v>1036</v>
      </c>
      <c r="H1065" s="48" t="n">
        <v>5</v>
      </c>
      <c r="I1065" s="46" t="s">
        <v>5053</v>
      </c>
      <c r="J1065" s="47" t="s">
        <v>5503</v>
      </c>
      <c r="K1065" s="24" t="s">
        <v>5504</v>
      </c>
      <c r="L1065" s="46" t="s">
        <v>5373</v>
      </c>
      <c r="M1065" s="24" t="s">
        <v>5477</v>
      </c>
      <c r="N1065" s="46" t="s">
        <v>5478</v>
      </c>
      <c r="O1065" s="24" t="s">
        <v>4891</v>
      </c>
      <c r="P1065" s="46" t="s">
        <v>4892</v>
      </c>
      <c r="Q1065" s="46"/>
      <c r="R1065" s="47" t="s">
        <v>44</v>
      </c>
      <c r="S1065" s="47"/>
    </row>
    <row r="1066" customFormat="false" ht="15" hidden="false" customHeight="true" outlineLevel="0" collapsed="false">
      <c r="A1066" s="49" t="n">
        <v>1077</v>
      </c>
      <c r="B1066" s="25" t="s">
        <v>5475</v>
      </c>
      <c r="C1066" s="50"/>
      <c r="D1066" s="50" t="s">
        <v>5401</v>
      </c>
      <c r="E1066" s="49" t="s">
        <v>18</v>
      </c>
      <c r="F1066" s="49" t="s">
        <v>2104</v>
      </c>
      <c r="G1066" s="25" t="s">
        <v>1036</v>
      </c>
      <c r="H1066" s="51" t="n">
        <v>5</v>
      </c>
      <c r="I1066" s="49" t="s">
        <v>5053</v>
      </c>
      <c r="J1066" s="50" t="s">
        <v>5505</v>
      </c>
      <c r="K1066" s="25" t="s">
        <v>3576</v>
      </c>
      <c r="L1066" s="49" t="s">
        <v>5376</v>
      </c>
      <c r="M1066" s="25" t="s">
        <v>5477</v>
      </c>
      <c r="N1066" s="49" t="s">
        <v>5478</v>
      </c>
      <c r="O1066" s="25" t="s">
        <v>4891</v>
      </c>
      <c r="P1066" s="49" t="s">
        <v>4892</v>
      </c>
      <c r="Q1066" s="49"/>
      <c r="R1066" s="50" t="s">
        <v>44</v>
      </c>
      <c r="S1066" s="50"/>
    </row>
    <row r="1067" customFormat="false" ht="15" hidden="false" customHeight="true" outlineLevel="0" collapsed="false">
      <c r="A1067" s="46" t="n">
        <v>1078</v>
      </c>
      <c r="B1067" s="24" t="s">
        <v>5475</v>
      </c>
      <c r="C1067" s="47"/>
      <c r="D1067" s="47" t="s">
        <v>5401</v>
      </c>
      <c r="E1067" s="46" t="s">
        <v>18</v>
      </c>
      <c r="F1067" s="46" t="s">
        <v>2104</v>
      </c>
      <c r="G1067" s="24" t="s">
        <v>1036</v>
      </c>
      <c r="H1067" s="48" t="n">
        <v>5</v>
      </c>
      <c r="I1067" s="46" t="s">
        <v>5053</v>
      </c>
      <c r="J1067" s="47" t="s">
        <v>5506</v>
      </c>
      <c r="K1067" s="24" t="s">
        <v>5507</v>
      </c>
      <c r="L1067" s="46" t="s">
        <v>5379</v>
      </c>
      <c r="M1067" s="24" t="s">
        <v>5477</v>
      </c>
      <c r="N1067" s="46" t="s">
        <v>5478</v>
      </c>
      <c r="O1067" s="24" t="s">
        <v>4891</v>
      </c>
      <c r="P1067" s="46" t="s">
        <v>4892</v>
      </c>
      <c r="Q1067" s="46"/>
      <c r="R1067" s="47" t="s">
        <v>44</v>
      </c>
      <c r="S1067" s="47"/>
    </row>
    <row r="1068" customFormat="false" ht="15" hidden="false" customHeight="true" outlineLevel="0" collapsed="false">
      <c r="A1068" s="49" t="n">
        <v>1079</v>
      </c>
      <c r="B1068" s="25" t="s">
        <v>5475</v>
      </c>
      <c r="C1068" s="50"/>
      <c r="D1068" s="50" t="s">
        <v>5401</v>
      </c>
      <c r="E1068" s="49" t="s">
        <v>18</v>
      </c>
      <c r="F1068" s="49" t="s">
        <v>2104</v>
      </c>
      <c r="G1068" s="25" t="s">
        <v>1036</v>
      </c>
      <c r="H1068" s="51" t="n">
        <v>5</v>
      </c>
      <c r="I1068" s="49" t="s">
        <v>5203</v>
      </c>
      <c r="J1068" s="50" t="s">
        <v>5508</v>
      </c>
      <c r="K1068" s="25" t="s">
        <v>3235</v>
      </c>
      <c r="L1068" s="49" t="s">
        <v>5381</v>
      </c>
      <c r="M1068" s="25" t="s">
        <v>5477</v>
      </c>
      <c r="N1068" s="49" t="s">
        <v>5478</v>
      </c>
      <c r="O1068" s="25" t="s">
        <v>4891</v>
      </c>
      <c r="P1068" s="49" t="s">
        <v>4892</v>
      </c>
      <c r="Q1068" s="49"/>
      <c r="R1068" s="50" t="s">
        <v>44</v>
      </c>
      <c r="S1068" s="50"/>
    </row>
    <row r="1069" customFormat="false" ht="15" hidden="false" customHeight="true" outlineLevel="0" collapsed="false">
      <c r="A1069" s="46" t="n">
        <v>1080</v>
      </c>
      <c r="B1069" s="24" t="s">
        <v>5475</v>
      </c>
      <c r="C1069" s="47"/>
      <c r="D1069" s="47" t="s">
        <v>5401</v>
      </c>
      <c r="E1069" s="46" t="s">
        <v>18</v>
      </c>
      <c r="F1069" s="46" t="s">
        <v>2104</v>
      </c>
      <c r="G1069" s="24" t="s">
        <v>1036</v>
      </c>
      <c r="H1069" s="48" t="n">
        <v>5</v>
      </c>
      <c r="I1069" s="46" t="s">
        <v>5203</v>
      </c>
      <c r="J1069" s="47" t="s">
        <v>5509</v>
      </c>
      <c r="K1069" s="24" t="s">
        <v>5510</v>
      </c>
      <c r="L1069" s="46" t="s">
        <v>5384</v>
      </c>
      <c r="M1069" s="24" t="s">
        <v>5477</v>
      </c>
      <c r="N1069" s="46" t="s">
        <v>5478</v>
      </c>
      <c r="O1069" s="24" t="s">
        <v>4891</v>
      </c>
      <c r="P1069" s="46" t="s">
        <v>4892</v>
      </c>
      <c r="Q1069" s="46"/>
      <c r="R1069" s="47" t="s">
        <v>44</v>
      </c>
      <c r="S1069" s="47"/>
    </row>
    <row r="1070" customFormat="false" ht="15" hidden="false" customHeight="true" outlineLevel="0" collapsed="false">
      <c r="A1070" s="49" t="n">
        <v>1081</v>
      </c>
      <c r="B1070" s="25" t="s">
        <v>5511</v>
      </c>
      <c r="C1070" s="50"/>
      <c r="D1070" s="50" t="s">
        <v>5401</v>
      </c>
      <c r="E1070" s="49" t="s">
        <v>18</v>
      </c>
      <c r="F1070" s="49" t="s">
        <v>2104</v>
      </c>
      <c r="G1070" s="25" t="s">
        <v>1036</v>
      </c>
      <c r="H1070" s="51" t="n">
        <v>5</v>
      </c>
      <c r="I1070" s="49" t="s">
        <v>5203</v>
      </c>
      <c r="J1070" s="50" t="s">
        <v>5512</v>
      </c>
      <c r="K1070" s="25" t="s">
        <v>4517</v>
      </c>
      <c r="L1070" s="49" t="s">
        <v>5387</v>
      </c>
      <c r="M1070" s="25" t="s">
        <v>5418</v>
      </c>
      <c r="N1070" s="49" t="s">
        <v>5419</v>
      </c>
      <c r="O1070" s="25" t="s">
        <v>4891</v>
      </c>
      <c r="P1070" s="49" t="s">
        <v>4892</v>
      </c>
      <c r="Q1070" s="49"/>
      <c r="R1070" s="50" t="s">
        <v>44</v>
      </c>
      <c r="S1070" s="50"/>
    </row>
    <row r="1071" customFormat="false" ht="15" hidden="false" customHeight="true" outlineLevel="0" collapsed="false">
      <c r="A1071" s="46" t="n">
        <v>1082</v>
      </c>
      <c r="B1071" s="24" t="s">
        <v>5415</v>
      </c>
      <c r="C1071" s="47"/>
      <c r="D1071" s="47" t="s">
        <v>5401</v>
      </c>
      <c r="E1071" s="46" t="s">
        <v>18</v>
      </c>
      <c r="F1071" s="46" t="s">
        <v>2104</v>
      </c>
      <c r="G1071" s="24" t="s">
        <v>1036</v>
      </c>
      <c r="H1071" s="48" t="n">
        <v>5</v>
      </c>
      <c r="I1071" s="46" t="s">
        <v>5203</v>
      </c>
      <c r="J1071" s="47" t="s">
        <v>5513</v>
      </c>
      <c r="K1071" s="24" t="s">
        <v>5514</v>
      </c>
      <c r="L1071" s="46" t="s">
        <v>5390</v>
      </c>
      <c r="M1071" s="24" t="s">
        <v>5418</v>
      </c>
      <c r="N1071" s="46" t="s">
        <v>5419</v>
      </c>
      <c r="O1071" s="24" t="s">
        <v>4891</v>
      </c>
      <c r="P1071" s="46" t="s">
        <v>4892</v>
      </c>
      <c r="Q1071" s="46"/>
      <c r="R1071" s="47" t="s">
        <v>44</v>
      </c>
      <c r="S1071" s="47"/>
    </row>
    <row r="1072" customFormat="false" ht="15" hidden="false" customHeight="true" outlineLevel="0" collapsed="false">
      <c r="A1072" s="49" t="n">
        <v>1083</v>
      </c>
      <c r="B1072" s="25" t="s">
        <v>5415</v>
      </c>
      <c r="C1072" s="50"/>
      <c r="D1072" s="50" t="s">
        <v>5401</v>
      </c>
      <c r="E1072" s="49" t="s">
        <v>18</v>
      </c>
      <c r="F1072" s="49" t="s">
        <v>2104</v>
      </c>
      <c r="G1072" s="25" t="s">
        <v>1036</v>
      </c>
      <c r="H1072" s="51" t="n">
        <v>5</v>
      </c>
      <c r="I1072" s="49" t="s">
        <v>5203</v>
      </c>
      <c r="J1072" s="50" t="s">
        <v>5515</v>
      </c>
      <c r="K1072" s="25" t="s">
        <v>5516</v>
      </c>
      <c r="L1072" s="49" t="s">
        <v>5393</v>
      </c>
      <c r="M1072" s="25" t="s">
        <v>5418</v>
      </c>
      <c r="N1072" s="49" t="s">
        <v>5419</v>
      </c>
      <c r="O1072" s="25" t="s">
        <v>4891</v>
      </c>
      <c r="P1072" s="49" t="s">
        <v>4892</v>
      </c>
      <c r="Q1072" s="49"/>
      <c r="R1072" s="50" t="s">
        <v>44</v>
      </c>
      <c r="S1072" s="50"/>
    </row>
    <row r="1073" customFormat="false" ht="15" hidden="false" customHeight="true" outlineLevel="0" collapsed="false">
      <c r="A1073" s="46" t="n">
        <v>1084</v>
      </c>
      <c r="B1073" s="24" t="s">
        <v>5415</v>
      </c>
      <c r="C1073" s="47"/>
      <c r="D1073" s="47" t="s">
        <v>5401</v>
      </c>
      <c r="E1073" s="46" t="s">
        <v>18</v>
      </c>
      <c r="F1073" s="46" t="s">
        <v>2104</v>
      </c>
      <c r="G1073" s="24" t="s">
        <v>1036</v>
      </c>
      <c r="H1073" s="48" t="n">
        <v>5</v>
      </c>
      <c r="I1073" s="46" t="s">
        <v>5203</v>
      </c>
      <c r="J1073" s="47" t="s">
        <v>5517</v>
      </c>
      <c r="K1073" s="24" t="s">
        <v>5518</v>
      </c>
      <c r="L1073" s="46" t="s">
        <v>5396</v>
      </c>
      <c r="M1073" s="24" t="s">
        <v>5418</v>
      </c>
      <c r="N1073" s="46" t="s">
        <v>5419</v>
      </c>
      <c r="O1073" s="24" t="s">
        <v>4891</v>
      </c>
      <c r="P1073" s="46" t="s">
        <v>4892</v>
      </c>
      <c r="Q1073" s="46"/>
      <c r="R1073" s="47" t="s">
        <v>44</v>
      </c>
      <c r="S1073" s="47"/>
    </row>
    <row r="1074" customFormat="false" ht="15" hidden="false" customHeight="true" outlineLevel="0" collapsed="false">
      <c r="A1074" s="49" t="n">
        <v>1085</v>
      </c>
      <c r="B1074" s="25" t="s">
        <v>5455</v>
      </c>
      <c r="C1074" s="50"/>
      <c r="D1074" s="50" t="s">
        <v>5401</v>
      </c>
      <c r="E1074" s="49" t="s">
        <v>18</v>
      </c>
      <c r="F1074" s="49" t="s">
        <v>2104</v>
      </c>
      <c r="G1074" s="25" t="s">
        <v>1036</v>
      </c>
      <c r="H1074" s="51" t="n">
        <v>5</v>
      </c>
      <c r="I1074" s="49" t="s">
        <v>5203</v>
      </c>
      <c r="J1074" s="50" t="s">
        <v>5519</v>
      </c>
      <c r="K1074" s="25" t="s">
        <v>5520</v>
      </c>
      <c r="L1074" s="49" t="s">
        <v>5399</v>
      </c>
      <c r="M1074" s="25" t="s">
        <v>5418</v>
      </c>
      <c r="N1074" s="49" t="s">
        <v>5419</v>
      </c>
      <c r="O1074" s="25" t="s">
        <v>4891</v>
      </c>
      <c r="P1074" s="49" t="s">
        <v>4892</v>
      </c>
      <c r="Q1074" s="49"/>
      <c r="R1074" s="50" t="s">
        <v>44</v>
      </c>
      <c r="S1074" s="50"/>
    </row>
    <row r="1075" customFormat="false" ht="15" hidden="false" customHeight="true" outlineLevel="0" collapsed="false">
      <c r="A1075" s="46" t="n">
        <v>1086</v>
      </c>
      <c r="B1075" s="24" t="s">
        <v>5521</v>
      </c>
      <c r="C1075" s="47"/>
      <c r="D1075" s="47" t="s">
        <v>5522</v>
      </c>
      <c r="E1075" s="46" t="s">
        <v>18</v>
      </c>
      <c r="F1075" s="46" t="s">
        <v>2104</v>
      </c>
      <c r="G1075" s="24" t="s">
        <v>5523</v>
      </c>
      <c r="H1075" s="48" t="n">
        <v>5</v>
      </c>
      <c r="I1075" s="46" t="s">
        <v>4886</v>
      </c>
      <c r="J1075" s="47" t="s">
        <v>5524</v>
      </c>
      <c r="K1075" s="24" t="s">
        <v>5525</v>
      </c>
      <c r="L1075" s="46" t="s">
        <v>5526</v>
      </c>
      <c r="M1075" s="24" t="s">
        <v>4950</v>
      </c>
      <c r="N1075" s="46" t="s">
        <v>5527</v>
      </c>
      <c r="O1075" s="24" t="s">
        <v>5528</v>
      </c>
      <c r="P1075" s="46" t="s">
        <v>5529</v>
      </c>
      <c r="Q1075" s="46"/>
      <c r="R1075" s="47" t="s">
        <v>44</v>
      </c>
      <c r="S1075" s="47"/>
    </row>
    <row r="1076" customFormat="false" ht="15" hidden="false" customHeight="true" outlineLevel="0" collapsed="false">
      <c r="A1076" s="49" t="n">
        <v>1087</v>
      </c>
      <c r="B1076" s="25" t="s">
        <v>5521</v>
      </c>
      <c r="C1076" s="50"/>
      <c r="D1076" s="50" t="s">
        <v>5522</v>
      </c>
      <c r="E1076" s="49" t="s">
        <v>18</v>
      </c>
      <c r="F1076" s="49" t="s">
        <v>2104</v>
      </c>
      <c r="G1076" s="25" t="s">
        <v>5523</v>
      </c>
      <c r="H1076" s="51" t="n">
        <v>5</v>
      </c>
      <c r="I1076" s="49" t="s">
        <v>4886</v>
      </c>
      <c r="J1076" s="50" t="s">
        <v>5530</v>
      </c>
      <c r="K1076" s="25" t="s">
        <v>5531</v>
      </c>
      <c r="L1076" s="49" t="s">
        <v>5532</v>
      </c>
      <c r="M1076" s="25" t="s">
        <v>4950</v>
      </c>
      <c r="N1076" s="49" t="s">
        <v>5527</v>
      </c>
      <c r="O1076" s="25" t="s">
        <v>5528</v>
      </c>
      <c r="P1076" s="49" t="s">
        <v>5529</v>
      </c>
      <c r="Q1076" s="49"/>
      <c r="R1076" s="50" t="s">
        <v>44</v>
      </c>
      <c r="S1076" s="50"/>
    </row>
    <row r="1077" customFormat="false" ht="15" hidden="false" customHeight="true" outlineLevel="0" collapsed="false">
      <c r="A1077" s="46" t="n">
        <v>1088</v>
      </c>
      <c r="B1077" s="24" t="s">
        <v>5533</v>
      </c>
      <c r="C1077" s="47"/>
      <c r="D1077" s="47" t="s">
        <v>5522</v>
      </c>
      <c r="E1077" s="46" t="s">
        <v>18</v>
      </c>
      <c r="F1077" s="46" t="s">
        <v>2104</v>
      </c>
      <c r="G1077" s="24" t="s">
        <v>5523</v>
      </c>
      <c r="H1077" s="48" t="n">
        <v>5</v>
      </c>
      <c r="I1077" s="46" t="s">
        <v>4886</v>
      </c>
      <c r="J1077" s="47" t="s">
        <v>5534</v>
      </c>
      <c r="K1077" s="24" t="s">
        <v>5535</v>
      </c>
      <c r="L1077" s="46" t="s">
        <v>5536</v>
      </c>
      <c r="M1077" s="24" t="s">
        <v>4950</v>
      </c>
      <c r="N1077" s="46" t="s">
        <v>5527</v>
      </c>
      <c r="O1077" s="24" t="s">
        <v>5528</v>
      </c>
      <c r="P1077" s="46" t="s">
        <v>5529</v>
      </c>
      <c r="Q1077" s="46"/>
      <c r="R1077" s="47" t="s">
        <v>44</v>
      </c>
      <c r="S1077" s="47"/>
    </row>
    <row r="1078" customFormat="false" ht="15" hidden="false" customHeight="true" outlineLevel="0" collapsed="false">
      <c r="A1078" s="49" t="n">
        <v>1089</v>
      </c>
      <c r="B1078" s="25" t="s">
        <v>5537</v>
      </c>
      <c r="C1078" s="50"/>
      <c r="D1078" s="50" t="s">
        <v>5522</v>
      </c>
      <c r="E1078" s="49" t="s">
        <v>18</v>
      </c>
      <c r="F1078" s="49" t="s">
        <v>2104</v>
      </c>
      <c r="G1078" s="25" t="s">
        <v>5523</v>
      </c>
      <c r="H1078" s="51" t="n">
        <v>5</v>
      </c>
      <c r="I1078" s="49" t="s">
        <v>4886</v>
      </c>
      <c r="J1078" s="50" t="s">
        <v>5538</v>
      </c>
      <c r="K1078" s="25" t="s">
        <v>5539</v>
      </c>
      <c r="L1078" s="49" t="s">
        <v>5540</v>
      </c>
      <c r="M1078" s="25" t="s">
        <v>5541</v>
      </c>
      <c r="N1078" s="49" t="s">
        <v>5542</v>
      </c>
      <c r="O1078" s="25" t="s">
        <v>5528</v>
      </c>
      <c r="P1078" s="49" t="s">
        <v>5529</v>
      </c>
      <c r="Q1078" s="49"/>
      <c r="R1078" s="50" t="s">
        <v>44</v>
      </c>
      <c r="S1078" s="50"/>
    </row>
    <row r="1079" customFormat="false" ht="15" hidden="false" customHeight="true" outlineLevel="0" collapsed="false">
      <c r="A1079" s="46" t="n">
        <v>1090</v>
      </c>
      <c r="B1079" s="24" t="s">
        <v>5537</v>
      </c>
      <c r="C1079" s="47"/>
      <c r="D1079" s="47" t="s">
        <v>5522</v>
      </c>
      <c r="E1079" s="46" t="s">
        <v>18</v>
      </c>
      <c r="F1079" s="46" t="s">
        <v>2104</v>
      </c>
      <c r="G1079" s="24" t="s">
        <v>5523</v>
      </c>
      <c r="H1079" s="48" t="n">
        <v>5</v>
      </c>
      <c r="I1079" s="46" t="s">
        <v>4886</v>
      </c>
      <c r="J1079" s="47" t="s">
        <v>5543</v>
      </c>
      <c r="K1079" s="24" t="s">
        <v>5544</v>
      </c>
      <c r="L1079" s="46" t="s">
        <v>5545</v>
      </c>
      <c r="M1079" s="24" t="s">
        <v>5541</v>
      </c>
      <c r="N1079" s="46" t="s">
        <v>5542</v>
      </c>
      <c r="O1079" s="24" t="s">
        <v>5528</v>
      </c>
      <c r="P1079" s="46" t="s">
        <v>5529</v>
      </c>
      <c r="Q1079" s="46"/>
      <c r="R1079" s="47" t="s">
        <v>44</v>
      </c>
      <c r="S1079" s="47"/>
    </row>
    <row r="1080" customFormat="false" ht="15" hidden="false" customHeight="true" outlineLevel="0" collapsed="false">
      <c r="A1080" s="49" t="n">
        <v>1091</v>
      </c>
      <c r="B1080" s="25" t="s">
        <v>5537</v>
      </c>
      <c r="C1080" s="50"/>
      <c r="D1080" s="50" t="s">
        <v>5522</v>
      </c>
      <c r="E1080" s="49" t="s">
        <v>18</v>
      </c>
      <c r="F1080" s="49" t="s">
        <v>2104</v>
      </c>
      <c r="G1080" s="25" t="s">
        <v>5523</v>
      </c>
      <c r="H1080" s="51" t="n">
        <v>5</v>
      </c>
      <c r="I1080" s="49" t="s">
        <v>4886</v>
      </c>
      <c r="J1080" s="50" t="s">
        <v>5546</v>
      </c>
      <c r="K1080" s="25" t="s">
        <v>5547</v>
      </c>
      <c r="L1080" s="49" t="s">
        <v>5548</v>
      </c>
      <c r="M1080" s="25" t="s">
        <v>5541</v>
      </c>
      <c r="N1080" s="49" t="s">
        <v>5542</v>
      </c>
      <c r="O1080" s="25" t="s">
        <v>5528</v>
      </c>
      <c r="P1080" s="49" t="s">
        <v>5529</v>
      </c>
      <c r="Q1080" s="49"/>
      <c r="R1080" s="50" t="s">
        <v>44</v>
      </c>
      <c r="S1080" s="50"/>
    </row>
    <row r="1081" customFormat="false" ht="15" hidden="false" customHeight="true" outlineLevel="0" collapsed="false">
      <c r="A1081" s="46" t="n">
        <v>1092</v>
      </c>
      <c r="B1081" s="24" t="s">
        <v>5522</v>
      </c>
      <c r="C1081" s="47"/>
      <c r="D1081" s="47" t="s">
        <v>5522</v>
      </c>
      <c r="E1081" s="46" t="s">
        <v>18</v>
      </c>
      <c r="F1081" s="46" t="s">
        <v>2104</v>
      </c>
      <c r="G1081" s="24" t="s">
        <v>5523</v>
      </c>
      <c r="H1081" s="48" t="n">
        <v>5</v>
      </c>
      <c r="I1081" s="46" t="s">
        <v>4886</v>
      </c>
      <c r="J1081" s="47" t="s">
        <v>5549</v>
      </c>
      <c r="K1081" s="24" t="s">
        <v>5550</v>
      </c>
      <c r="L1081" s="46" t="s">
        <v>5551</v>
      </c>
      <c r="M1081" s="24" t="s">
        <v>5541</v>
      </c>
      <c r="N1081" s="46" t="s">
        <v>5542</v>
      </c>
      <c r="O1081" s="24" t="s">
        <v>5528</v>
      </c>
      <c r="P1081" s="46" t="s">
        <v>5529</v>
      </c>
      <c r="Q1081" s="46"/>
      <c r="R1081" s="47" t="s">
        <v>44</v>
      </c>
      <c r="S1081" s="47"/>
    </row>
    <row r="1082" customFormat="false" ht="15" hidden="false" customHeight="true" outlineLevel="0" collapsed="false">
      <c r="A1082" s="49" t="n">
        <v>1093</v>
      </c>
      <c r="B1082" s="25" t="s">
        <v>5522</v>
      </c>
      <c r="C1082" s="50"/>
      <c r="D1082" s="50" t="s">
        <v>5522</v>
      </c>
      <c r="E1082" s="49" t="s">
        <v>18</v>
      </c>
      <c r="F1082" s="49" t="s">
        <v>2104</v>
      </c>
      <c r="G1082" s="25" t="s">
        <v>5523</v>
      </c>
      <c r="H1082" s="51" t="n">
        <v>5</v>
      </c>
      <c r="I1082" s="49" t="s">
        <v>4886</v>
      </c>
      <c r="J1082" s="50" t="s">
        <v>5552</v>
      </c>
      <c r="K1082" s="25" t="s">
        <v>5553</v>
      </c>
      <c r="L1082" s="49" t="s">
        <v>5554</v>
      </c>
      <c r="M1082" s="25" t="s">
        <v>5541</v>
      </c>
      <c r="N1082" s="49" t="s">
        <v>5542</v>
      </c>
      <c r="O1082" s="25" t="s">
        <v>5528</v>
      </c>
      <c r="P1082" s="49" t="s">
        <v>5529</v>
      </c>
      <c r="Q1082" s="49"/>
      <c r="R1082" s="50" t="s">
        <v>44</v>
      </c>
      <c r="S1082" s="50"/>
    </row>
    <row r="1083" customFormat="false" ht="15" hidden="false" customHeight="true" outlineLevel="0" collapsed="false">
      <c r="A1083" s="46" t="n">
        <v>1094</v>
      </c>
      <c r="B1083" s="24" t="s">
        <v>5522</v>
      </c>
      <c r="C1083" s="47"/>
      <c r="D1083" s="47" t="s">
        <v>5522</v>
      </c>
      <c r="E1083" s="46" t="s">
        <v>18</v>
      </c>
      <c r="F1083" s="46" t="s">
        <v>2104</v>
      </c>
      <c r="G1083" s="24" t="s">
        <v>5523</v>
      </c>
      <c r="H1083" s="48" t="n">
        <v>5</v>
      </c>
      <c r="I1083" s="46" t="s">
        <v>4886</v>
      </c>
      <c r="J1083" s="47" t="s">
        <v>5555</v>
      </c>
      <c r="K1083" s="24" t="s">
        <v>4337</v>
      </c>
      <c r="L1083" s="46" t="s">
        <v>5556</v>
      </c>
      <c r="M1083" s="24" t="s">
        <v>5541</v>
      </c>
      <c r="N1083" s="46" t="s">
        <v>5542</v>
      </c>
      <c r="O1083" s="24" t="s">
        <v>5528</v>
      </c>
      <c r="P1083" s="46" t="s">
        <v>5529</v>
      </c>
      <c r="Q1083" s="46"/>
      <c r="R1083" s="47" t="s">
        <v>44</v>
      </c>
      <c r="S1083" s="47"/>
    </row>
    <row r="1084" customFormat="false" ht="15" hidden="false" customHeight="true" outlineLevel="0" collapsed="false">
      <c r="A1084" s="49" t="n">
        <v>1095</v>
      </c>
      <c r="B1084" s="25" t="s">
        <v>5522</v>
      </c>
      <c r="C1084" s="50"/>
      <c r="D1084" s="50" t="s">
        <v>5522</v>
      </c>
      <c r="E1084" s="49" t="s">
        <v>18</v>
      </c>
      <c r="F1084" s="49" t="s">
        <v>2104</v>
      </c>
      <c r="G1084" s="25" t="s">
        <v>5523</v>
      </c>
      <c r="H1084" s="51" t="n">
        <v>5</v>
      </c>
      <c r="I1084" s="49" t="s">
        <v>4886</v>
      </c>
      <c r="J1084" s="50" t="s">
        <v>5557</v>
      </c>
      <c r="K1084" s="25" t="s">
        <v>5558</v>
      </c>
      <c r="L1084" s="49" t="s">
        <v>5559</v>
      </c>
      <c r="M1084" s="25" t="s">
        <v>5541</v>
      </c>
      <c r="N1084" s="49" t="s">
        <v>5542</v>
      </c>
      <c r="O1084" s="25" t="s">
        <v>5528</v>
      </c>
      <c r="P1084" s="49" t="s">
        <v>5529</v>
      </c>
      <c r="Q1084" s="49"/>
      <c r="R1084" s="50" t="s">
        <v>44</v>
      </c>
      <c r="S1084" s="50"/>
    </row>
    <row r="1085" customFormat="false" ht="15" hidden="false" customHeight="true" outlineLevel="0" collapsed="false">
      <c r="A1085" s="46" t="n">
        <v>1096</v>
      </c>
      <c r="B1085" s="24" t="s">
        <v>5522</v>
      </c>
      <c r="C1085" s="47"/>
      <c r="D1085" s="47" t="s">
        <v>5522</v>
      </c>
      <c r="E1085" s="46" t="s">
        <v>18</v>
      </c>
      <c r="F1085" s="46" t="s">
        <v>2104</v>
      </c>
      <c r="G1085" s="24" t="s">
        <v>5523</v>
      </c>
      <c r="H1085" s="48" t="n">
        <v>5</v>
      </c>
      <c r="I1085" s="46" t="s">
        <v>4886</v>
      </c>
      <c r="J1085" s="47" t="s">
        <v>5560</v>
      </c>
      <c r="K1085" s="24" t="s">
        <v>3333</v>
      </c>
      <c r="L1085" s="46" t="s">
        <v>5561</v>
      </c>
      <c r="M1085" s="24" t="s">
        <v>5541</v>
      </c>
      <c r="N1085" s="46" t="s">
        <v>5542</v>
      </c>
      <c r="O1085" s="24" t="s">
        <v>5528</v>
      </c>
      <c r="P1085" s="46" t="s">
        <v>5529</v>
      </c>
      <c r="Q1085" s="46"/>
      <c r="R1085" s="47" t="s">
        <v>44</v>
      </c>
      <c r="S1085" s="47"/>
    </row>
    <row r="1086" customFormat="false" ht="15" hidden="false" customHeight="true" outlineLevel="0" collapsed="false">
      <c r="A1086" s="49" t="n">
        <v>1097</v>
      </c>
      <c r="B1086" s="25" t="s">
        <v>5562</v>
      </c>
      <c r="C1086" s="50"/>
      <c r="D1086" s="50" t="s">
        <v>5522</v>
      </c>
      <c r="E1086" s="49" t="s">
        <v>18</v>
      </c>
      <c r="F1086" s="49" t="s">
        <v>2104</v>
      </c>
      <c r="G1086" s="25" t="s">
        <v>5523</v>
      </c>
      <c r="H1086" s="51" t="n">
        <v>5</v>
      </c>
      <c r="I1086" s="49" t="s">
        <v>4886</v>
      </c>
      <c r="J1086" s="50" t="s">
        <v>5563</v>
      </c>
      <c r="K1086" s="25" t="s">
        <v>5564</v>
      </c>
      <c r="L1086" s="49" t="s">
        <v>5565</v>
      </c>
      <c r="M1086" s="25" t="s">
        <v>4950</v>
      </c>
      <c r="N1086" s="49" t="s">
        <v>5527</v>
      </c>
      <c r="O1086" s="25" t="s">
        <v>5528</v>
      </c>
      <c r="P1086" s="49" t="s">
        <v>5529</v>
      </c>
      <c r="Q1086" s="49"/>
      <c r="R1086" s="50" t="s">
        <v>44</v>
      </c>
      <c r="S1086" s="50"/>
    </row>
    <row r="1087" customFormat="false" ht="15" hidden="false" customHeight="true" outlineLevel="0" collapsed="false">
      <c r="A1087" s="46" t="n">
        <v>1098</v>
      </c>
      <c r="B1087" s="24" t="s">
        <v>5562</v>
      </c>
      <c r="C1087" s="47"/>
      <c r="D1087" s="47" t="s">
        <v>5522</v>
      </c>
      <c r="E1087" s="46" t="s">
        <v>18</v>
      </c>
      <c r="F1087" s="46" t="s">
        <v>2104</v>
      </c>
      <c r="G1087" s="24" t="s">
        <v>5523</v>
      </c>
      <c r="H1087" s="48" t="n">
        <v>5</v>
      </c>
      <c r="I1087" s="46" t="s">
        <v>4886</v>
      </c>
      <c r="J1087" s="47" t="s">
        <v>5566</v>
      </c>
      <c r="K1087" s="24" t="s">
        <v>5567</v>
      </c>
      <c r="L1087" s="46" t="s">
        <v>5568</v>
      </c>
      <c r="M1087" s="24" t="s">
        <v>4950</v>
      </c>
      <c r="N1087" s="46" t="s">
        <v>5527</v>
      </c>
      <c r="O1087" s="24" t="s">
        <v>5528</v>
      </c>
      <c r="P1087" s="46" t="s">
        <v>5529</v>
      </c>
      <c r="Q1087" s="46"/>
      <c r="R1087" s="47" t="s">
        <v>44</v>
      </c>
      <c r="S1087" s="47"/>
    </row>
    <row r="1088" customFormat="false" ht="15" hidden="false" customHeight="true" outlineLevel="0" collapsed="false">
      <c r="A1088" s="49" t="n">
        <v>1099</v>
      </c>
      <c r="B1088" s="25" t="s">
        <v>5562</v>
      </c>
      <c r="C1088" s="50"/>
      <c r="D1088" s="50" t="s">
        <v>5522</v>
      </c>
      <c r="E1088" s="49" t="s">
        <v>18</v>
      </c>
      <c r="F1088" s="49" t="s">
        <v>2104</v>
      </c>
      <c r="G1088" s="25" t="s">
        <v>5523</v>
      </c>
      <c r="H1088" s="51" t="n">
        <v>5</v>
      </c>
      <c r="I1088" s="49" t="s">
        <v>4886</v>
      </c>
      <c r="J1088" s="50" t="s">
        <v>5569</v>
      </c>
      <c r="K1088" s="25" t="s">
        <v>5469</v>
      </c>
      <c r="L1088" s="49" t="s">
        <v>5570</v>
      </c>
      <c r="M1088" s="25" t="s">
        <v>4950</v>
      </c>
      <c r="N1088" s="49" t="s">
        <v>5527</v>
      </c>
      <c r="O1088" s="25" t="s">
        <v>5528</v>
      </c>
      <c r="P1088" s="49" t="s">
        <v>5529</v>
      </c>
      <c r="Q1088" s="49"/>
      <c r="R1088" s="50" t="s">
        <v>44</v>
      </c>
      <c r="S1088" s="52" t="s">
        <v>65</v>
      </c>
    </row>
    <row r="1089" customFormat="false" ht="15" hidden="false" customHeight="true" outlineLevel="0" collapsed="false">
      <c r="A1089" s="46" t="n">
        <v>1100</v>
      </c>
      <c r="B1089" s="24" t="s">
        <v>5562</v>
      </c>
      <c r="C1089" s="47"/>
      <c r="D1089" s="47" t="s">
        <v>5522</v>
      </c>
      <c r="E1089" s="46" t="s">
        <v>18</v>
      </c>
      <c r="F1089" s="46" t="s">
        <v>2104</v>
      </c>
      <c r="G1089" s="24" t="s">
        <v>5523</v>
      </c>
      <c r="H1089" s="48" t="n">
        <v>5</v>
      </c>
      <c r="I1089" s="46" t="s">
        <v>4948</v>
      </c>
      <c r="J1089" s="47" t="s">
        <v>5571</v>
      </c>
      <c r="K1089" s="24" t="s">
        <v>5482</v>
      </c>
      <c r="L1089" s="46" t="s">
        <v>5572</v>
      </c>
      <c r="M1089" s="24" t="s">
        <v>4950</v>
      </c>
      <c r="N1089" s="46" t="s">
        <v>5527</v>
      </c>
      <c r="O1089" s="24" t="s">
        <v>5528</v>
      </c>
      <c r="P1089" s="46" t="s">
        <v>5529</v>
      </c>
      <c r="Q1089" s="46"/>
      <c r="R1089" s="47" t="s">
        <v>44</v>
      </c>
      <c r="S1089" s="47"/>
    </row>
    <row r="1090" customFormat="false" ht="15" hidden="false" customHeight="true" outlineLevel="0" collapsed="false">
      <c r="A1090" s="49" t="n">
        <v>1101</v>
      </c>
      <c r="B1090" s="25" t="s">
        <v>5562</v>
      </c>
      <c r="C1090" s="50"/>
      <c r="D1090" s="50" t="s">
        <v>5522</v>
      </c>
      <c r="E1090" s="49" t="s">
        <v>18</v>
      </c>
      <c r="F1090" s="49" t="s">
        <v>2104</v>
      </c>
      <c r="G1090" s="25" t="s">
        <v>5523</v>
      </c>
      <c r="H1090" s="51" t="n">
        <v>5</v>
      </c>
      <c r="I1090" s="49" t="s">
        <v>4948</v>
      </c>
      <c r="J1090" s="50" t="s">
        <v>5573</v>
      </c>
      <c r="K1090" s="25" t="s">
        <v>5574</v>
      </c>
      <c r="L1090" s="49" t="s">
        <v>5575</v>
      </c>
      <c r="M1090" s="25" t="s">
        <v>4950</v>
      </c>
      <c r="N1090" s="49" t="s">
        <v>5527</v>
      </c>
      <c r="O1090" s="25" t="s">
        <v>5528</v>
      </c>
      <c r="P1090" s="49" t="s">
        <v>5529</v>
      </c>
      <c r="Q1090" s="49"/>
      <c r="R1090" s="50" t="s">
        <v>44</v>
      </c>
      <c r="S1090" s="50"/>
    </row>
    <row r="1091" customFormat="false" ht="15" hidden="false" customHeight="true" outlineLevel="0" collapsed="false">
      <c r="A1091" s="46" t="n">
        <v>1102</v>
      </c>
      <c r="B1091" s="24" t="s">
        <v>5562</v>
      </c>
      <c r="C1091" s="47"/>
      <c r="D1091" s="47" t="s">
        <v>5522</v>
      </c>
      <c r="E1091" s="46" t="s">
        <v>18</v>
      </c>
      <c r="F1091" s="46" t="s">
        <v>2104</v>
      </c>
      <c r="G1091" s="24" t="s">
        <v>5523</v>
      </c>
      <c r="H1091" s="48" t="n">
        <v>5</v>
      </c>
      <c r="I1091" s="46" t="s">
        <v>4948</v>
      </c>
      <c r="J1091" s="47" t="s">
        <v>5576</v>
      </c>
      <c r="K1091" s="24" t="s">
        <v>5577</v>
      </c>
      <c r="L1091" s="46" t="s">
        <v>5578</v>
      </c>
      <c r="M1091" s="24" t="s">
        <v>4950</v>
      </c>
      <c r="N1091" s="46" t="s">
        <v>5527</v>
      </c>
      <c r="O1091" s="24" t="s">
        <v>5528</v>
      </c>
      <c r="P1091" s="46" t="s">
        <v>5529</v>
      </c>
      <c r="Q1091" s="46"/>
      <c r="R1091" s="47" t="s">
        <v>44</v>
      </c>
      <c r="S1091" s="47"/>
    </row>
    <row r="1092" customFormat="false" ht="15" hidden="false" customHeight="true" outlineLevel="0" collapsed="false">
      <c r="A1092" s="49" t="n">
        <v>1103</v>
      </c>
      <c r="B1092" s="25" t="s">
        <v>5579</v>
      </c>
      <c r="C1092" s="50"/>
      <c r="D1092" s="50" t="s">
        <v>5522</v>
      </c>
      <c r="E1092" s="49" t="s">
        <v>18</v>
      </c>
      <c r="F1092" s="49" t="s">
        <v>2104</v>
      </c>
      <c r="G1092" s="25" t="s">
        <v>5523</v>
      </c>
      <c r="H1092" s="51" t="n">
        <v>5</v>
      </c>
      <c r="I1092" s="49" t="s">
        <v>4948</v>
      </c>
      <c r="J1092" s="50" t="s">
        <v>5580</v>
      </c>
      <c r="K1092" s="25" t="s">
        <v>5581</v>
      </c>
      <c r="L1092" s="49" t="s">
        <v>5582</v>
      </c>
      <c r="M1092" s="25" t="s">
        <v>4950</v>
      </c>
      <c r="N1092" s="49" t="s">
        <v>5527</v>
      </c>
      <c r="O1092" s="25" t="s">
        <v>5528</v>
      </c>
      <c r="P1092" s="49" t="s">
        <v>5529</v>
      </c>
      <c r="Q1092" s="49"/>
      <c r="R1092" s="50" t="s">
        <v>44</v>
      </c>
      <c r="S1092" s="50"/>
    </row>
    <row r="1093" customFormat="false" ht="15" hidden="false" customHeight="true" outlineLevel="0" collapsed="false">
      <c r="A1093" s="46" t="n">
        <v>1104</v>
      </c>
      <c r="B1093" s="24" t="s">
        <v>5579</v>
      </c>
      <c r="C1093" s="47"/>
      <c r="D1093" s="47" t="s">
        <v>5522</v>
      </c>
      <c r="E1093" s="46" t="s">
        <v>18</v>
      </c>
      <c r="F1093" s="46" t="s">
        <v>2104</v>
      </c>
      <c r="G1093" s="24" t="s">
        <v>5523</v>
      </c>
      <c r="H1093" s="48" t="n">
        <v>5</v>
      </c>
      <c r="I1093" s="46" t="s">
        <v>4948</v>
      </c>
      <c r="J1093" s="47" t="s">
        <v>5583</v>
      </c>
      <c r="K1093" s="24" t="s">
        <v>5584</v>
      </c>
      <c r="L1093" s="46" t="s">
        <v>5585</v>
      </c>
      <c r="M1093" s="24" t="s">
        <v>4950</v>
      </c>
      <c r="N1093" s="46" t="s">
        <v>5527</v>
      </c>
      <c r="O1093" s="24" t="s">
        <v>5528</v>
      </c>
      <c r="P1093" s="46" t="s">
        <v>5529</v>
      </c>
      <c r="Q1093" s="46"/>
      <c r="R1093" s="47" t="s">
        <v>44</v>
      </c>
      <c r="S1093" s="47"/>
    </row>
    <row r="1094" customFormat="false" ht="15" hidden="false" customHeight="true" outlineLevel="0" collapsed="false">
      <c r="A1094" s="49" t="n">
        <v>1105</v>
      </c>
      <c r="B1094" s="25" t="s">
        <v>5579</v>
      </c>
      <c r="C1094" s="50"/>
      <c r="D1094" s="50" t="s">
        <v>5522</v>
      </c>
      <c r="E1094" s="49" t="s">
        <v>18</v>
      </c>
      <c r="F1094" s="49" t="s">
        <v>2104</v>
      </c>
      <c r="G1094" s="25" t="s">
        <v>5523</v>
      </c>
      <c r="H1094" s="51" t="n">
        <v>5</v>
      </c>
      <c r="I1094" s="49" t="s">
        <v>4948</v>
      </c>
      <c r="J1094" s="50" t="s">
        <v>5586</v>
      </c>
      <c r="K1094" s="25" t="s">
        <v>5587</v>
      </c>
      <c r="L1094" s="49" t="s">
        <v>5588</v>
      </c>
      <c r="M1094" s="25" t="s">
        <v>4950</v>
      </c>
      <c r="N1094" s="49" t="s">
        <v>5527</v>
      </c>
      <c r="O1094" s="25" t="s">
        <v>5528</v>
      </c>
      <c r="P1094" s="49" t="s">
        <v>5529</v>
      </c>
      <c r="Q1094" s="49"/>
      <c r="R1094" s="50" t="s">
        <v>44</v>
      </c>
      <c r="S1094" s="50"/>
    </row>
    <row r="1095" customFormat="false" ht="15" hidden="false" customHeight="true" outlineLevel="0" collapsed="false">
      <c r="A1095" s="46" t="n">
        <v>1106</v>
      </c>
      <c r="B1095" s="24" t="s">
        <v>5537</v>
      </c>
      <c r="C1095" s="47"/>
      <c r="D1095" s="47" t="s">
        <v>5522</v>
      </c>
      <c r="E1095" s="46" t="s">
        <v>18</v>
      </c>
      <c r="F1095" s="46" t="s">
        <v>2104</v>
      </c>
      <c r="G1095" s="24" t="s">
        <v>5523</v>
      </c>
      <c r="H1095" s="48" t="n">
        <v>5</v>
      </c>
      <c r="I1095" s="46" t="s">
        <v>4948</v>
      </c>
      <c r="J1095" s="47" t="s">
        <v>5589</v>
      </c>
      <c r="K1095" s="24" t="s">
        <v>5102</v>
      </c>
      <c r="L1095" s="46" t="s">
        <v>5590</v>
      </c>
      <c r="M1095" s="24" t="s">
        <v>4950</v>
      </c>
      <c r="N1095" s="46" t="s">
        <v>5527</v>
      </c>
      <c r="O1095" s="24" t="s">
        <v>5528</v>
      </c>
      <c r="P1095" s="46" t="s">
        <v>5529</v>
      </c>
      <c r="Q1095" s="46"/>
      <c r="R1095" s="47" t="s">
        <v>44</v>
      </c>
      <c r="S1095" s="47"/>
    </row>
    <row r="1096" customFormat="false" ht="15" hidden="false" customHeight="true" outlineLevel="0" collapsed="false">
      <c r="A1096" s="49" t="n">
        <v>1107</v>
      </c>
      <c r="B1096" s="25" t="s">
        <v>5591</v>
      </c>
      <c r="C1096" s="50"/>
      <c r="D1096" s="50" t="s">
        <v>5522</v>
      </c>
      <c r="E1096" s="49" t="s">
        <v>18</v>
      </c>
      <c r="F1096" s="49" t="s">
        <v>2104</v>
      </c>
      <c r="G1096" s="25" t="s">
        <v>5523</v>
      </c>
      <c r="H1096" s="51" t="n">
        <v>5</v>
      </c>
      <c r="I1096" s="49" t="s">
        <v>4948</v>
      </c>
      <c r="J1096" s="50" t="s">
        <v>5592</v>
      </c>
      <c r="K1096" s="25" t="s">
        <v>5291</v>
      </c>
      <c r="L1096" s="49" t="s">
        <v>5593</v>
      </c>
      <c r="M1096" s="25" t="s">
        <v>4950</v>
      </c>
      <c r="N1096" s="49" t="s">
        <v>5527</v>
      </c>
      <c r="O1096" s="25" t="s">
        <v>5528</v>
      </c>
      <c r="P1096" s="49" t="s">
        <v>5529</v>
      </c>
      <c r="Q1096" s="49"/>
      <c r="R1096" s="50" t="s">
        <v>44</v>
      </c>
      <c r="S1096" s="50"/>
    </row>
    <row r="1097" customFormat="false" ht="15" hidden="false" customHeight="true" outlineLevel="0" collapsed="false">
      <c r="A1097" s="46" t="n">
        <v>1108</v>
      </c>
      <c r="B1097" s="24" t="s">
        <v>5591</v>
      </c>
      <c r="C1097" s="47"/>
      <c r="D1097" s="47" t="s">
        <v>5522</v>
      </c>
      <c r="E1097" s="46" t="s">
        <v>18</v>
      </c>
      <c r="F1097" s="46" t="s">
        <v>2104</v>
      </c>
      <c r="G1097" s="24" t="s">
        <v>5523</v>
      </c>
      <c r="H1097" s="48" t="n">
        <v>5</v>
      </c>
      <c r="I1097" s="46" t="s">
        <v>4948</v>
      </c>
      <c r="J1097" s="47" t="s">
        <v>5594</v>
      </c>
      <c r="K1097" s="24" t="s">
        <v>3235</v>
      </c>
      <c r="L1097" s="46" t="s">
        <v>5595</v>
      </c>
      <c r="M1097" s="24" t="s">
        <v>4950</v>
      </c>
      <c r="N1097" s="46" t="s">
        <v>5527</v>
      </c>
      <c r="O1097" s="24" t="s">
        <v>5528</v>
      </c>
      <c r="P1097" s="46" t="s">
        <v>5529</v>
      </c>
      <c r="Q1097" s="46"/>
      <c r="R1097" s="47" t="s">
        <v>44</v>
      </c>
      <c r="S1097" s="47"/>
    </row>
    <row r="1098" customFormat="false" ht="15" hidden="false" customHeight="true" outlineLevel="0" collapsed="false">
      <c r="A1098" s="49" t="n">
        <v>1109</v>
      </c>
      <c r="B1098" s="25" t="s">
        <v>5579</v>
      </c>
      <c r="C1098" s="50"/>
      <c r="D1098" s="50" t="s">
        <v>5522</v>
      </c>
      <c r="E1098" s="49" t="s">
        <v>18</v>
      </c>
      <c r="F1098" s="49" t="s">
        <v>2104</v>
      </c>
      <c r="G1098" s="25" t="s">
        <v>5523</v>
      </c>
      <c r="H1098" s="51" t="n">
        <v>5</v>
      </c>
      <c r="I1098" s="49" t="s">
        <v>4948</v>
      </c>
      <c r="J1098" s="50" t="s">
        <v>5596</v>
      </c>
      <c r="K1098" s="25" t="s">
        <v>5597</v>
      </c>
      <c r="L1098" s="49" t="s">
        <v>5598</v>
      </c>
      <c r="M1098" s="25" t="s">
        <v>4950</v>
      </c>
      <c r="N1098" s="49" t="s">
        <v>5527</v>
      </c>
      <c r="O1098" s="25" t="s">
        <v>5528</v>
      </c>
      <c r="P1098" s="49" t="s">
        <v>5529</v>
      </c>
      <c r="Q1098" s="49"/>
      <c r="R1098" s="50" t="s">
        <v>44</v>
      </c>
      <c r="S1098" s="50"/>
    </row>
    <row r="1099" customFormat="false" ht="15" hidden="false" customHeight="true" outlineLevel="0" collapsed="false">
      <c r="A1099" s="46" t="n">
        <v>1110</v>
      </c>
      <c r="B1099" s="24" t="s">
        <v>5579</v>
      </c>
      <c r="C1099" s="47"/>
      <c r="D1099" s="47" t="s">
        <v>5522</v>
      </c>
      <c r="E1099" s="46" t="s">
        <v>18</v>
      </c>
      <c r="F1099" s="46" t="s">
        <v>2104</v>
      </c>
      <c r="G1099" s="24" t="s">
        <v>5523</v>
      </c>
      <c r="H1099" s="48" t="n">
        <v>5</v>
      </c>
      <c r="I1099" s="46" t="s">
        <v>4948</v>
      </c>
      <c r="J1099" s="47" t="s">
        <v>5599</v>
      </c>
      <c r="K1099" s="24" t="s">
        <v>5305</v>
      </c>
      <c r="L1099" s="46" t="s">
        <v>5600</v>
      </c>
      <c r="M1099" s="24" t="s">
        <v>4950</v>
      </c>
      <c r="N1099" s="46" t="s">
        <v>5527</v>
      </c>
      <c r="O1099" s="24" t="s">
        <v>5528</v>
      </c>
      <c r="P1099" s="46" t="s">
        <v>5529</v>
      </c>
      <c r="Q1099" s="46"/>
      <c r="R1099" s="47" t="s">
        <v>44</v>
      </c>
      <c r="S1099" s="47"/>
    </row>
    <row r="1100" customFormat="false" ht="15" hidden="false" customHeight="true" outlineLevel="0" collapsed="false">
      <c r="A1100" s="49" t="n">
        <v>1111</v>
      </c>
      <c r="B1100" s="25" t="s">
        <v>5579</v>
      </c>
      <c r="C1100" s="50"/>
      <c r="D1100" s="50" t="s">
        <v>5522</v>
      </c>
      <c r="E1100" s="49" t="s">
        <v>18</v>
      </c>
      <c r="F1100" s="49" t="s">
        <v>2104</v>
      </c>
      <c r="G1100" s="25" t="s">
        <v>5523</v>
      </c>
      <c r="H1100" s="51" t="n">
        <v>5</v>
      </c>
      <c r="I1100" s="49" t="s">
        <v>4948</v>
      </c>
      <c r="J1100" s="50" t="s">
        <v>5601</v>
      </c>
      <c r="K1100" s="25" t="s">
        <v>1511</v>
      </c>
      <c r="L1100" s="49" t="s">
        <v>5602</v>
      </c>
      <c r="M1100" s="25" t="s">
        <v>4950</v>
      </c>
      <c r="N1100" s="49" t="s">
        <v>5527</v>
      </c>
      <c r="O1100" s="25" t="s">
        <v>5528</v>
      </c>
      <c r="P1100" s="49" t="s">
        <v>5529</v>
      </c>
      <c r="Q1100" s="49"/>
      <c r="R1100" s="50" t="s">
        <v>44</v>
      </c>
      <c r="S1100" s="50"/>
    </row>
    <row r="1101" customFormat="false" ht="15" hidden="false" customHeight="true" outlineLevel="0" collapsed="false">
      <c r="A1101" s="46" t="n">
        <v>1112</v>
      </c>
      <c r="B1101" s="24" t="s">
        <v>5522</v>
      </c>
      <c r="C1101" s="47"/>
      <c r="D1101" s="47" t="s">
        <v>5522</v>
      </c>
      <c r="E1101" s="46" t="s">
        <v>18</v>
      </c>
      <c r="F1101" s="46" t="s">
        <v>2104</v>
      </c>
      <c r="G1101" s="24" t="s">
        <v>5523</v>
      </c>
      <c r="H1101" s="48" t="n">
        <v>5</v>
      </c>
      <c r="I1101" s="46" t="s">
        <v>4948</v>
      </c>
      <c r="J1101" s="47" t="s">
        <v>5603</v>
      </c>
      <c r="K1101" s="24" t="s">
        <v>5305</v>
      </c>
      <c r="L1101" s="46" t="s">
        <v>5604</v>
      </c>
      <c r="M1101" s="24" t="s">
        <v>4950</v>
      </c>
      <c r="N1101" s="46" t="s">
        <v>5527</v>
      </c>
      <c r="O1101" s="24" t="s">
        <v>5528</v>
      </c>
      <c r="P1101" s="46" t="s">
        <v>5529</v>
      </c>
      <c r="Q1101" s="46"/>
      <c r="R1101" s="47" t="s">
        <v>44</v>
      </c>
      <c r="S1101" s="47"/>
    </row>
    <row r="1102" customFormat="false" ht="15" hidden="false" customHeight="true" outlineLevel="0" collapsed="false">
      <c r="A1102" s="49" t="n">
        <v>1113</v>
      </c>
      <c r="B1102" s="25" t="s">
        <v>5522</v>
      </c>
      <c r="C1102" s="50"/>
      <c r="D1102" s="50" t="s">
        <v>5522</v>
      </c>
      <c r="E1102" s="49" t="s">
        <v>18</v>
      </c>
      <c r="F1102" s="49" t="s">
        <v>2104</v>
      </c>
      <c r="G1102" s="25" t="s">
        <v>5523</v>
      </c>
      <c r="H1102" s="51" t="n">
        <v>5</v>
      </c>
      <c r="I1102" s="49" t="s">
        <v>4948</v>
      </c>
      <c r="J1102" s="50" t="s">
        <v>5605</v>
      </c>
      <c r="K1102" s="25" t="s">
        <v>5606</v>
      </c>
      <c r="L1102" s="49" t="s">
        <v>5607</v>
      </c>
      <c r="M1102" s="25" t="s">
        <v>4950</v>
      </c>
      <c r="N1102" s="49" t="s">
        <v>5527</v>
      </c>
      <c r="O1102" s="25" t="s">
        <v>5528</v>
      </c>
      <c r="P1102" s="49" t="s">
        <v>5529</v>
      </c>
      <c r="Q1102" s="49"/>
      <c r="R1102" s="50" t="s">
        <v>44</v>
      </c>
      <c r="S1102" s="50"/>
    </row>
    <row r="1103" customFormat="false" ht="15" hidden="false" customHeight="true" outlineLevel="0" collapsed="false">
      <c r="A1103" s="46" t="n">
        <v>1114</v>
      </c>
      <c r="B1103" s="24" t="s">
        <v>5608</v>
      </c>
      <c r="C1103" s="47"/>
      <c r="D1103" s="47" t="s">
        <v>5522</v>
      </c>
      <c r="E1103" s="46" t="s">
        <v>18</v>
      </c>
      <c r="F1103" s="46" t="s">
        <v>2104</v>
      </c>
      <c r="G1103" s="24" t="s">
        <v>5523</v>
      </c>
      <c r="H1103" s="48" t="n">
        <v>5</v>
      </c>
      <c r="I1103" s="46" t="s">
        <v>4948</v>
      </c>
      <c r="J1103" s="47" t="s">
        <v>5609</v>
      </c>
      <c r="K1103" s="24" t="s">
        <v>5610</v>
      </c>
      <c r="L1103" s="46" t="s">
        <v>5611</v>
      </c>
      <c r="M1103" s="24" t="s">
        <v>5541</v>
      </c>
      <c r="N1103" s="46" t="s">
        <v>5542</v>
      </c>
      <c r="O1103" s="24" t="s">
        <v>5528</v>
      </c>
      <c r="P1103" s="46" t="s">
        <v>5529</v>
      </c>
      <c r="Q1103" s="46"/>
      <c r="R1103" s="47" t="s">
        <v>44</v>
      </c>
      <c r="S1103" s="47"/>
    </row>
    <row r="1104" customFormat="false" ht="15" hidden="false" customHeight="true" outlineLevel="0" collapsed="false">
      <c r="A1104" s="49" t="n">
        <v>1115</v>
      </c>
      <c r="B1104" s="25" t="s">
        <v>5537</v>
      </c>
      <c r="C1104" s="50"/>
      <c r="D1104" s="50" t="s">
        <v>5522</v>
      </c>
      <c r="E1104" s="49" t="s">
        <v>18</v>
      </c>
      <c r="F1104" s="49" t="s">
        <v>2104</v>
      </c>
      <c r="G1104" s="25" t="s">
        <v>5523</v>
      </c>
      <c r="H1104" s="51" t="n">
        <v>5</v>
      </c>
      <c r="I1104" s="49" t="s">
        <v>4948</v>
      </c>
      <c r="J1104" s="50" t="s">
        <v>5612</v>
      </c>
      <c r="K1104" s="25" t="s">
        <v>5613</v>
      </c>
      <c r="L1104" s="49" t="s">
        <v>5614</v>
      </c>
      <c r="M1104" s="25" t="s">
        <v>5541</v>
      </c>
      <c r="N1104" s="49" t="s">
        <v>5542</v>
      </c>
      <c r="O1104" s="25" t="s">
        <v>5528</v>
      </c>
      <c r="P1104" s="49" t="s">
        <v>5529</v>
      </c>
      <c r="Q1104" s="49"/>
      <c r="R1104" s="50" t="s">
        <v>44</v>
      </c>
      <c r="S1104" s="50"/>
    </row>
    <row r="1105" customFormat="false" ht="15" hidden="false" customHeight="true" outlineLevel="0" collapsed="false">
      <c r="A1105" s="46" t="n">
        <v>1116</v>
      </c>
      <c r="B1105" s="24" t="s">
        <v>5537</v>
      </c>
      <c r="C1105" s="47"/>
      <c r="D1105" s="47" t="s">
        <v>5522</v>
      </c>
      <c r="E1105" s="46" t="s">
        <v>18</v>
      </c>
      <c r="F1105" s="46" t="s">
        <v>2104</v>
      </c>
      <c r="G1105" s="24" t="s">
        <v>5523</v>
      </c>
      <c r="H1105" s="48" t="n">
        <v>5</v>
      </c>
      <c r="I1105" s="46" t="s">
        <v>4948</v>
      </c>
      <c r="J1105" s="47" t="s">
        <v>5615</v>
      </c>
      <c r="K1105" s="24" t="s">
        <v>5616</v>
      </c>
      <c r="L1105" s="46" t="s">
        <v>5617</v>
      </c>
      <c r="M1105" s="24" t="s">
        <v>5541</v>
      </c>
      <c r="N1105" s="46" t="s">
        <v>5542</v>
      </c>
      <c r="O1105" s="24" t="s">
        <v>5528</v>
      </c>
      <c r="P1105" s="46" t="s">
        <v>5529</v>
      </c>
      <c r="Q1105" s="46"/>
      <c r="R1105" s="47" t="s">
        <v>44</v>
      </c>
      <c r="S1105" s="47"/>
    </row>
    <row r="1106" customFormat="false" ht="15" hidden="false" customHeight="true" outlineLevel="0" collapsed="false">
      <c r="A1106" s="49" t="n">
        <v>1117</v>
      </c>
      <c r="B1106" s="25" t="s">
        <v>5537</v>
      </c>
      <c r="C1106" s="50"/>
      <c r="D1106" s="50" t="s">
        <v>5522</v>
      </c>
      <c r="E1106" s="49" t="s">
        <v>18</v>
      </c>
      <c r="F1106" s="49" t="s">
        <v>2104</v>
      </c>
      <c r="G1106" s="25" t="s">
        <v>5523</v>
      </c>
      <c r="H1106" s="51" t="n">
        <v>5</v>
      </c>
      <c r="I1106" s="49" t="s">
        <v>4948</v>
      </c>
      <c r="J1106" s="50" t="s">
        <v>5618</v>
      </c>
      <c r="K1106" s="25" t="s">
        <v>5619</v>
      </c>
      <c r="L1106" s="49" t="s">
        <v>5620</v>
      </c>
      <c r="M1106" s="25" t="s">
        <v>5541</v>
      </c>
      <c r="N1106" s="49" t="s">
        <v>5542</v>
      </c>
      <c r="O1106" s="25" t="s">
        <v>5528</v>
      </c>
      <c r="P1106" s="49" t="s">
        <v>5529</v>
      </c>
      <c r="Q1106" s="49"/>
      <c r="R1106" s="50" t="s">
        <v>44</v>
      </c>
      <c r="S1106" s="50"/>
    </row>
    <row r="1107" customFormat="false" ht="15" hidden="false" customHeight="true" outlineLevel="0" collapsed="false">
      <c r="A1107" s="46" t="n">
        <v>1118</v>
      </c>
      <c r="B1107" s="24" t="s">
        <v>5537</v>
      </c>
      <c r="C1107" s="47"/>
      <c r="D1107" s="47" t="s">
        <v>5522</v>
      </c>
      <c r="E1107" s="46" t="s">
        <v>18</v>
      </c>
      <c r="F1107" s="46" t="s">
        <v>2104</v>
      </c>
      <c r="G1107" s="24" t="s">
        <v>5523</v>
      </c>
      <c r="H1107" s="48" t="n">
        <v>5</v>
      </c>
      <c r="I1107" s="46" t="s">
        <v>4948</v>
      </c>
      <c r="J1107" s="47" t="s">
        <v>5621</v>
      </c>
      <c r="K1107" s="24" t="s">
        <v>5622</v>
      </c>
      <c r="L1107" s="46" t="s">
        <v>5602</v>
      </c>
      <c r="M1107" s="24" t="s">
        <v>5541</v>
      </c>
      <c r="N1107" s="46" t="s">
        <v>5542</v>
      </c>
      <c r="O1107" s="24" t="s">
        <v>5528</v>
      </c>
      <c r="P1107" s="46" t="s">
        <v>5529</v>
      </c>
      <c r="Q1107" s="46"/>
      <c r="R1107" s="47" t="s">
        <v>44</v>
      </c>
      <c r="S1107" s="47"/>
    </row>
    <row r="1108" customFormat="false" ht="15" hidden="false" customHeight="true" outlineLevel="0" collapsed="false">
      <c r="A1108" s="49" t="n">
        <v>1119</v>
      </c>
      <c r="B1108" s="25" t="s">
        <v>5537</v>
      </c>
      <c r="C1108" s="50"/>
      <c r="D1108" s="50" t="s">
        <v>5522</v>
      </c>
      <c r="E1108" s="49" t="s">
        <v>18</v>
      </c>
      <c r="F1108" s="49" t="s">
        <v>2104</v>
      </c>
      <c r="G1108" s="25" t="s">
        <v>5523</v>
      </c>
      <c r="H1108" s="51" t="n">
        <v>5</v>
      </c>
      <c r="I1108" s="49" t="s">
        <v>4948</v>
      </c>
      <c r="J1108" s="50" t="s">
        <v>5623</v>
      </c>
      <c r="K1108" s="25" t="s">
        <v>5624</v>
      </c>
      <c r="L1108" s="49" t="s">
        <v>5625</v>
      </c>
      <c r="M1108" s="25" t="s">
        <v>5541</v>
      </c>
      <c r="N1108" s="49" t="s">
        <v>5542</v>
      </c>
      <c r="O1108" s="25" t="s">
        <v>5528</v>
      </c>
      <c r="P1108" s="49" t="s">
        <v>5529</v>
      </c>
      <c r="Q1108" s="49"/>
      <c r="R1108" s="50" t="s">
        <v>44</v>
      </c>
      <c r="S1108" s="50"/>
    </row>
    <row r="1109" customFormat="false" ht="15" hidden="false" customHeight="true" outlineLevel="0" collapsed="false">
      <c r="A1109" s="46" t="n">
        <v>1120</v>
      </c>
      <c r="B1109" s="24" t="s">
        <v>5537</v>
      </c>
      <c r="C1109" s="47"/>
      <c r="D1109" s="47" t="s">
        <v>5522</v>
      </c>
      <c r="E1109" s="46" t="s">
        <v>18</v>
      </c>
      <c r="F1109" s="46" t="s">
        <v>2104</v>
      </c>
      <c r="G1109" s="24" t="s">
        <v>5523</v>
      </c>
      <c r="H1109" s="48" t="n">
        <v>5</v>
      </c>
      <c r="I1109" s="46" t="s">
        <v>4948</v>
      </c>
      <c r="J1109" s="47" t="s">
        <v>5626</v>
      </c>
      <c r="K1109" s="24" t="s">
        <v>3640</v>
      </c>
      <c r="L1109" s="46" t="s">
        <v>5627</v>
      </c>
      <c r="M1109" s="24" t="s">
        <v>5541</v>
      </c>
      <c r="N1109" s="46" t="s">
        <v>5542</v>
      </c>
      <c r="O1109" s="24" t="s">
        <v>5528</v>
      </c>
      <c r="P1109" s="46" t="s">
        <v>5529</v>
      </c>
      <c r="Q1109" s="46"/>
      <c r="R1109" s="47" t="s">
        <v>44</v>
      </c>
      <c r="S1109" s="47"/>
    </row>
    <row r="1110" customFormat="false" ht="15" hidden="false" customHeight="true" outlineLevel="0" collapsed="false">
      <c r="A1110" s="49" t="n">
        <v>1121</v>
      </c>
      <c r="B1110" s="25" t="s">
        <v>5537</v>
      </c>
      <c r="C1110" s="50"/>
      <c r="D1110" s="50" t="s">
        <v>5522</v>
      </c>
      <c r="E1110" s="49" t="s">
        <v>18</v>
      </c>
      <c r="F1110" s="49" t="s">
        <v>2104</v>
      </c>
      <c r="G1110" s="25" t="s">
        <v>5523</v>
      </c>
      <c r="H1110" s="51" t="n">
        <v>5</v>
      </c>
      <c r="I1110" s="49" t="s">
        <v>5016</v>
      </c>
      <c r="J1110" s="50" t="s">
        <v>5628</v>
      </c>
      <c r="K1110" s="25" t="s">
        <v>3284</v>
      </c>
      <c r="L1110" s="49" t="s">
        <v>5629</v>
      </c>
      <c r="M1110" s="25" t="s">
        <v>5541</v>
      </c>
      <c r="N1110" s="49" t="s">
        <v>5542</v>
      </c>
      <c r="O1110" s="25" t="s">
        <v>5528</v>
      </c>
      <c r="P1110" s="49" t="s">
        <v>5529</v>
      </c>
      <c r="Q1110" s="49"/>
      <c r="R1110" s="50" t="s">
        <v>44</v>
      </c>
      <c r="S1110" s="50"/>
    </row>
    <row r="1111" customFormat="false" ht="15" hidden="false" customHeight="true" outlineLevel="0" collapsed="false">
      <c r="A1111" s="46" t="n">
        <v>1122</v>
      </c>
      <c r="B1111" s="24" t="s">
        <v>5537</v>
      </c>
      <c r="C1111" s="47"/>
      <c r="D1111" s="47" t="s">
        <v>5522</v>
      </c>
      <c r="E1111" s="46" t="s">
        <v>18</v>
      </c>
      <c r="F1111" s="46" t="s">
        <v>2104</v>
      </c>
      <c r="G1111" s="24" t="s">
        <v>5523</v>
      </c>
      <c r="H1111" s="48" t="n">
        <v>5</v>
      </c>
      <c r="I1111" s="46" t="s">
        <v>5016</v>
      </c>
      <c r="J1111" s="47" t="s">
        <v>5630</v>
      </c>
      <c r="K1111" s="24" t="s">
        <v>4304</v>
      </c>
      <c r="L1111" s="46" t="s">
        <v>5631</v>
      </c>
      <c r="M1111" s="24" t="s">
        <v>5541</v>
      </c>
      <c r="N1111" s="46" t="s">
        <v>5542</v>
      </c>
      <c r="O1111" s="24" t="s">
        <v>5528</v>
      </c>
      <c r="P1111" s="46" t="s">
        <v>5529</v>
      </c>
      <c r="Q1111" s="46"/>
      <c r="R1111" s="47" t="s">
        <v>44</v>
      </c>
      <c r="S1111" s="47"/>
    </row>
    <row r="1112" customFormat="false" ht="15" hidden="false" customHeight="true" outlineLevel="0" collapsed="false">
      <c r="A1112" s="49" t="n">
        <v>1123</v>
      </c>
      <c r="B1112" s="25" t="s">
        <v>5537</v>
      </c>
      <c r="C1112" s="50"/>
      <c r="D1112" s="50" t="s">
        <v>5522</v>
      </c>
      <c r="E1112" s="49" t="s">
        <v>18</v>
      </c>
      <c r="F1112" s="49" t="s">
        <v>2104</v>
      </c>
      <c r="G1112" s="25" t="s">
        <v>5523</v>
      </c>
      <c r="H1112" s="51" t="n">
        <v>5</v>
      </c>
      <c r="I1112" s="49" t="s">
        <v>5016</v>
      </c>
      <c r="J1112" s="50" t="s">
        <v>5632</v>
      </c>
      <c r="K1112" s="25" t="s">
        <v>2083</v>
      </c>
      <c r="L1112" s="49" t="s">
        <v>5633</v>
      </c>
      <c r="M1112" s="25" t="s">
        <v>5541</v>
      </c>
      <c r="N1112" s="49" t="s">
        <v>5542</v>
      </c>
      <c r="O1112" s="25" t="s">
        <v>5528</v>
      </c>
      <c r="P1112" s="49" t="s">
        <v>5529</v>
      </c>
      <c r="Q1112" s="49"/>
      <c r="R1112" s="50" t="s">
        <v>44</v>
      </c>
      <c r="S1112" s="50"/>
    </row>
    <row r="1113" customFormat="false" ht="15" hidden="false" customHeight="true" outlineLevel="0" collapsed="false">
      <c r="A1113" s="46" t="n">
        <v>1124</v>
      </c>
      <c r="B1113" s="24" t="s">
        <v>5634</v>
      </c>
      <c r="C1113" s="47"/>
      <c r="D1113" s="47" t="s">
        <v>5522</v>
      </c>
      <c r="E1113" s="46" t="s">
        <v>18</v>
      </c>
      <c r="F1113" s="46" t="s">
        <v>2104</v>
      </c>
      <c r="G1113" s="24" t="s">
        <v>5523</v>
      </c>
      <c r="H1113" s="48" t="n">
        <v>5</v>
      </c>
      <c r="I1113" s="46" t="s">
        <v>5016</v>
      </c>
      <c r="J1113" s="47" t="s">
        <v>5635</v>
      </c>
      <c r="K1113" s="24" t="s">
        <v>5636</v>
      </c>
      <c r="L1113" s="46" t="s">
        <v>5637</v>
      </c>
      <c r="M1113" s="24" t="s">
        <v>5541</v>
      </c>
      <c r="N1113" s="46" t="s">
        <v>5542</v>
      </c>
      <c r="O1113" s="24" t="s">
        <v>5528</v>
      </c>
      <c r="P1113" s="46" t="s">
        <v>5529</v>
      </c>
      <c r="Q1113" s="46"/>
      <c r="R1113" s="47" t="s">
        <v>44</v>
      </c>
      <c r="S1113" s="47"/>
    </row>
    <row r="1114" customFormat="false" ht="15" hidden="false" customHeight="true" outlineLevel="0" collapsed="false">
      <c r="A1114" s="49" t="n">
        <v>1125</v>
      </c>
      <c r="B1114" s="25" t="s">
        <v>5638</v>
      </c>
      <c r="C1114" s="50"/>
      <c r="D1114" s="50" t="s">
        <v>5522</v>
      </c>
      <c r="E1114" s="49" t="s">
        <v>18</v>
      </c>
      <c r="F1114" s="49" t="s">
        <v>2104</v>
      </c>
      <c r="G1114" s="25" t="s">
        <v>5523</v>
      </c>
      <c r="H1114" s="51" t="n">
        <v>5</v>
      </c>
      <c r="I1114" s="49" t="s">
        <v>5016</v>
      </c>
      <c r="J1114" s="50" t="s">
        <v>5639</v>
      </c>
      <c r="K1114" s="25" t="s">
        <v>5640</v>
      </c>
      <c r="L1114" s="49" t="s">
        <v>5641</v>
      </c>
      <c r="M1114" s="25" t="s">
        <v>5541</v>
      </c>
      <c r="N1114" s="49" t="s">
        <v>5542</v>
      </c>
      <c r="O1114" s="25" t="s">
        <v>5528</v>
      </c>
      <c r="P1114" s="49" t="s">
        <v>5529</v>
      </c>
      <c r="Q1114" s="49"/>
      <c r="R1114" s="50" t="s">
        <v>44</v>
      </c>
      <c r="S1114" s="50"/>
    </row>
    <row r="1115" customFormat="false" ht="15" hidden="false" customHeight="true" outlineLevel="0" collapsed="false">
      <c r="A1115" s="46" t="n">
        <v>1126</v>
      </c>
      <c r="B1115" s="24" t="s">
        <v>5638</v>
      </c>
      <c r="C1115" s="47"/>
      <c r="D1115" s="47" t="s">
        <v>5522</v>
      </c>
      <c r="E1115" s="46" t="s">
        <v>18</v>
      </c>
      <c r="F1115" s="46" t="s">
        <v>2104</v>
      </c>
      <c r="G1115" s="24" t="s">
        <v>5523</v>
      </c>
      <c r="H1115" s="48" t="n">
        <v>5</v>
      </c>
      <c r="I1115" s="46" t="s">
        <v>5053</v>
      </c>
      <c r="J1115" s="47" t="s">
        <v>5642</v>
      </c>
      <c r="K1115" s="24" t="s">
        <v>5643</v>
      </c>
      <c r="L1115" s="46" t="s">
        <v>5644</v>
      </c>
      <c r="M1115" s="24" t="s">
        <v>5541</v>
      </c>
      <c r="N1115" s="46" t="s">
        <v>5542</v>
      </c>
      <c r="O1115" s="24" t="s">
        <v>5528</v>
      </c>
      <c r="P1115" s="46" t="s">
        <v>5529</v>
      </c>
      <c r="Q1115" s="46"/>
      <c r="R1115" s="47" t="s">
        <v>44</v>
      </c>
      <c r="S1115" s="47"/>
    </row>
    <row r="1116" customFormat="false" ht="15" hidden="false" customHeight="true" outlineLevel="0" collapsed="false">
      <c r="A1116" s="49" t="n">
        <v>1127</v>
      </c>
      <c r="B1116" s="25" t="s">
        <v>5537</v>
      </c>
      <c r="C1116" s="50"/>
      <c r="D1116" s="50" t="s">
        <v>5522</v>
      </c>
      <c r="E1116" s="49" t="s">
        <v>18</v>
      </c>
      <c r="F1116" s="49" t="s">
        <v>2104</v>
      </c>
      <c r="G1116" s="25" t="s">
        <v>5523</v>
      </c>
      <c r="H1116" s="51" t="n">
        <v>5</v>
      </c>
      <c r="I1116" s="49" t="s">
        <v>5053</v>
      </c>
      <c r="J1116" s="50" t="s">
        <v>5645</v>
      </c>
      <c r="K1116" s="25" t="s">
        <v>5646</v>
      </c>
      <c r="L1116" s="49" t="s">
        <v>5647</v>
      </c>
      <c r="M1116" s="25" t="s">
        <v>5541</v>
      </c>
      <c r="N1116" s="49" t="s">
        <v>5542</v>
      </c>
      <c r="O1116" s="25" t="s">
        <v>5528</v>
      </c>
      <c r="P1116" s="49" t="s">
        <v>5529</v>
      </c>
      <c r="Q1116" s="49"/>
      <c r="R1116" s="50" t="s">
        <v>44</v>
      </c>
      <c r="S1116" s="50"/>
    </row>
    <row r="1117" customFormat="false" ht="15" hidden="false" customHeight="true" outlineLevel="0" collapsed="false">
      <c r="A1117" s="46" t="n">
        <v>1128</v>
      </c>
      <c r="B1117" s="24" t="s">
        <v>5648</v>
      </c>
      <c r="C1117" s="47"/>
      <c r="D1117" s="47" t="s">
        <v>5522</v>
      </c>
      <c r="E1117" s="46" t="s">
        <v>18</v>
      </c>
      <c r="F1117" s="46" t="s">
        <v>2104</v>
      </c>
      <c r="G1117" s="24" t="s">
        <v>5523</v>
      </c>
      <c r="H1117" s="48" t="n">
        <v>5</v>
      </c>
      <c r="I1117" s="46" t="s">
        <v>5053</v>
      </c>
      <c r="J1117" s="47" t="s">
        <v>5649</v>
      </c>
      <c r="K1117" s="24" t="s">
        <v>5460</v>
      </c>
      <c r="L1117" s="46" t="s">
        <v>5650</v>
      </c>
      <c r="M1117" s="24" t="s">
        <v>5541</v>
      </c>
      <c r="N1117" s="46" t="s">
        <v>5542</v>
      </c>
      <c r="O1117" s="24" t="s">
        <v>5528</v>
      </c>
      <c r="P1117" s="46" t="s">
        <v>5529</v>
      </c>
      <c r="Q1117" s="46"/>
      <c r="R1117" s="47" t="s">
        <v>44</v>
      </c>
      <c r="S1117" s="47"/>
    </row>
    <row r="1118" customFormat="false" ht="15" hidden="false" customHeight="true" outlineLevel="0" collapsed="false">
      <c r="A1118" s="49" t="n">
        <v>1129</v>
      </c>
      <c r="B1118" s="25" t="s">
        <v>5537</v>
      </c>
      <c r="C1118" s="50"/>
      <c r="D1118" s="50" t="s">
        <v>5522</v>
      </c>
      <c r="E1118" s="49" t="s">
        <v>18</v>
      </c>
      <c r="F1118" s="49" t="s">
        <v>2104</v>
      </c>
      <c r="G1118" s="25" t="s">
        <v>5523</v>
      </c>
      <c r="H1118" s="51" t="n">
        <v>5</v>
      </c>
      <c r="I1118" s="49" t="s">
        <v>5053</v>
      </c>
      <c r="J1118" s="50" t="s">
        <v>5651</v>
      </c>
      <c r="K1118" s="25" t="s">
        <v>3402</v>
      </c>
      <c r="L1118" s="49" t="s">
        <v>5652</v>
      </c>
      <c r="M1118" s="25" t="s">
        <v>5541</v>
      </c>
      <c r="N1118" s="49" t="s">
        <v>5542</v>
      </c>
      <c r="O1118" s="25" t="s">
        <v>5528</v>
      </c>
      <c r="P1118" s="49" t="s">
        <v>5529</v>
      </c>
      <c r="Q1118" s="49"/>
      <c r="R1118" s="50" t="s">
        <v>44</v>
      </c>
      <c r="S1118" s="50"/>
    </row>
    <row r="1119" customFormat="false" ht="15" hidden="false" customHeight="true" outlineLevel="0" collapsed="false">
      <c r="A1119" s="46" t="n">
        <v>1130</v>
      </c>
      <c r="B1119" s="24" t="s">
        <v>5579</v>
      </c>
      <c r="C1119" s="47"/>
      <c r="D1119" s="47" t="s">
        <v>5522</v>
      </c>
      <c r="E1119" s="46" t="s">
        <v>18</v>
      </c>
      <c r="F1119" s="46" t="s">
        <v>2104</v>
      </c>
      <c r="G1119" s="24" t="s">
        <v>5523</v>
      </c>
      <c r="H1119" s="48" t="n">
        <v>5</v>
      </c>
      <c r="I1119" s="46" t="s">
        <v>5053</v>
      </c>
      <c r="J1119" s="47" t="s">
        <v>5653</v>
      </c>
      <c r="K1119" s="24" t="s">
        <v>5467</v>
      </c>
      <c r="L1119" s="46" t="s">
        <v>5654</v>
      </c>
      <c r="M1119" s="24" t="s">
        <v>5541</v>
      </c>
      <c r="N1119" s="46" t="s">
        <v>5542</v>
      </c>
      <c r="O1119" s="24" t="s">
        <v>5528</v>
      </c>
      <c r="P1119" s="46" t="s">
        <v>5529</v>
      </c>
      <c r="Q1119" s="46"/>
      <c r="R1119" s="47" t="s">
        <v>44</v>
      </c>
      <c r="S1119" s="47"/>
    </row>
    <row r="1120" customFormat="false" ht="15" hidden="false" customHeight="true" outlineLevel="0" collapsed="false">
      <c r="A1120" s="49" t="n">
        <v>1131</v>
      </c>
      <c r="B1120" s="25" t="s">
        <v>5579</v>
      </c>
      <c r="C1120" s="50"/>
      <c r="D1120" s="50" t="s">
        <v>5522</v>
      </c>
      <c r="E1120" s="49" t="s">
        <v>18</v>
      </c>
      <c r="F1120" s="49" t="s">
        <v>2104</v>
      </c>
      <c r="G1120" s="25" t="s">
        <v>5523</v>
      </c>
      <c r="H1120" s="51" t="n">
        <v>5</v>
      </c>
      <c r="I1120" s="49" t="s">
        <v>5053</v>
      </c>
      <c r="J1120" s="50" t="s">
        <v>5655</v>
      </c>
      <c r="K1120" s="25" t="s">
        <v>5656</v>
      </c>
      <c r="L1120" s="49" t="s">
        <v>5654</v>
      </c>
      <c r="M1120" s="25" t="s">
        <v>5541</v>
      </c>
      <c r="N1120" s="49" t="s">
        <v>5542</v>
      </c>
      <c r="O1120" s="25" t="s">
        <v>5528</v>
      </c>
      <c r="P1120" s="49" t="s">
        <v>5529</v>
      </c>
      <c r="Q1120" s="49"/>
      <c r="R1120" s="50" t="s">
        <v>44</v>
      </c>
      <c r="S1120" s="50"/>
    </row>
    <row r="1121" customFormat="false" ht="15" hidden="false" customHeight="true" outlineLevel="0" collapsed="false">
      <c r="A1121" s="46" t="n">
        <v>1132</v>
      </c>
      <c r="B1121" s="24" t="s">
        <v>5579</v>
      </c>
      <c r="C1121" s="47"/>
      <c r="D1121" s="47" t="s">
        <v>5522</v>
      </c>
      <c r="E1121" s="46" t="s">
        <v>18</v>
      </c>
      <c r="F1121" s="46" t="s">
        <v>2104</v>
      </c>
      <c r="G1121" s="24" t="s">
        <v>5523</v>
      </c>
      <c r="H1121" s="48" t="n">
        <v>5</v>
      </c>
      <c r="I1121" s="46" t="s">
        <v>5053</v>
      </c>
      <c r="J1121" s="47" t="s">
        <v>5657</v>
      </c>
      <c r="K1121" s="24" t="s">
        <v>5403</v>
      </c>
      <c r="L1121" s="46" t="s">
        <v>5658</v>
      </c>
      <c r="M1121" s="24" t="s">
        <v>5541</v>
      </c>
      <c r="N1121" s="46" t="s">
        <v>5542</v>
      </c>
      <c r="O1121" s="24" t="s">
        <v>5528</v>
      </c>
      <c r="P1121" s="46" t="s">
        <v>5529</v>
      </c>
      <c r="Q1121" s="46"/>
      <c r="R1121" s="47" t="s">
        <v>44</v>
      </c>
      <c r="S1121" s="47"/>
    </row>
    <row r="1122" customFormat="false" ht="15" hidden="false" customHeight="true" outlineLevel="0" collapsed="false">
      <c r="A1122" s="49" t="n">
        <v>1133</v>
      </c>
      <c r="B1122" s="25" t="s">
        <v>5579</v>
      </c>
      <c r="C1122" s="50"/>
      <c r="D1122" s="50" t="s">
        <v>5522</v>
      </c>
      <c r="E1122" s="49" t="s">
        <v>18</v>
      </c>
      <c r="F1122" s="49" t="s">
        <v>2104</v>
      </c>
      <c r="G1122" s="25" t="s">
        <v>5523</v>
      </c>
      <c r="H1122" s="51" t="n">
        <v>5</v>
      </c>
      <c r="I1122" s="49" t="s">
        <v>5053</v>
      </c>
      <c r="J1122" s="50" t="s">
        <v>5659</v>
      </c>
      <c r="K1122" s="25" t="s">
        <v>5516</v>
      </c>
      <c r="L1122" s="49" t="s">
        <v>5660</v>
      </c>
      <c r="M1122" s="25" t="s">
        <v>5541</v>
      </c>
      <c r="N1122" s="49" t="s">
        <v>5542</v>
      </c>
      <c r="O1122" s="25" t="s">
        <v>5528</v>
      </c>
      <c r="P1122" s="49" t="s">
        <v>5529</v>
      </c>
      <c r="Q1122" s="49"/>
      <c r="R1122" s="50" t="s">
        <v>44</v>
      </c>
      <c r="S1122" s="50"/>
    </row>
    <row r="1123" customFormat="false" ht="15" hidden="false" customHeight="true" outlineLevel="0" collapsed="false">
      <c r="A1123" s="46" t="n">
        <v>1134</v>
      </c>
      <c r="B1123" s="24" t="s">
        <v>5661</v>
      </c>
      <c r="C1123" s="47"/>
      <c r="D1123" s="47" t="s">
        <v>5522</v>
      </c>
      <c r="E1123" s="46" t="s">
        <v>18</v>
      </c>
      <c r="F1123" s="46" t="s">
        <v>2104</v>
      </c>
      <c r="G1123" s="24" t="s">
        <v>5523</v>
      </c>
      <c r="H1123" s="48" t="n">
        <v>5</v>
      </c>
      <c r="I1123" s="46" t="s">
        <v>5053</v>
      </c>
      <c r="J1123" s="47" t="s">
        <v>5662</v>
      </c>
      <c r="K1123" s="24" t="s">
        <v>5663</v>
      </c>
      <c r="L1123" s="46" t="s">
        <v>5664</v>
      </c>
      <c r="M1123" s="24" t="s">
        <v>5541</v>
      </c>
      <c r="N1123" s="46" t="s">
        <v>5542</v>
      </c>
      <c r="O1123" s="24" t="s">
        <v>5528</v>
      </c>
      <c r="P1123" s="46" t="s">
        <v>5529</v>
      </c>
      <c r="Q1123" s="46"/>
      <c r="R1123" s="47" t="s">
        <v>44</v>
      </c>
      <c r="S1123" s="47"/>
    </row>
    <row r="1124" customFormat="false" ht="15" hidden="false" customHeight="true" outlineLevel="0" collapsed="false">
      <c r="A1124" s="49" t="n">
        <v>1135</v>
      </c>
      <c r="B1124" s="25" t="s">
        <v>5579</v>
      </c>
      <c r="C1124" s="50"/>
      <c r="D1124" s="50" t="s">
        <v>5522</v>
      </c>
      <c r="E1124" s="49" t="s">
        <v>18</v>
      </c>
      <c r="F1124" s="49" t="s">
        <v>2104</v>
      </c>
      <c r="G1124" s="25" t="s">
        <v>5523</v>
      </c>
      <c r="H1124" s="51" t="n">
        <v>5</v>
      </c>
      <c r="I1124" s="49" t="s">
        <v>5053</v>
      </c>
      <c r="J1124" s="50" t="s">
        <v>5665</v>
      </c>
      <c r="K1124" s="25" t="s">
        <v>5666</v>
      </c>
      <c r="L1124" s="49" t="s">
        <v>5667</v>
      </c>
      <c r="M1124" s="25" t="s">
        <v>5541</v>
      </c>
      <c r="N1124" s="49" t="s">
        <v>5542</v>
      </c>
      <c r="O1124" s="25" t="s">
        <v>5528</v>
      </c>
      <c r="P1124" s="49" t="s">
        <v>5529</v>
      </c>
      <c r="Q1124" s="49"/>
      <c r="R1124" s="50" t="s">
        <v>44</v>
      </c>
      <c r="S1124" s="50"/>
    </row>
    <row r="1125" customFormat="false" ht="15" hidden="false" customHeight="true" outlineLevel="0" collapsed="false">
      <c r="A1125" s="46" t="n">
        <v>1136</v>
      </c>
      <c r="B1125" s="24" t="s">
        <v>5668</v>
      </c>
      <c r="C1125" s="47"/>
      <c r="D1125" s="47" t="s">
        <v>5669</v>
      </c>
      <c r="E1125" s="46" t="s">
        <v>18</v>
      </c>
      <c r="F1125" s="46" t="s">
        <v>2104</v>
      </c>
      <c r="G1125" s="24" t="s">
        <v>1036</v>
      </c>
      <c r="H1125" s="48" t="n">
        <v>5</v>
      </c>
      <c r="I1125" s="46" t="s">
        <v>5016</v>
      </c>
      <c r="J1125" s="47" t="s">
        <v>5670</v>
      </c>
      <c r="K1125" s="24" t="s">
        <v>5671</v>
      </c>
      <c r="L1125" s="46" t="s">
        <v>5672</v>
      </c>
      <c r="M1125" s="24" t="s">
        <v>5673</v>
      </c>
      <c r="N1125" s="46" t="s">
        <v>5674</v>
      </c>
      <c r="O1125" s="24" t="s">
        <v>5528</v>
      </c>
      <c r="P1125" s="46" t="s">
        <v>5529</v>
      </c>
      <c r="Q1125" s="46"/>
      <c r="R1125" s="47" t="s">
        <v>44</v>
      </c>
      <c r="S1125" s="47"/>
    </row>
    <row r="1126" customFormat="false" ht="15" hidden="false" customHeight="true" outlineLevel="0" collapsed="false">
      <c r="A1126" s="49" t="n">
        <v>1137</v>
      </c>
      <c r="B1126" s="25" t="s">
        <v>5668</v>
      </c>
      <c r="C1126" s="50"/>
      <c r="D1126" s="50" t="s">
        <v>5669</v>
      </c>
      <c r="E1126" s="49" t="s">
        <v>18</v>
      </c>
      <c r="F1126" s="49" t="s">
        <v>2104</v>
      </c>
      <c r="G1126" s="25" t="s">
        <v>1036</v>
      </c>
      <c r="H1126" s="51" t="n">
        <v>5</v>
      </c>
      <c r="I1126" s="49" t="s">
        <v>5016</v>
      </c>
      <c r="J1126" s="50" t="s">
        <v>5675</v>
      </c>
      <c r="K1126" s="25" t="s">
        <v>3831</v>
      </c>
      <c r="L1126" s="49" t="s">
        <v>5676</v>
      </c>
      <c r="M1126" s="25" t="s">
        <v>5673</v>
      </c>
      <c r="N1126" s="49" t="s">
        <v>5674</v>
      </c>
      <c r="O1126" s="25" t="s">
        <v>5528</v>
      </c>
      <c r="P1126" s="49" t="s">
        <v>5529</v>
      </c>
      <c r="Q1126" s="49"/>
      <c r="R1126" s="50" t="s">
        <v>44</v>
      </c>
      <c r="S1126" s="50"/>
    </row>
    <row r="1127" customFormat="false" ht="15" hidden="false" customHeight="true" outlineLevel="0" collapsed="false">
      <c r="A1127" s="46" t="n">
        <v>1138</v>
      </c>
      <c r="B1127" s="24" t="s">
        <v>5668</v>
      </c>
      <c r="C1127" s="47"/>
      <c r="D1127" s="47" t="s">
        <v>5669</v>
      </c>
      <c r="E1127" s="46" t="s">
        <v>18</v>
      </c>
      <c r="F1127" s="46" t="s">
        <v>2104</v>
      </c>
      <c r="G1127" s="24" t="s">
        <v>1036</v>
      </c>
      <c r="H1127" s="48" t="n">
        <v>5</v>
      </c>
      <c r="I1127" s="46" t="s">
        <v>5016</v>
      </c>
      <c r="J1127" s="47" t="s">
        <v>5677</v>
      </c>
      <c r="K1127" s="24" t="s">
        <v>5678</v>
      </c>
      <c r="L1127" s="46" t="s">
        <v>5679</v>
      </c>
      <c r="M1127" s="24" t="s">
        <v>5673</v>
      </c>
      <c r="N1127" s="46" t="s">
        <v>5674</v>
      </c>
      <c r="O1127" s="24" t="s">
        <v>5528</v>
      </c>
      <c r="P1127" s="46" t="s">
        <v>5529</v>
      </c>
      <c r="Q1127" s="46"/>
      <c r="R1127" s="47" t="s">
        <v>44</v>
      </c>
      <c r="S1127" s="47"/>
    </row>
    <row r="1128" customFormat="false" ht="15" hidden="false" customHeight="true" outlineLevel="0" collapsed="false">
      <c r="A1128" s="49" t="n">
        <v>1139</v>
      </c>
      <c r="B1128" s="25" t="s">
        <v>5668</v>
      </c>
      <c r="C1128" s="50"/>
      <c r="D1128" s="50" t="s">
        <v>5669</v>
      </c>
      <c r="E1128" s="49" t="s">
        <v>18</v>
      </c>
      <c r="F1128" s="49" t="s">
        <v>2104</v>
      </c>
      <c r="G1128" s="25" t="s">
        <v>1036</v>
      </c>
      <c r="H1128" s="51" t="n">
        <v>5</v>
      </c>
      <c r="I1128" s="49" t="s">
        <v>5016</v>
      </c>
      <c r="J1128" s="50" t="s">
        <v>5680</v>
      </c>
      <c r="K1128" s="25" t="s">
        <v>3532</v>
      </c>
      <c r="L1128" s="49" t="s">
        <v>5681</v>
      </c>
      <c r="M1128" s="25" t="s">
        <v>5673</v>
      </c>
      <c r="N1128" s="49" t="s">
        <v>5674</v>
      </c>
      <c r="O1128" s="25" t="s">
        <v>5528</v>
      </c>
      <c r="P1128" s="49" t="s">
        <v>5529</v>
      </c>
      <c r="Q1128" s="49"/>
      <c r="R1128" s="50" t="s">
        <v>44</v>
      </c>
      <c r="S1128" s="50"/>
    </row>
    <row r="1129" customFormat="false" ht="15" hidden="false" customHeight="true" outlineLevel="0" collapsed="false">
      <c r="A1129" s="46" t="n">
        <v>1140</v>
      </c>
      <c r="B1129" s="24" t="s">
        <v>5668</v>
      </c>
      <c r="C1129" s="47"/>
      <c r="D1129" s="47" t="s">
        <v>5669</v>
      </c>
      <c r="E1129" s="46" t="s">
        <v>18</v>
      </c>
      <c r="F1129" s="46" t="s">
        <v>2104</v>
      </c>
      <c r="G1129" s="24" t="s">
        <v>1036</v>
      </c>
      <c r="H1129" s="48" t="n">
        <v>5</v>
      </c>
      <c r="I1129" s="46" t="s">
        <v>5016</v>
      </c>
      <c r="J1129" s="47" t="s">
        <v>5682</v>
      </c>
      <c r="K1129" s="24" t="s">
        <v>5683</v>
      </c>
      <c r="L1129" s="46" t="s">
        <v>5684</v>
      </c>
      <c r="M1129" s="24" t="s">
        <v>5673</v>
      </c>
      <c r="N1129" s="46" t="s">
        <v>5674</v>
      </c>
      <c r="O1129" s="24" t="s">
        <v>5528</v>
      </c>
      <c r="P1129" s="46" t="s">
        <v>5529</v>
      </c>
      <c r="Q1129" s="46"/>
      <c r="R1129" s="47" t="s">
        <v>44</v>
      </c>
      <c r="S1129" s="47"/>
    </row>
    <row r="1130" customFormat="false" ht="15" hidden="false" customHeight="true" outlineLevel="0" collapsed="false">
      <c r="A1130" s="49" t="n">
        <v>1141</v>
      </c>
      <c r="B1130" s="25" t="s">
        <v>5668</v>
      </c>
      <c r="C1130" s="50"/>
      <c r="D1130" s="50" t="s">
        <v>5669</v>
      </c>
      <c r="E1130" s="49" t="s">
        <v>18</v>
      </c>
      <c r="F1130" s="49" t="s">
        <v>2104</v>
      </c>
      <c r="G1130" s="25" t="s">
        <v>1036</v>
      </c>
      <c r="H1130" s="51" t="n">
        <v>5</v>
      </c>
      <c r="I1130" s="49" t="s">
        <v>5016</v>
      </c>
      <c r="J1130" s="50" t="s">
        <v>5685</v>
      </c>
      <c r="K1130" s="25" t="s">
        <v>4801</v>
      </c>
      <c r="L1130" s="49" t="s">
        <v>5686</v>
      </c>
      <c r="M1130" s="25" t="s">
        <v>5673</v>
      </c>
      <c r="N1130" s="49" t="s">
        <v>5674</v>
      </c>
      <c r="O1130" s="25" t="s">
        <v>5528</v>
      </c>
      <c r="P1130" s="49" t="s">
        <v>5529</v>
      </c>
      <c r="Q1130" s="49"/>
      <c r="R1130" s="50" t="s">
        <v>44</v>
      </c>
      <c r="S1130" s="50"/>
    </row>
    <row r="1131" customFormat="false" ht="15" hidden="false" customHeight="true" outlineLevel="0" collapsed="false">
      <c r="A1131" s="46" t="n">
        <v>1142</v>
      </c>
      <c r="B1131" s="24" t="s">
        <v>5668</v>
      </c>
      <c r="C1131" s="47"/>
      <c r="D1131" s="47" t="s">
        <v>5669</v>
      </c>
      <c r="E1131" s="46" t="s">
        <v>18</v>
      </c>
      <c r="F1131" s="46" t="s">
        <v>2104</v>
      </c>
      <c r="G1131" s="24" t="s">
        <v>1036</v>
      </c>
      <c r="H1131" s="48" t="n">
        <v>5</v>
      </c>
      <c r="I1131" s="46" t="s">
        <v>5016</v>
      </c>
      <c r="J1131" s="47" t="s">
        <v>5687</v>
      </c>
      <c r="K1131" s="24" t="s">
        <v>4776</v>
      </c>
      <c r="L1131" s="46" t="s">
        <v>5688</v>
      </c>
      <c r="M1131" s="24" t="s">
        <v>5673</v>
      </c>
      <c r="N1131" s="46" t="s">
        <v>5674</v>
      </c>
      <c r="O1131" s="24" t="s">
        <v>5528</v>
      </c>
      <c r="P1131" s="46" t="s">
        <v>5529</v>
      </c>
      <c r="Q1131" s="46"/>
      <c r="R1131" s="47" t="s">
        <v>44</v>
      </c>
      <c r="S1131" s="47"/>
    </row>
    <row r="1132" customFormat="false" ht="15" hidden="false" customHeight="true" outlineLevel="0" collapsed="false">
      <c r="A1132" s="49" t="n">
        <v>1143</v>
      </c>
      <c r="B1132" s="25" t="s">
        <v>5668</v>
      </c>
      <c r="C1132" s="50"/>
      <c r="D1132" s="50" t="s">
        <v>5669</v>
      </c>
      <c r="E1132" s="49" t="s">
        <v>18</v>
      </c>
      <c r="F1132" s="49" t="s">
        <v>2104</v>
      </c>
      <c r="G1132" s="25" t="s">
        <v>1036</v>
      </c>
      <c r="H1132" s="51" t="n">
        <v>5</v>
      </c>
      <c r="I1132" s="49" t="s">
        <v>5016</v>
      </c>
      <c r="J1132" s="50" t="s">
        <v>5685</v>
      </c>
      <c r="K1132" s="25" t="s">
        <v>4843</v>
      </c>
      <c r="L1132" s="49" t="s">
        <v>5689</v>
      </c>
      <c r="M1132" s="25" t="s">
        <v>5673</v>
      </c>
      <c r="N1132" s="49" t="s">
        <v>5674</v>
      </c>
      <c r="O1132" s="25" t="s">
        <v>5528</v>
      </c>
      <c r="P1132" s="49" t="s">
        <v>5529</v>
      </c>
      <c r="Q1132" s="49"/>
      <c r="R1132" s="50" t="s">
        <v>44</v>
      </c>
      <c r="S1132" s="50"/>
    </row>
    <row r="1133" customFormat="false" ht="15" hidden="false" customHeight="true" outlineLevel="0" collapsed="false">
      <c r="A1133" s="46" t="n">
        <v>1144</v>
      </c>
      <c r="B1133" s="24" t="s">
        <v>5668</v>
      </c>
      <c r="C1133" s="47"/>
      <c r="D1133" s="47" t="s">
        <v>5669</v>
      </c>
      <c r="E1133" s="46" t="s">
        <v>18</v>
      </c>
      <c r="F1133" s="46" t="s">
        <v>2104</v>
      </c>
      <c r="G1133" s="24" t="s">
        <v>1036</v>
      </c>
      <c r="H1133" s="48" t="n">
        <v>5</v>
      </c>
      <c r="I1133" s="46" t="s">
        <v>5016</v>
      </c>
      <c r="J1133" s="47" t="s">
        <v>5690</v>
      </c>
      <c r="K1133" s="24" t="s">
        <v>5666</v>
      </c>
      <c r="L1133" s="46" t="s">
        <v>5691</v>
      </c>
      <c r="M1133" s="24" t="s">
        <v>5673</v>
      </c>
      <c r="N1133" s="46" t="s">
        <v>5674</v>
      </c>
      <c r="O1133" s="24" t="s">
        <v>5528</v>
      </c>
      <c r="P1133" s="46" t="s">
        <v>5529</v>
      </c>
      <c r="Q1133" s="46"/>
      <c r="R1133" s="47" t="s">
        <v>44</v>
      </c>
      <c r="S1133" s="47"/>
    </row>
    <row r="1134" customFormat="false" ht="15" hidden="false" customHeight="true" outlineLevel="0" collapsed="false">
      <c r="A1134" s="49" t="n">
        <v>1145</v>
      </c>
      <c r="B1134" s="25" t="s">
        <v>5668</v>
      </c>
      <c r="C1134" s="50"/>
      <c r="D1134" s="50" t="s">
        <v>5669</v>
      </c>
      <c r="E1134" s="49" t="s">
        <v>18</v>
      </c>
      <c r="F1134" s="49" t="s">
        <v>2104</v>
      </c>
      <c r="G1134" s="25" t="s">
        <v>1036</v>
      </c>
      <c r="H1134" s="51" t="n">
        <v>5</v>
      </c>
      <c r="I1134" s="49" t="s">
        <v>5016</v>
      </c>
      <c r="J1134" s="50" t="s">
        <v>5692</v>
      </c>
      <c r="K1134" s="25" t="s">
        <v>5693</v>
      </c>
      <c r="L1134" s="49" t="s">
        <v>5694</v>
      </c>
      <c r="M1134" s="25" t="s">
        <v>5673</v>
      </c>
      <c r="N1134" s="49" t="s">
        <v>5674</v>
      </c>
      <c r="O1134" s="25" t="s">
        <v>5528</v>
      </c>
      <c r="P1134" s="49" t="s">
        <v>5529</v>
      </c>
      <c r="Q1134" s="49"/>
      <c r="R1134" s="50" t="s">
        <v>44</v>
      </c>
      <c r="S1134" s="50"/>
    </row>
    <row r="1135" customFormat="false" ht="15" hidden="false" customHeight="true" outlineLevel="0" collapsed="false">
      <c r="A1135" s="46" t="n">
        <v>1146</v>
      </c>
      <c r="B1135" s="24" t="s">
        <v>5668</v>
      </c>
      <c r="C1135" s="47"/>
      <c r="D1135" s="47" t="s">
        <v>5669</v>
      </c>
      <c r="E1135" s="46" t="s">
        <v>18</v>
      </c>
      <c r="F1135" s="46" t="s">
        <v>2104</v>
      </c>
      <c r="G1135" s="24" t="s">
        <v>1036</v>
      </c>
      <c r="H1135" s="48" t="n">
        <v>5</v>
      </c>
      <c r="I1135" s="46" t="s">
        <v>5016</v>
      </c>
      <c r="J1135" s="47" t="s">
        <v>5695</v>
      </c>
      <c r="K1135" s="24" t="s">
        <v>5696</v>
      </c>
      <c r="L1135" s="46" t="s">
        <v>5697</v>
      </c>
      <c r="M1135" s="24" t="s">
        <v>5673</v>
      </c>
      <c r="N1135" s="46" t="s">
        <v>5674</v>
      </c>
      <c r="O1135" s="24" t="s">
        <v>5528</v>
      </c>
      <c r="P1135" s="46" t="s">
        <v>5529</v>
      </c>
      <c r="Q1135" s="46"/>
      <c r="R1135" s="47" t="s">
        <v>44</v>
      </c>
      <c r="S1135" s="47"/>
    </row>
    <row r="1136" customFormat="false" ht="15" hidden="false" customHeight="true" outlineLevel="0" collapsed="false">
      <c r="A1136" s="49" t="n">
        <v>1147</v>
      </c>
      <c r="B1136" s="25" t="s">
        <v>5698</v>
      </c>
      <c r="C1136" s="50"/>
      <c r="D1136" s="50" t="s">
        <v>5669</v>
      </c>
      <c r="E1136" s="49" t="s">
        <v>18</v>
      </c>
      <c r="F1136" s="49" t="s">
        <v>2104</v>
      </c>
      <c r="G1136" s="25" t="s">
        <v>1036</v>
      </c>
      <c r="H1136" s="51" t="n">
        <v>5</v>
      </c>
      <c r="I1136" s="49" t="s">
        <v>5016</v>
      </c>
      <c r="J1136" s="50" t="s">
        <v>5699</v>
      </c>
      <c r="K1136" s="25" t="s">
        <v>5700</v>
      </c>
      <c r="L1136" s="49" t="s">
        <v>5701</v>
      </c>
      <c r="M1136" s="25" t="s">
        <v>5702</v>
      </c>
      <c r="N1136" s="49" t="s">
        <v>5703</v>
      </c>
      <c r="O1136" s="25" t="s">
        <v>5528</v>
      </c>
      <c r="P1136" s="49" t="s">
        <v>5529</v>
      </c>
      <c r="Q1136" s="49"/>
      <c r="R1136" s="50" t="s">
        <v>44</v>
      </c>
      <c r="S1136" s="50"/>
    </row>
    <row r="1137" customFormat="false" ht="15" hidden="false" customHeight="true" outlineLevel="0" collapsed="false">
      <c r="A1137" s="46" t="n">
        <v>1148</v>
      </c>
      <c r="B1137" s="24" t="s">
        <v>5669</v>
      </c>
      <c r="C1137" s="47"/>
      <c r="D1137" s="47" t="s">
        <v>5669</v>
      </c>
      <c r="E1137" s="46" t="s">
        <v>18</v>
      </c>
      <c r="F1137" s="46" t="s">
        <v>2104</v>
      </c>
      <c r="G1137" s="24" t="s">
        <v>1036</v>
      </c>
      <c r="H1137" s="48" t="n">
        <v>5</v>
      </c>
      <c r="I1137" s="46" t="s">
        <v>5016</v>
      </c>
      <c r="J1137" s="47" t="s">
        <v>5704</v>
      </c>
      <c r="K1137" s="24" t="s">
        <v>5291</v>
      </c>
      <c r="L1137" s="46" t="s">
        <v>5705</v>
      </c>
      <c r="M1137" s="24" t="s">
        <v>5702</v>
      </c>
      <c r="N1137" s="46" t="s">
        <v>5703</v>
      </c>
      <c r="O1137" s="24" t="s">
        <v>5528</v>
      </c>
      <c r="P1137" s="46" t="s">
        <v>5529</v>
      </c>
      <c r="Q1137" s="46"/>
      <c r="R1137" s="47" t="s">
        <v>44</v>
      </c>
      <c r="S1137" s="47"/>
    </row>
    <row r="1138" customFormat="false" ht="15" hidden="false" customHeight="true" outlineLevel="0" collapsed="false">
      <c r="A1138" s="49" t="n">
        <v>1149</v>
      </c>
      <c r="B1138" s="25" t="s">
        <v>5706</v>
      </c>
      <c r="C1138" s="50"/>
      <c r="D1138" s="50" t="s">
        <v>5669</v>
      </c>
      <c r="E1138" s="49" t="s">
        <v>18</v>
      </c>
      <c r="F1138" s="49" t="s">
        <v>2104</v>
      </c>
      <c r="G1138" s="25" t="s">
        <v>1036</v>
      </c>
      <c r="H1138" s="51" t="n">
        <v>5</v>
      </c>
      <c r="I1138" s="49" t="s">
        <v>5016</v>
      </c>
      <c r="J1138" s="50" t="s">
        <v>5707</v>
      </c>
      <c r="K1138" s="25" t="s">
        <v>4843</v>
      </c>
      <c r="L1138" s="49" t="s">
        <v>5708</v>
      </c>
      <c r="M1138" s="25" t="s">
        <v>5702</v>
      </c>
      <c r="N1138" s="49" t="s">
        <v>5703</v>
      </c>
      <c r="O1138" s="25" t="s">
        <v>5528</v>
      </c>
      <c r="P1138" s="49" t="s">
        <v>5529</v>
      </c>
      <c r="Q1138" s="49"/>
      <c r="R1138" s="50" t="s">
        <v>44</v>
      </c>
      <c r="S1138" s="50"/>
    </row>
    <row r="1139" customFormat="false" ht="15" hidden="false" customHeight="true" outlineLevel="0" collapsed="false">
      <c r="A1139" s="46" t="n">
        <v>1150</v>
      </c>
      <c r="B1139" s="24" t="s">
        <v>5698</v>
      </c>
      <c r="C1139" s="47"/>
      <c r="D1139" s="47" t="s">
        <v>5669</v>
      </c>
      <c r="E1139" s="46" t="s">
        <v>18</v>
      </c>
      <c r="F1139" s="46" t="s">
        <v>2104</v>
      </c>
      <c r="G1139" s="24" t="s">
        <v>1036</v>
      </c>
      <c r="H1139" s="48" t="n">
        <v>5</v>
      </c>
      <c r="I1139" s="46" t="s">
        <v>5016</v>
      </c>
      <c r="J1139" s="47" t="s">
        <v>5709</v>
      </c>
      <c r="K1139" s="24" t="s">
        <v>4304</v>
      </c>
      <c r="L1139" s="46" t="s">
        <v>5710</v>
      </c>
      <c r="M1139" s="24" t="s">
        <v>5702</v>
      </c>
      <c r="N1139" s="46" t="s">
        <v>5703</v>
      </c>
      <c r="O1139" s="24" t="s">
        <v>5528</v>
      </c>
      <c r="P1139" s="46" t="s">
        <v>5529</v>
      </c>
      <c r="Q1139" s="46"/>
      <c r="R1139" s="47" t="s">
        <v>44</v>
      </c>
      <c r="S1139" s="47"/>
    </row>
    <row r="1140" customFormat="false" ht="15" hidden="false" customHeight="true" outlineLevel="0" collapsed="false">
      <c r="A1140" s="49" t="n">
        <v>1151</v>
      </c>
      <c r="B1140" s="25" t="s">
        <v>5668</v>
      </c>
      <c r="C1140" s="50"/>
      <c r="D1140" s="50" t="s">
        <v>5669</v>
      </c>
      <c r="E1140" s="49" t="s">
        <v>18</v>
      </c>
      <c r="F1140" s="49" t="s">
        <v>2104</v>
      </c>
      <c r="G1140" s="25" t="s">
        <v>1036</v>
      </c>
      <c r="H1140" s="51" t="n">
        <v>5</v>
      </c>
      <c r="I1140" s="49" t="s">
        <v>5016</v>
      </c>
      <c r="J1140" s="50" t="s">
        <v>5711</v>
      </c>
      <c r="K1140" s="25" t="s">
        <v>3141</v>
      </c>
      <c r="L1140" s="49" t="s">
        <v>5712</v>
      </c>
      <c r="M1140" s="25" t="s">
        <v>5673</v>
      </c>
      <c r="N1140" s="49" t="s">
        <v>5674</v>
      </c>
      <c r="O1140" s="25" t="s">
        <v>5528</v>
      </c>
      <c r="P1140" s="49" t="s">
        <v>5529</v>
      </c>
      <c r="Q1140" s="49"/>
      <c r="R1140" s="50" t="s">
        <v>44</v>
      </c>
      <c r="S1140" s="50"/>
    </row>
    <row r="1141" customFormat="false" ht="15" hidden="false" customHeight="true" outlineLevel="0" collapsed="false">
      <c r="A1141" s="46" t="n">
        <v>1152</v>
      </c>
      <c r="B1141" s="24" t="s">
        <v>5698</v>
      </c>
      <c r="C1141" s="47"/>
      <c r="D1141" s="47" t="s">
        <v>5669</v>
      </c>
      <c r="E1141" s="46" t="s">
        <v>18</v>
      </c>
      <c r="F1141" s="46" t="s">
        <v>2104</v>
      </c>
      <c r="G1141" s="24" t="s">
        <v>1036</v>
      </c>
      <c r="H1141" s="48" t="n">
        <v>5</v>
      </c>
      <c r="I1141" s="46" t="s">
        <v>5016</v>
      </c>
      <c r="J1141" s="47" t="s">
        <v>5713</v>
      </c>
      <c r="K1141" s="24" t="s">
        <v>5714</v>
      </c>
      <c r="L1141" s="46" t="s">
        <v>5715</v>
      </c>
      <c r="M1141" s="24" t="s">
        <v>5702</v>
      </c>
      <c r="N1141" s="46" t="s">
        <v>5703</v>
      </c>
      <c r="O1141" s="24" t="s">
        <v>5528</v>
      </c>
      <c r="P1141" s="46" t="s">
        <v>5529</v>
      </c>
      <c r="Q1141" s="46"/>
      <c r="R1141" s="47" t="s">
        <v>44</v>
      </c>
      <c r="S1141" s="47"/>
    </row>
    <row r="1142" customFormat="false" ht="15" hidden="false" customHeight="true" outlineLevel="0" collapsed="false">
      <c r="A1142" s="49" t="n">
        <v>1153</v>
      </c>
      <c r="B1142" s="25" t="s">
        <v>5698</v>
      </c>
      <c r="C1142" s="50"/>
      <c r="D1142" s="50" t="s">
        <v>5669</v>
      </c>
      <c r="E1142" s="49" t="s">
        <v>18</v>
      </c>
      <c r="F1142" s="49" t="s">
        <v>2104</v>
      </c>
      <c r="G1142" s="25" t="s">
        <v>1036</v>
      </c>
      <c r="H1142" s="51" t="n">
        <v>5</v>
      </c>
      <c r="I1142" s="49" t="s">
        <v>5016</v>
      </c>
      <c r="J1142" s="50" t="s">
        <v>5716</v>
      </c>
      <c r="K1142" s="25" t="s">
        <v>3141</v>
      </c>
      <c r="L1142" s="49" t="s">
        <v>5717</v>
      </c>
      <c r="M1142" s="25" t="s">
        <v>5702</v>
      </c>
      <c r="N1142" s="49" t="s">
        <v>5703</v>
      </c>
      <c r="O1142" s="25" t="s">
        <v>5528</v>
      </c>
      <c r="P1142" s="49" t="s">
        <v>5529</v>
      </c>
      <c r="Q1142" s="49"/>
      <c r="R1142" s="50" t="s">
        <v>44</v>
      </c>
      <c r="S1142" s="50"/>
    </row>
    <row r="1143" customFormat="false" ht="15" hidden="false" customHeight="true" outlineLevel="0" collapsed="false">
      <c r="A1143" s="46" t="n">
        <v>1154</v>
      </c>
      <c r="B1143" s="24" t="s">
        <v>5718</v>
      </c>
      <c r="C1143" s="47"/>
      <c r="D1143" s="47" t="s">
        <v>5669</v>
      </c>
      <c r="E1143" s="46" t="s">
        <v>18</v>
      </c>
      <c r="F1143" s="46" t="s">
        <v>2104</v>
      </c>
      <c r="G1143" s="24" t="s">
        <v>1036</v>
      </c>
      <c r="H1143" s="48" t="n">
        <v>5</v>
      </c>
      <c r="I1143" s="46" t="s">
        <v>5049</v>
      </c>
      <c r="J1143" s="47" t="s">
        <v>5719</v>
      </c>
      <c r="K1143" s="24" t="s">
        <v>5720</v>
      </c>
      <c r="L1143" s="46" t="s">
        <v>5721</v>
      </c>
      <c r="M1143" s="24" t="s">
        <v>5702</v>
      </c>
      <c r="N1143" s="46" t="s">
        <v>5703</v>
      </c>
      <c r="O1143" s="24" t="s">
        <v>5528</v>
      </c>
      <c r="P1143" s="46" t="s">
        <v>5529</v>
      </c>
      <c r="Q1143" s="46"/>
      <c r="R1143" s="47" t="s">
        <v>44</v>
      </c>
      <c r="S1143" s="47"/>
    </row>
    <row r="1144" customFormat="false" ht="15" hidden="false" customHeight="true" outlineLevel="0" collapsed="false">
      <c r="A1144" s="49" t="n">
        <v>1155</v>
      </c>
      <c r="B1144" s="25" t="s">
        <v>5706</v>
      </c>
      <c r="C1144" s="50"/>
      <c r="D1144" s="50" t="s">
        <v>5669</v>
      </c>
      <c r="E1144" s="49" t="s">
        <v>18</v>
      </c>
      <c r="F1144" s="49" t="s">
        <v>2104</v>
      </c>
      <c r="G1144" s="25" t="s">
        <v>1036</v>
      </c>
      <c r="H1144" s="51" t="n">
        <v>5</v>
      </c>
      <c r="I1144" s="49" t="s">
        <v>5049</v>
      </c>
      <c r="J1144" s="50" t="s">
        <v>5722</v>
      </c>
      <c r="K1144" s="25" t="s">
        <v>5723</v>
      </c>
      <c r="L1144" s="49" t="s">
        <v>5724</v>
      </c>
      <c r="M1144" s="25" t="s">
        <v>5702</v>
      </c>
      <c r="N1144" s="49" t="s">
        <v>5703</v>
      </c>
      <c r="O1144" s="25" t="s">
        <v>5528</v>
      </c>
      <c r="P1144" s="49" t="s">
        <v>5529</v>
      </c>
      <c r="Q1144" s="49"/>
      <c r="R1144" s="50" t="s">
        <v>44</v>
      </c>
      <c r="S1144" s="50"/>
    </row>
    <row r="1145" customFormat="false" ht="15" hidden="false" customHeight="true" outlineLevel="0" collapsed="false">
      <c r="A1145" s="46" t="n">
        <v>1156</v>
      </c>
      <c r="B1145" s="24" t="s">
        <v>5698</v>
      </c>
      <c r="C1145" s="47"/>
      <c r="D1145" s="47" t="s">
        <v>5669</v>
      </c>
      <c r="E1145" s="46" t="s">
        <v>18</v>
      </c>
      <c r="F1145" s="46" t="s">
        <v>2104</v>
      </c>
      <c r="G1145" s="24" t="s">
        <v>1036</v>
      </c>
      <c r="H1145" s="48" t="n">
        <v>5</v>
      </c>
      <c r="I1145" s="46" t="s">
        <v>5049</v>
      </c>
      <c r="J1145" s="47" t="s">
        <v>5725</v>
      </c>
      <c r="K1145" s="24" t="s">
        <v>5696</v>
      </c>
      <c r="L1145" s="46" t="s">
        <v>5726</v>
      </c>
      <c r="M1145" s="24" t="s">
        <v>5702</v>
      </c>
      <c r="N1145" s="46" t="s">
        <v>5703</v>
      </c>
      <c r="O1145" s="24" t="s">
        <v>5528</v>
      </c>
      <c r="P1145" s="46" t="s">
        <v>5529</v>
      </c>
      <c r="Q1145" s="46"/>
      <c r="R1145" s="47" t="s">
        <v>44</v>
      </c>
      <c r="S1145" s="47"/>
    </row>
    <row r="1146" customFormat="false" ht="15" hidden="false" customHeight="true" outlineLevel="0" collapsed="false">
      <c r="A1146" s="49" t="n">
        <v>1157</v>
      </c>
      <c r="B1146" s="25" t="s">
        <v>5698</v>
      </c>
      <c r="C1146" s="50"/>
      <c r="D1146" s="50" t="s">
        <v>5669</v>
      </c>
      <c r="E1146" s="49" t="s">
        <v>18</v>
      </c>
      <c r="F1146" s="49" t="s">
        <v>2104</v>
      </c>
      <c r="G1146" s="25" t="s">
        <v>1036</v>
      </c>
      <c r="H1146" s="51" t="n">
        <v>5</v>
      </c>
      <c r="I1146" s="49" t="s">
        <v>5049</v>
      </c>
      <c r="J1146" s="50" t="s">
        <v>5727</v>
      </c>
      <c r="K1146" s="25" t="s">
        <v>5728</v>
      </c>
      <c r="L1146" s="49" t="s">
        <v>5729</v>
      </c>
      <c r="M1146" s="25" t="s">
        <v>5702</v>
      </c>
      <c r="N1146" s="49" t="s">
        <v>5703</v>
      </c>
      <c r="O1146" s="25" t="s">
        <v>5528</v>
      </c>
      <c r="P1146" s="49" t="s">
        <v>5529</v>
      </c>
      <c r="Q1146" s="49"/>
      <c r="R1146" s="50" t="s">
        <v>44</v>
      </c>
      <c r="S1146" s="50"/>
    </row>
    <row r="1147" customFormat="false" ht="15" hidden="false" customHeight="true" outlineLevel="0" collapsed="false">
      <c r="A1147" s="46" t="n">
        <v>1158</v>
      </c>
      <c r="B1147" s="24" t="s">
        <v>5698</v>
      </c>
      <c r="C1147" s="47"/>
      <c r="D1147" s="47" t="s">
        <v>5669</v>
      </c>
      <c r="E1147" s="46" t="s">
        <v>18</v>
      </c>
      <c r="F1147" s="46" t="s">
        <v>2104</v>
      </c>
      <c r="G1147" s="24" t="s">
        <v>1036</v>
      </c>
      <c r="H1147" s="48" t="n">
        <v>5</v>
      </c>
      <c r="I1147" s="46" t="s">
        <v>5049</v>
      </c>
      <c r="J1147" s="47" t="s">
        <v>5730</v>
      </c>
      <c r="K1147" s="24" t="s">
        <v>3349</v>
      </c>
      <c r="L1147" s="46" t="s">
        <v>5731</v>
      </c>
      <c r="M1147" s="24" t="s">
        <v>5702</v>
      </c>
      <c r="N1147" s="46" t="s">
        <v>5703</v>
      </c>
      <c r="O1147" s="24" t="s">
        <v>5528</v>
      </c>
      <c r="P1147" s="46" t="s">
        <v>5529</v>
      </c>
      <c r="Q1147" s="46"/>
      <c r="R1147" s="47" t="s">
        <v>44</v>
      </c>
      <c r="S1147" s="47"/>
    </row>
    <row r="1148" customFormat="false" ht="15" hidden="false" customHeight="true" outlineLevel="0" collapsed="false">
      <c r="A1148" s="49" t="n">
        <v>1159</v>
      </c>
      <c r="B1148" s="25" t="s">
        <v>5698</v>
      </c>
      <c r="C1148" s="50"/>
      <c r="D1148" s="50" t="s">
        <v>5669</v>
      </c>
      <c r="E1148" s="49" t="s">
        <v>18</v>
      </c>
      <c r="F1148" s="49" t="s">
        <v>2104</v>
      </c>
      <c r="G1148" s="25" t="s">
        <v>1036</v>
      </c>
      <c r="H1148" s="51" t="n">
        <v>5</v>
      </c>
      <c r="I1148" s="49" t="s">
        <v>5049</v>
      </c>
      <c r="J1148" s="50" t="s">
        <v>5732</v>
      </c>
      <c r="K1148" s="25" t="s">
        <v>5733</v>
      </c>
      <c r="L1148" s="49" t="s">
        <v>5734</v>
      </c>
      <c r="M1148" s="25" t="s">
        <v>5702</v>
      </c>
      <c r="N1148" s="49" t="s">
        <v>5703</v>
      </c>
      <c r="O1148" s="25" t="s">
        <v>5528</v>
      </c>
      <c r="P1148" s="49" t="s">
        <v>5529</v>
      </c>
      <c r="Q1148" s="49"/>
      <c r="R1148" s="50" t="s">
        <v>44</v>
      </c>
      <c r="S1148" s="50"/>
    </row>
    <row r="1149" customFormat="false" ht="15" hidden="false" customHeight="true" outlineLevel="0" collapsed="false">
      <c r="A1149" s="46" t="n">
        <v>1160</v>
      </c>
      <c r="B1149" s="24" t="s">
        <v>5698</v>
      </c>
      <c r="C1149" s="47"/>
      <c r="D1149" s="47" t="s">
        <v>5669</v>
      </c>
      <c r="E1149" s="46" t="s">
        <v>18</v>
      </c>
      <c r="F1149" s="46" t="s">
        <v>2104</v>
      </c>
      <c r="G1149" s="24" t="s">
        <v>1036</v>
      </c>
      <c r="H1149" s="48" t="n">
        <v>5</v>
      </c>
      <c r="I1149" s="46" t="s">
        <v>5049</v>
      </c>
      <c r="J1149" s="47" t="s">
        <v>5735</v>
      </c>
      <c r="K1149" s="24" t="s">
        <v>5736</v>
      </c>
      <c r="L1149" s="46" t="s">
        <v>5737</v>
      </c>
      <c r="M1149" s="24" t="s">
        <v>5702</v>
      </c>
      <c r="N1149" s="46" t="s">
        <v>5703</v>
      </c>
      <c r="O1149" s="24" t="s">
        <v>5528</v>
      </c>
      <c r="P1149" s="46" t="s">
        <v>5529</v>
      </c>
      <c r="Q1149" s="46"/>
      <c r="R1149" s="47" t="s">
        <v>44</v>
      </c>
      <c r="S1149" s="47"/>
    </row>
    <row r="1150" customFormat="false" ht="15" hidden="false" customHeight="true" outlineLevel="0" collapsed="false">
      <c r="A1150" s="49" t="n">
        <v>1161</v>
      </c>
      <c r="B1150" s="25" t="s">
        <v>5698</v>
      </c>
      <c r="C1150" s="50"/>
      <c r="D1150" s="50" t="s">
        <v>5669</v>
      </c>
      <c r="E1150" s="49" t="s">
        <v>18</v>
      </c>
      <c r="F1150" s="49" t="s">
        <v>2104</v>
      </c>
      <c r="G1150" s="25" t="s">
        <v>1036</v>
      </c>
      <c r="H1150" s="51" t="n">
        <v>5</v>
      </c>
      <c r="I1150" s="49" t="s">
        <v>5049</v>
      </c>
      <c r="J1150" s="50" t="s">
        <v>5738</v>
      </c>
      <c r="K1150" s="25" t="s">
        <v>3228</v>
      </c>
      <c r="L1150" s="49" t="s">
        <v>5739</v>
      </c>
      <c r="M1150" s="25" t="s">
        <v>5702</v>
      </c>
      <c r="N1150" s="49" t="s">
        <v>5703</v>
      </c>
      <c r="O1150" s="25" t="s">
        <v>5528</v>
      </c>
      <c r="P1150" s="49" t="s">
        <v>5529</v>
      </c>
      <c r="Q1150" s="49"/>
      <c r="R1150" s="50" t="s">
        <v>44</v>
      </c>
      <c r="S1150" s="50"/>
    </row>
    <row r="1151" customFormat="false" ht="15" hidden="false" customHeight="true" outlineLevel="0" collapsed="false">
      <c r="A1151" s="46" t="n">
        <v>1162</v>
      </c>
      <c r="B1151" s="24" t="s">
        <v>5698</v>
      </c>
      <c r="C1151" s="47"/>
      <c r="D1151" s="47" t="s">
        <v>5669</v>
      </c>
      <c r="E1151" s="46" t="s">
        <v>18</v>
      </c>
      <c r="F1151" s="46" t="s">
        <v>2104</v>
      </c>
      <c r="G1151" s="24" t="s">
        <v>1036</v>
      </c>
      <c r="H1151" s="48" t="n">
        <v>5</v>
      </c>
      <c r="I1151" s="46" t="s">
        <v>5049</v>
      </c>
      <c r="J1151" s="47" t="s">
        <v>5740</v>
      </c>
      <c r="K1151" s="24" t="s">
        <v>3745</v>
      </c>
      <c r="L1151" s="46" t="s">
        <v>5741</v>
      </c>
      <c r="M1151" s="24" t="s">
        <v>5702</v>
      </c>
      <c r="N1151" s="46" t="s">
        <v>5703</v>
      </c>
      <c r="O1151" s="24" t="s">
        <v>5528</v>
      </c>
      <c r="P1151" s="46" t="s">
        <v>5529</v>
      </c>
      <c r="Q1151" s="46"/>
      <c r="R1151" s="47" t="s">
        <v>44</v>
      </c>
      <c r="S1151" s="47"/>
    </row>
    <row r="1152" customFormat="false" ht="15" hidden="false" customHeight="true" outlineLevel="0" collapsed="false">
      <c r="A1152" s="49" t="n">
        <v>1163</v>
      </c>
      <c r="B1152" s="25" t="s">
        <v>5698</v>
      </c>
      <c r="C1152" s="50"/>
      <c r="D1152" s="50" t="s">
        <v>5669</v>
      </c>
      <c r="E1152" s="49" t="s">
        <v>18</v>
      </c>
      <c r="F1152" s="49" t="s">
        <v>2104</v>
      </c>
      <c r="G1152" s="25" t="s">
        <v>1036</v>
      </c>
      <c r="H1152" s="51" t="n">
        <v>5</v>
      </c>
      <c r="I1152" s="49" t="s">
        <v>5049</v>
      </c>
      <c r="J1152" s="50" t="s">
        <v>5742</v>
      </c>
      <c r="K1152" s="25" t="s">
        <v>5743</v>
      </c>
      <c r="L1152" s="49" t="s">
        <v>5744</v>
      </c>
      <c r="M1152" s="25" t="s">
        <v>5702</v>
      </c>
      <c r="N1152" s="49" t="s">
        <v>5703</v>
      </c>
      <c r="O1152" s="25" t="s">
        <v>5528</v>
      </c>
      <c r="P1152" s="49" t="s">
        <v>5529</v>
      </c>
      <c r="Q1152" s="49"/>
      <c r="R1152" s="50" t="s">
        <v>44</v>
      </c>
      <c r="S1152" s="50"/>
    </row>
    <row r="1153" customFormat="false" ht="15" hidden="false" customHeight="true" outlineLevel="0" collapsed="false">
      <c r="A1153" s="46" t="n">
        <v>1164</v>
      </c>
      <c r="B1153" s="24" t="s">
        <v>5698</v>
      </c>
      <c r="C1153" s="47"/>
      <c r="D1153" s="47" t="s">
        <v>5669</v>
      </c>
      <c r="E1153" s="46" t="s">
        <v>18</v>
      </c>
      <c r="F1153" s="46" t="s">
        <v>2104</v>
      </c>
      <c r="G1153" s="24" t="s">
        <v>1036</v>
      </c>
      <c r="H1153" s="48" t="n">
        <v>5</v>
      </c>
      <c r="I1153" s="46" t="s">
        <v>5049</v>
      </c>
      <c r="J1153" s="47" t="s">
        <v>5745</v>
      </c>
      <c r="K1153" s="24" t="s">
        <v>5746</v>
      </c>
      <c r="L1153" s="46" t="s">
        <v>5747</v>
      </c>
      <c r="M1153" s="24" t="s">
        <v>5702</v>
      </c>
      <c r="N1153" s="46" t="s">
        <v>5703</v>
      </c>
      <c r="O1153" s="24" t="s">
        <v>5528</v>
      </c>
      <c r="P1153" s="46" t="s">
        <v>5529</v>
      </c>
      <c r="Q1153" s="46"/>
      <c r="R1153" s="47" t="s">
        <v>44</v>
      </c>
      <c r="S1153" s="47"/>
    </row>
    <row r="1154" customFormat="false" ht="15" hidden="false" customHeight="true" outlineLevel="0" collapsed="false">
      <c r="A1154" s="49" t="n">
        <v>1165</v>
      </c>
      <c r="B1154" s="25" t="s">
        <v>5698</v>
      </c>
      <c r="C1154" s="50"/>
      <c r="D1154" s="50" t="s">
        <v>5669</v>
      </c>
      <c r="E1154" s="49" t="s">
        <v>18</v>
      </c>
      <c r="F1154" s="49" t="s">
        <v>2104</v>
      </c>
      <c r="G1154" s="25" t="s">
        <v>1036</v>
      </c>
      <c r="H1154" s="51" t="n">
        <v>5</v>
      </c>
      <c r="I1154" s="49" t="s">
        <v>5049</v>
      </c>
      <c r="J1154" s="50" t="s">
        <v>5748</v>
      </c>
      <c r="K1154" s="25" t="s">
        <v>3576</v>
      </c>
      <c r="L1154" s="49" t="s">
        <v>5749</v>
      </c>
      <c r="M1154" s="25" t="s">
        <v>5702</v>
      </c>
      <c r="N1154" s="49" t="s">
        <v>5703</v>
      </c>
      <c r="O1154" s="25" t="s">
        <v>5528</v>
      </c>
      <c r="P1154" s="49" t="s">
        <v>5529</v>
      </c>
      <c r="Q1154" s="49"/>
      <c r="R1154" s="50" t="s">
        <v>44</v>
      </c>
      <c r="S1154" s="50"/>
    </row>
    <row r="1155" customFormat="false" ht="15" hidden="false" customHeight="true" outlineLevel="0" collapsed="false">
      <c r="A1155" s="46" t="n">
        <v>1166</v>
      </c>
      <c r="B1155" s="24" t="s">
        <v>5698</v>
      </c>
      <c r="C1155" s="47"/>
      <c r="D1155" s="47" t="s">
        <v>5669</v>
      </c>
      <c r="E1155" s="46" t="s">
        <v>18</v>
      </c>
      <c r="F1155" s="46" t="s">
        <v>2104</v>
      </c>
      <c r="G1155" s="24" t="s">
        <v>1036</v>
      </c>
      <c r="H1155" s="48" t="n">
        <v>5</v>
      </c>
      <c r="I1155" s="46" t="s">
        <v>5049</v>
      </c>
      <c r="J1155" s="47" t="s">
        <v>5750</v>
      </c>
      <c r="K1155" s="24" t="s">
        <v>5751</v>
      </c>
      <c r="L1155" s="46" t="s">
        <v>5752</v>
      </c>
      <c r="M1155" s="24" t="s">
        <v>5702</v>
      </c>
      <c r="N1155" s="46" t="s">
        <v>5703</v>
      </c>
      <c r="O1155" s="24" t="s">
        <v>5528</v>
      </c>
      <c r="P1155" s="46" t="s">
        <v>5529</v>
      </c>
      <c r="Q1155" s="46"/>
      <c r="R1155" s="47" t="s">
        <v>44</v>
      </c>
      <c r="S1155" s="47"/>
    </row>
    <row r="1156" customFormat="false" ht="15" hidden="false" customHeight="true" outlineLevel="0" collapsed="false">
      <c r="A1156" s="49" t="n">
        <v>1167</v>
      </c>
      <c r="B1156" s="25" t="s">
        <v>5718</v>
      </c>
      <c r="C1156" s="50"/>
      <c r="D1156" s="50" t="s">
        <v>5669</v>
      </c>
      <c r="E1156" s="49" t="s">
        <v>18</v>
      </c>
      <c r="F1156" s="49" t="s">
        <v>2104</v>
      </c>
      <c r="G1156" s="25" t="s">
        <v>1036</v>
      </c>
      <c r="H1156" s="51" t="n">
        <v>5</v>
      </c>
      <c r="I1156" s="49" t="s">
        <v>5049</v>
      </c>
      <c r="J1156" s="50" t="s">
        <v>5753</v>
      </c>
      <c r="K1156" s="25" t="s">
        <v>5754</v>
      </c>
      <c r="L1156" s="49" t="s">
        <v>5755</v>
      </c>
      <c r="M1156" s="25" t="s">
        <v>5756</v>
      </c>
      <c r="N1156" s="49" t="s">
        <v>5757</v>
      </c>
      <c r="O1156" s="25" t="s">
        <v>5528</v>
      </c>
      <c r="P1156" s="49" t="s">
        <v>5529</v>
      </c>
      <c r="Q1156" s="49"/>
      <c r="R1156" s="50" t="s">
        <v>44</v>
      </c>
      <c r="S1156" s="50"/>
    </row>
    <row r="1157" customFormat="false" ht="15" hidden="false" customHeight="true" outlineLevel="0" collapsed="false">
      <c r="A1157" s="46" t="n">
        <v>1168</v>
      </c>
      <c r="B1157" s="24" t="s">
        <v>5718</v>
      </c>
      <c r="C1157" s="47"/>
      <c r="D1157" s="47" t="s">
        <v>5669</v>
      </c>
      <c r="E1157" s="46" t="s">
        <v>18</v>
      </c>
      <c r="F1157" s="46" t="s">
        <v>2104</v>
      </c>
      <c r="G1157" s="24" t="s">
        <v>1036</v>
      </c>
      <c r="H1157" s="48" t="n">
        <v>5</v>
      </c>
      <c r="I1157" s="46" t="s">
        <v>5049</v>
      </c>
      <c r="J1157" s="47" t="s">
        <v>5758</v>
      </c>
      <c r="K1157" s="24" t="s">
        <v>3538</v>
      </c>
      <c r="L1157" s="46" t="s">
        <v>5759</v>
      </c>
      <c r="M1157" s="24" t="s">
        <v>5756</v>
      </c>
      <c r="N1157" s="46" t="s">
        <v>5757</v>
      </c>
      <c r="O1157" s="24" t="s">
        <v>5528</v>
      </c>
      <c r="P1157" s="46" t="s">
        <v>5529</v>
      </c>
      <c r="Q1157" s="46"/>
      <c r="R1157" s="47" t="s">
        <v>44</v>
      </c>
      <c r="S1157" s="47"/>
    </row>
    <row r="1158" customFormat="false" ht="15" hidden="false" customHeight="true" outlineLevel="0" collapsed="false">
      <c r="A1158" s="49" t="n">
        <v>1169</v>
      </c>
      <c r="B1158" s="25" t="s">
        <v>5718</v>
      </c>
      <c r="C1158" s="50"/>
      <c r="D1158" s="50" t="s">
        <v>5669</v>
      </c>
      <c r="E1158" s="49" t="s">
        <v>18</v>
      </c>
      <c r="F1158" s="49" t="s">
        <v>2104</v>
      </c>
      <c r="G1158" s="25" t="s">
        <v>1036</v>
      </c>
      <c r="H1158" s="51" t="n">
        <v>5</v>
      </c>
      <c r="I1158" s="49" t="s">
        <v>5049</v>
      </c>
      <c r="J1158" s="50" t="s">
        <v>5760</v>
      </c>
      <c r="K1158" s="25" t="s">
        <v>5761</v>
      </c>
      <c r="L1158" s="49" t="s">
        <v>5762</v>
      </c>
      <c r="M1158" s="25" t="s">
        <v>5756</v>
      </c>
      <c r="N1158" s="49" t="s">
        <v>5757</v>
      </c>
      <c r="O1158" s="25" t="s">
        <v>5528</v>
      </c>
      <c r="P1158" s="49" t="s">
        <v>5529</v>
      </c>
      <c r="Q1158" s="49"/>
      <c r="R1158" s="50" t="s">
        <v>44</v>
      </c>
      <c r="S1158" s="50"/>
    </row>
    <row r="1159" customFormat="false" ht="15" hidden="false" customHeight="true" outlineLevel="0" collapsed="false">
      <c r="A1159" s="46" t="n">
        <v>1170</v>
      </c>
      <c r="B1159" s="24" t="s">
        <v>5718</v>
      </c>
      <c r="C1159" s="47"/>
      <c r="D1159" s="47" t="s">
        <v>5669</v>
      </c>
      <c r="E1159" s="46" t="s">
        <v>18</v>
      </c>
      <c r="F1159" s="46" t="s">
        <v>2104</v>
      </c>
      <c r="G1159" s="24" t="s">
        <v>1036</v>
      </c>
      <c r="H1159" s="48" t="n">
        <v>5</v>
      </c>
      <c r="I1159" s="46" t="s">
        <v>5053</v>
      </c>
      <c r="J1159" s="47" t="s">
        <v>5763</v>
      </c>
      <c r="K1159" s="24" t="s">
        <v>5764</v>
      </c>
      <c r="L1159" s="46" t="s">
        <v>5765</v>
      </c>
      <c r="M1159" s="24" t="s">
        <v>5756</v>
      </c>
      <c r="N1159" s="46" t="s">
        <v>5757</v>
      </c>
      <c r="O1159" s="24" t="s">
        <v>5528</v>
      </c>
      <c r="P1159" s="46" t="s">
        <v>5529</v>
      </c>
      <c r="Q1159" s="46"/>
      <c r="R1159" s="47" t="s">
        <v>44</v>
      </c>
      <c r="S1159" s="47"/>
    </row>
    <row r="1160" customFormat="false" ht="15" hidden="false" customHeight="true" outlineLevel="0" collapsed="false">
      <c r="A1160" s="49" t="n">
        <v>1171</v>
      </c>
      <c r="B1160" s="25" t="s">
        <v>5718</v>
      </c>
      <c r="C1160" s="50"/>
      <c r="D1160" s="50" t="s">
        <v>5669</v>
      </c>
      <c r="E1160" s="49" t="s">
        <v>18</v>
      </c>
      <c r="F1160" s="49" t="s">
        <v>2104</v>
      </c>
      <c r="G1160" s="25" t="s">
        <v>1036</v>
      </c>
      <c r="H1160" s="51" t="n">
        <v>5</v>
      </c>
      <c r="I1160" s="49" t="s">
        <v>5053</v>
      </c>
      <c r="J1160" s="50" t="s">
        <v>5766</v>
      </c>
      <c r="K1160" s="25" t="s">
        <v>4193</v>
      </c>
      <c r="L1160" s="49" t="s">
        <v>5767</v>
      </c>
      <c r="M1160" s="25" t="s">
        <v>5756</v>
      </c>
      <c r="N1160" s="49" t="s">
        <v>5757</v>
      </c>
      <c r="O1160" s="25" t="s">
        <v>5528</v>
      </c>
      <c r="P1160" s="49" t="s">
        <v>5529</v>
      </c>
      <c r="Q1160" s="49"/>
      <c r="R1160" s="50" t="s">
        <v>44</v>
      </c>
      <c r="S1160" s="50"/>
    </row>
    <row r="1161" customFormat="false" ht="15" hidden="false" customHeight="true" outlineLevel="0" collapsed="false">
      <c r="A1161" s="46" t="n">
        <v>1172</v>
      </c>
      <c r="B1161" s="24" t="s">
        <v>5718</v>
      </c>
      <c r="C1161" s="47"/>
      <c r="D1161" s="47" t="s">
        <v>5669</v>
      </c>
      <c r="E1161" s="46" t="s">
        <v>18</v>
      </c>
      <c r="F1161" s="46" t="s">
        <v>2104</v>
      </c>
      <c r="G1161" s="24" t="s">
        <v>1036</v>
      </c>
      <c r="H1161" s="48" t="n">
        <v>5</v>
      </c>
      <c r="I1161" s="46" t="s">
        <v>5053</v>
      </c>
      <c r="J1161" s="47" t="s">
        <v>5768</v>
      </c>
      <c r="K1161" s="24" t="s">
        <v>5769</v>
      </c>
      <c r="L1161" s="46" t="s">
        <v>5770</v>
      </c>
      <c r="M1161" s="24" t="s">
        <v>5756</v>
      </c>
      <c r="N1161" s="46" t="s">
        <v>5757</v>
      </c>
      <c r="O1161" s="24" t="s">
        <v>5528</v>
      </c>
      <c r="P1161" s="46" t="s">
        <v>5529</v>
      </c>
      <c r="Q1161" s="46"/>
      <c r="R1161" s="47" t="s">
        <v>44</v>
      </c>
      <c r="S1161" s="47"/>
    </row>
    <row r="1162" customFormat="false" ht="15" hidden="false" customHeight="true" outlineLevel="0" collapsed="false">
      <c r="A1162" s="49" t="n">
        <v>1173</v>
      </c>
      <c r="B1162" s="25" t="s">
        <v>5718</v>
      </c>
      <c r="C1162" s="50"/>
      <c r="D1162" s="50" t="s">
        <v>5669</v>
      </c>
      <c r="E1162" s="49" t="s">
        <v>18</v>
      </c>
      <c r="F1162" s="49" t="s">
        <v>2104</v>
      </c>
      <c r="G1162" s="25" t="s">
        <v>1036</v>
      </c>
      <c r="H1162" s="51" t="n">
        <v>5</v>
      </c>
      <c r="I1162" s="49" t="s">
        <v>5053</v>
      </c>
      <c r="J1162" s="50" t="s">
        <v>5771</v>
      </c>
      <c r="K1162" s="25" t="s">
        <v>5772</v>
      </c>
      <c r="L1162" s="49" t="s">
        <v>5773</v>
      </c>
      <c r="M1162" s="25" t="s">
        <v>5756</v>
      </c>
      <c r="N1162" s="49" t="s">
        <v>5757</v>
      </c>
      <c r="O1162" s="25" t="s">
        <v>5528</v>
      </c>
      <c r="P1162" s="49" t="s">
        <v>5529</v>
      </c>
      <c r="Q1162" s="49"/>
      <c r="R1162" s="50" t="s">
        <v>44</v>
      </c>
      <c r="S1162" s="50"/>
    </row>
    <row r="1163" customFormat="false" ht="15" hidden="false" customHeight="true" outlineLevel="0" collapsed="false">
      <c r="A1163" s="46" t="n">
        <v>1174</v>
      </c>
      <c r="B1163" s="24" t="s">
        <v>5718</v>
      </c>
      <c r="C1163" s="47"/>
      <c r="D1163" s="47" t="s">
        <v>5669</v>
      </c>
      <c r="E1163" s="46" t="s">
        <v>18</v>
      </c>
      <c r="F1163" s="46" t="s">
        <v>2104</v>
      </c>
      <c r="G1163" s="24" t="s">
        <v>1036</v>
      </c>
      <c r="H1163" s="48" t="n">
        <v>5</v>
      </c>
      <c r="I1163" s="46" t="s">
        <v>5053</v>
      </c>
      <c r="J1163" s="47" t="s">
        <v>5774</v>
      </c>
      <c r="K1163" s="24" t="s">
        <v>5775</v>
      </c>
      <c r="L1163" s="46" t="s">
        <v>5776</v>
      </c>
      <c r="M1163" s="24" t="s">
        <v>5756</v>
      </c>
      <c r="N1163" s="46" t="s">
        <v>5757</v>
      </c>
      <c r="O1163" s="24" t="s">
        <v>5528</v>
      </c>
      <c r="P1163" s="46" t="s">
        <v>5529</v>
      </c>
      <c r="Q1163" s="46"/>
      <c r="R1163" s="47" t="s">
        <v>44</v>
      </c>
      <c r="S1163" s="47"/>
    </row>
    <row r="1164" customFormat="false" ht="15" hidden="false" customHeight="true" outlineLevel="0" collapsed="false">
      <c r="A1164" s="49" t="n">
        <v>1175</v>
      </c>
      <c r="B1164" s="25" t="s">
        <v>5718</v>
      </c>
      <c r="C1164" s="50"/>
      <c r="D1164" s="50" t="s">
        <v>5669</v>
      </c>
      <c r="E1164" s="49" t="s">
        <v>18</v>
      </c>
      <c r="F1164" s="49" t="s">
        <v>2104</v>
      </c>
      <c r="G1164" s="25" t="s">
        <v>1036</v>
      </c>
      <c r="H1164" s="51" t="n">
        <v>5</v>
      </c>
      <c r="I1164" s="49" t="s">
        <v>5053</v>
      </c>
      <c r="J1164" s="50" t="s">
        <v>5777</v>
      </c>
      <c r="K1164" s="25" t="s">
        <v>5778</v>
      </c>
      <c r="L1164" s="49" t="s">
        <v>5779</v>
      </c>
      <c r="M1164" s="25" t="s">
        <v>5756</v>
      </c>
      <c r="N1164" s="49" t="s">
        <v>5757</v>
      </c>
      <c r="O1164" s="25" t="s">
        <v>5528</v>
      </c>
      <c r="P1164" s="49" t="s">
        <v>5529</v>
      </c>
      <c r="Q1164" s="49"/>
      <c r="R1164" s="50" t="s">
        <v>44</v>
      </c>
      <c r="S1164" s="50"/>
    </row>
    <row r="1165" customFormat="false" ht="15" hidden="false" customHeight="true" outlineLevel="0" collapsed="false">
      <c r="A1165" s="46" t="n">
        <v>1176</v>
      </c>
      <c r="B1165" s="24" t="s">
        <v>5718</v>
      </c>
      <c r="C1165" s="47"/>
      <c r="D1165" s="47" t="s">
        <v>5669</v>
      </c>
      <c r="E1165" s="46" t="s">
        <v>18</v>
      </c>
      <c r="F1165" s="46" t="s">
        <v>2104</v>
      </c>
      <c r="G1165" s="24" t="s">
        <v>1036</v>
      </c>
      <c r="H1165" s="48" t="n">
        <v>5</v>
      </c>
      <c r="I1165" s="46" t="s">
        <v>5053</v>
      </c>
      <c r="J1165" s="47" t="s">
        <v>5780</v>
      </c>
      <c r="K1165" s="24" t="s">
        <v>5781</v>
      </c>
      <c r="L1165" s="46" t="s">
        <v>5782</v>
      </c>
      <c r="M1165" s="24" t="s">
        <v>5756</v>
      </c>
      <c r="N1165" s="46" t="s">
        <v>5757</v>
      </c>
      <c r="O1165" s="24" t="s">
        <v>5528</v>
      </c>
      <c r="P1165" s="46" t="s">
        <v>5529</v>
      </c>
      <c r="Q1165" s="46"/>
      <c r="R1165" s="47" t="s">
        <v>44</v>
      </c>
      <c r="S1165" s="47"/>
    </row>
    <row r="1166" customFormat="false" ht="15" hidden="false" customHeight="true" outlineLevel="0" collapsed="false">
      <c r="A1166" s="49" t="n">
        <v>1177</v>
      </c>
      <c r="B1166" s="25" t="s">
        <v>5718</v>
      </c>
      <c r="C1166" s="50"/>
      <c r="D1166" s="50" t="s">
        <v>5669</v>
      </c>
      <c r="E1166" s="49" t="s">
        <v>18</v>
      </c>
      <c r="F1166" s="49" t="s">
        <v>2104</v>
      </c>
      <c r="G1166" s="25" t="s">
        <v>1036</v>
      </c>
      <c r="H1166" s="51" t="n">
        <v>5</v>
      </c>
      <c r="I1166" s="49" t="s">
        <v>5053</v>
      </c>
      <c r="J1166" s="50" t="s">
        <v>5783</v>
      </c>
      <c r="K1166" s="25" t="s">
        <v>5445</v>
      </c>
      <c r="L1166" s="49" t="s">
        <v>5784</v>
      </c>
      <c r="M1166" s="25" t="s">
        <v>5756</v>
      </c>
      <c r="N1166" s="49" t="s">
        <v>5757</v>
      </c>
      <c r="O1166" s="25" t="s">
        <v>5528</v>
      </c>
      <c r="P1166" s="49" t="s">
        <v>5529</v>
      </c>
      <c r="Q1166" s="49"/>
      <c r="R1166" s="50" t="s">
        <v>44</v>
      </c>
      <c r="S1166" s="50"/>
    </row>
    <row r="1167" customFormat="false" ht="15" hidden="false" customHeight="true" outlineLevel="0" collapsed="false">
      <c r="A1167" s="46" t="n">
        <v>1178</v>
      </c>
      <c r="B1167" s="24" t="s">
        <v>5718</v>
      </c>
      <c r="C1167" s="47"/>
      <c r="D1167" s="47" t="s">
        <v>5669</v>
      </c>
      <c r="E1167" s="46" t="s">
        <v>18</v>
      </c>
      <c r="F1167" s="46" t="s">
        <v>2104</v>
      </c>
      <c r="G1167" s="24" t="s">
        <v>1036</v>
      </c>
      <c r="H1167" s="48" t="n">
        <v>5</v>
      </c>
      <c r="I1167" s="46" t="s">
        <v>5053</v>
      </c>
      <c r="J1167" s="47" t="s">
        <v>5785</v>
      </c>
      <c r="K1167" s="24" t="s">
        <v>5786</v>
      </c>
      <c r="L1167" s="46" t="s">
        <v>5787</v>
      </c>
      <c r="M1167" s="24" t="s">
        <v>5756</v>
      </c>
      <c r="N1167" s="46" t="s">
        <v>5757</v>
      </c>
      <c r="O1167" s="24" t="s">
        <v>5528</v>
      </c>
      <c r="P1167" s="46" t="s">
        <v>5529</v>
      </c>
      <c r="Q1167" s="46"/>
      <c r="R1167" s="47" t="s">
        <v>44</v>
      </c>
      <c r="S1167" s="47"/>
    </row>
    <row r="1168" customFormat="false" ht="15" hidden="false" customHeight="true" outlineLevel="0" collapsed="false">
      <c r="A1168" s="49" t="n">
        <v>1179</v>
      </c>
      <c r="B1168" s="25" t="s">
        <v>5718</v>
      </c>
      <c r="C1168" s="50"/>
      <c r="D1168" s="50" t="s">
        <v>5669</v>
      </c>
      <c r="E1168" s="49" t="s">
        <v>18</v>
      </c>
      <c r="F1168" s="49" t="s">
        <v>2104</v>
      </c>
      <c r="G1168" s="25" t="s">
        <v>1036</v>
      </c>
      <c r="H1168" s="51" t="n">
        <v>5</v>
      </c>
      <c r="I1168" s="49" t="s">
        <v>5053</v>
      </c>
      <c r="J1168" s="50" t="s">
        <v>5788</v>
      </c>
      <c r="K1168" s="25" t="s">
        <v>5789</v>
      </c>
      <c r="L1168" s="49" t="s">
        <v>5790</v>
      </c>
      <c r="M1168" s="25" t="s">
        <v>5756</v>
      </c>
      <c r="N1168" s="49" t="s">
        <v>5757</v>
      </c>
      <c r="O1168" s="25" t="s">
        <v>5528</v>
      </c>
      <c r="P1168" s="49" t="s">
        <v>5529</v>
      </c>
      <c r="Q1168" s="49"/>
      <c r="R1168" s="50" t="s">
        <v>44</v>
      </c>
      <c r="S1168" s="50"/>
    </row>
    <row r="1169" customFormat="false" ht="15" hidden="false" customHeight="true" outlineLevel="0" collapsed="false">
      <c r="A1169" s="46" t="n">
        <v>1180</v>
      </c>
      <c r="B1169" s="24" t="s">
        <v>5718</v>
      </c>
      <c r="C1169" s="47"/>
      <c r="D1169" s="47" t="s">
        <v>5669</v>
      </c>
      <c r="E1169" s="46" t="s">
        <v>18</v>
      </c>
      <c r="F1169" s="46" t="s">
        <v>2104</v>
      </c>
      <c r="G1169" s="24" t="s">
        <v>1036</v>
      </c>
      <c r="H1169" s="48" t="n">
        <v>5</v>
      </c>
      <c r="I1169" s="46" t="s">
        <v>5053</v>
      </c>
      <c r="J1169" s="47" t="s">
        <v>5791</v>
      </c>
      <c r="K1169" s="24" t="s">
        <v>5792</v>
      </c>
      <c r="L1169" s="46" t="s">
        <v>5793</v>
      </c>
      <c r="M1169" s="24" t="s">
        <v>5756</v>
      </c>
      <c r="N1169" s="46" t="s">
        <v>5757</v>
      </c>
      <c r="O1169" s="24" t="s">
        <v>5528</v>
      </c>
      <c r="P1169" s="46" t="s">
        <v>5529</v>
      </c>
      <c r="Q1169" s="46"/>
      <c r="R1169" s="47" t="s">
        <v>44</v>
      </c>
      <c r="S1169" s="47"/>
    </row>
    <row r="1170" customFormat="false" ht="15" hidden="false" customHeight="true" outlineLevel="0" collapsed="false">
      <c r="A1170" s="49" t="n">
        <v>1181</v>
      </c>
      <c r="B1170" s="25" t="s">
        <v>5669</v>
      </c>
      <c r="C1170" s="50"/>
      <c r="D1170" s="50" t="s">
        <v>5669</v>
      </c>
      <c r="E1170" s="49" t="s">
        <v>18</v>
      </c>
      <c r="F1170" s="49" t="s">
        <v>2104</v>
      </c>
      <c r="G1170" s="25" t="s">
        <v>1036</v>
      </c>
      <c r="H1170" s="51" t="n">
        <v>5</v>
      </c>
      <c r="I1170" s="49" t="s">
        <v>5053</v>
      </c>
      <c r="J1170" s="50" t="s">
        <v>5794</v>
      </c>
      <c r="K1170" s="25" t="s">
        <v>3653</v>
      </c>
      <c r="L1170" s="49" t="s">
        <v>5795</v>
      </c>
      <c r="M1170" s="25" t="s">
        <v>5756</v>
      </c>
      <c r="N1170" s="49" t="s">
        <v>5757</v>
      </c>
      <c r="O1170" s="25" t="s">
        <v>5528</v>
      </c>
      <c r="P1170" s="49" t="s">
        <v>5529</v>
      </c>
      <c r="Q1170" s="49"/>
      <c r="R1170" s="50" t="s">
        <v>44</v>
      </c>
      <c r="S1170" s="50"/>
    </row>
    <row r="1171" customFormat="false" ht="15" hidden="false" customHeight="true" outlineLevel="0" collapsed="false">
      <c r="A1171" s="46" t="n">
        <v>1182</v>
      </c>
      <c r="B1171" s="24" t="s">
        <v>5669</v>
      </c>
      <c r="C1171" s="47"/>
      <c r="D1171" s="47" t="s">
        <v>5669</v>
      </c>
      <c r="E1171" s="46" t="s">
        <v>18</v>
      </c>
      <c r="F1171" s="46" t="s">
        <v>2104</v>
      </c>
      <c r="G1171" s="24" t="s">
        <v>1036</v>
      </c>
      <c r="H1171" s="48" t="n">
        <v>5</v>
      </c>
      <c r="I1171" s="46" t="s">
        <v>5053</v>
      </c>
      <c r="J1171" s="47" t="s">
        <v>5796</v>
      </c>
      <c r="K1171" s="24" t="s">
        <v>5797</v>
      </c>
      <c r="L1171" s="46" t="s">
        <v>5798</v>
      </c>
      <c r="M1171" s="24" t="s">
        <v>5756</v>
      </c>
      <c r="N1171" s="46" t="s">
        <v>5757</v>
      </c>
      <c r="O1171" s="24" t="s">
        <v>5528</v>
      </c>
      <c r="P1171" s="46" t="s">
        <v>5529</v>
      </c>
      <c r="Q1171" s="46"/>
      <c r="R1171" s="47" t="s">
        <v>44</v>
      </c>
      <c r="S1171" s="47"/>
    </row>
    <row r="1172" customFormat="false" ht="15" hidden="false" customHeight="true" outlineLevel="0" collapsed="false">
      <c r="A1172" s="49" t="n">
        <v>1183</v>
      </c>
      <c r="B1172" s="25" t="s">
        <v>5718</v>
      </c>
      <c r="C1172" s="50"/>
      <c r="D1172" s="50" t="s">
        <v>5669</v>
      </c>
      <c r="E1172" s="49" t="s">
        <v>18</v>
      </c>
      <c r="F1172" s="49" t="s">
        <v>2104</v>
      </c>
      <c r="G1172" s="25" t="s">
        <v>1036</v>
      </c>
      <c r="H1172" s="51" t="n">
        <v>5</v>
      </c>
      <c r="I1172" s="49" t="s">
        <v>5053</v>
      </c>
      <c r="J1172" s="50" t="s">
        <v>5799</v>
      </c>
      <c r="K1172" s="25" t="s">
        <v>5696</v>
      </c>
      <c r="L1172" s="49" t="s">
        <v>5800</v>
      </c>
      <c r="M1172" s="25" t="s">
        <v>5756</v>
      </c>
      <c r="N1172" s="49" t="s">
        <v>5757</v>
      </c>
      <c r="O1172" s="25" t="s">
        <v>5528</v>
      </c>
      <c r="P1172" s="49" t="s">
        <v>5529</v>
      </c>
      <c r="Q1172" s="49"/>
      <c r="R1172" s="50" t="s">
        <v>44</v>
      </c>
      <c r="S1172" s="50"/>
    </row>
    <row r="1173" customFormat="false" ht="15" hidden="false" customHeight="true" outlineLevel="0" collapsed="false">
      <c r="A1173" s="46" t="n">
        <v>1184</v>
      </c>
      <c r="B1173" s="24" t="s">
        <v>5718</v>
      </c>
      <c r="C1173" s="47"/>
      <c r="D1173" s="47" t="s">
        <v>5669</v>
      </c>
      <c r="E1173" s="46" t="s">
        <v>18</v>
      </c>
      <c r="F1173" s="46" t="s">
        <v>2104</v>
      </c>
      <c r="G1173" s="24" t="s">
        <v>1036</v>
      </c>
      <c r="H1173" s="48" t="n">
        <v>5</v>
      </c>
      <c r="I1173" s="46" t="s">
        <v>5053</v>
      </c>
      <c r="J1173" s="47" t="s">
        <v>5207</v>
      </c>
      <c r="K1173" s="24" t="s">
        <v>5801</v>
      </c>
      <c r="L1173" s="46" t="s">
        <v>5802</v>
      </c>
      <c r="M1173" s="24" t="s">
        <v>5756</v>
      </c>
      <c r="N1173" s="46" t="s">
        <v>5757</v>
      </c>
      <c r="O1173" s="24" t="s">
        <v>5528</v>
      </c>
      <c r="P1173" s="46" t="s">
        <v>5529</v>
      </c>
      <c r="Q1173" s="46"/>
      <c r="R1173" s="47" t="s">
        <v>44</v>
      </c>
      <c r="S1173" s="47"/>
    </row>
    <row r="1174" customFormat="false" ht="15" hidden="false" customHeight="true" outlineLevel="0" collapsed="false">
      <c r="A1174" s="49" t="n">
        <v>1185</v>
      </c>
      <c r="B1174" s="25" t="s">
        <v>5718</v>
      </c>
      <c r="C1174" s="50"/>
      <c r="D1174" s="50" t="s">
        <v>5669</v>
      </c>
      <c r="E1174" s="49" t="s">
        <v>18</v>
      </c>
      <c r="F1174" s="49" t="s">
        <v>2104</v>
      </c>
      <c r="G1174" s="25" t="s">
        <v>1036</v>
      </c>
      <c r="H1174" s="51" t="n">
        <v>5</v>
      </c>
      <c r="I1174" s="49" t="s">
        <v>5053</v>
      </c>
      <c r="J1174" s="50" t="s">
        <v>5803</v>
      </c>
      <c r="K1174" s="25" t="s">
        <v>5804</v>
      </c>
      <c r="L1174" s="49" t="s">
        <v>5805</v>
      </c>
      <c r="M1174" s="25" t="s">
        <v>5756</v>
      </c>
      <c r="N1174" s="49" t="s">
        <v>5757</v>
      </c>
      <c r="O1174" s="25" t="s">
        <v>5528</v>
      </c>
      <c r="P1174" s="49" t="s">
        <v>5529</v>
      </c>
      <c r="Q1174" s="49"/>
      <c r="R1174" s="50" t="s">
        <v>44</v>
      </c>
      <c r="S1174" s="50"/>
    </row>
    <row r="1175" customFormat="false" ht="15" hidden="false" customHeight="true" outlineLevel="0" collapsed="false">
      <c r="A1175" s="46" t="n">
        <v>1186</v>
      </c>
      <c r="B1175" s="24" t="s">
        <v>5806</v>
      </c>
      <c r="C1175" s="47"/>
      <c r="D1175" s="47" t="s">
        <v>4870</v>
      </c>
      <c r="E1175" s="46" t="s">
        <v>20</v>
      </c>
      <c r="F1175" s="46" t="s">
        <v>2104</v>
      </c>
      <c r="G1175" s="24" t="s">
        <v>2335</v>
      </c>
      <c r="H1175" s="48" t="n">
        <v>5</v>
      </c>
      <c r="I1175" s="46" t="s">
        <v>5807</v>
      </c>
      <c r="J1175" s="47" t="s">
        <v>4872</v>
      </c>
      <c r="K1175" s="24" t="s">
        <v>5808</v>
      </c>
      <c r="L1175" s="46" t="s">
        <v>5809</v>
      </c>
      <c r="M1175" s="24" t="s">
        <v>4875</v>
      </c>
      <c r="N1175" s="46" t="s">
        <v>2352</v>
      </c>
      <c r="O1175" s="24" t="s">
        <v>4876</v>
      </c>
      <c r="P1175" s="46" t="s">
        <v>4877</v>
      </c>
      <c r="Q1175" s="46"/>
      <c r="R1175" s="47" t="s">
        <v>48</v>
      </c>
      <c r="S1175" s="47"/>
    </row>
    <row r="1176" customFormat="false" ht="15" hidden="false" customHeight="true" outlineLevel="0" collapsed="false">
      <c r="A1176" s="49" t="n">
        <v>1187</v>
      </c>
      <c r="B1176" s="25" t="s">
        <v>5810</v>
      </c>
      <c r="C1176" s="50"/>
      <c r="D1176" s="50" t="s">
        <v>5811</v>
      </c>
      <c r="E1176" s="49" t="s">
        <v>20</v>
      </c>
      <c r="F1176" s="49" t="s">
        <v>2104</v>
      </c>
      <c r="G1176" s="25" t="s">
        <v>5812</v>
      </c>
      <c r="H1176" s="51" t="n">
        <v>5</v>
      </c>
      <c r="I1176" s="49" t="s">
        <v>3127</v>
      </c>
      <c r="J1176" s="50" t="s">
        <v>5813</v>
      </c>
      <c r="K1176" s="25" t="s">
        <v>5814</v>
      </c>
      <c r="L1176" s="49" t="s">
        <v>5815</v>
      </c>
      <c r="M1176" s="25" t="s">
        <v>5816</v>
      </c>
      <c r="N1176" s="49" t="s">
        <v>5817</v>
      </c>
      <c r="O1176" s="25" t="s">
        <v>5818</v>
      </c>
      <c r="P1176" s="49" t="s">
        <v>2356</v>
      </c>
      <c r="Q1176" s="49"/>
      <c r="R1176" s="50" t="s">
        <v>49</v>
      </c>
      <c r="S1176" s="50"/>
    </row>
    <row r="1177" customFormat="false" ht="15" hidden="false" customHeight="true" outlineLevel="0" collapsed="false">
      <c r="A1177" s="46" t="n">
        <v>1188</v>
      </c>
      <c r="B1177" s="24" t="s">
        <v>5806</v>
      </c>
      <c r="C1177" s="47"/>
      <c r="D1177" s="47" t="s">
        <v>4870</v>
      </c>
      <c r="E1177" s="46" t="s">
        <v>20</v>
      </c>
      <c r="F1177" s="46" t="s">
        <v>2104</v>
      </c>
      <c r="G1177" s="24" t="s">
        <v>3194</v>
      </c>
      <c r="H1177" s="48" t="n">
        <v>5</v>
      </c>
      <c r="I1177" s="46" t="s">
        <v>3102</v>
      </c>
      <c r="J1177" s="47" t="s">
        <v>5819</v>
      </c>
      <c r="K1177" s="24" t="s">
        <v>5820</v>
      </c>
      <c r="L1177" s="46" t="s">
        <v>5821</v>
      </c>
      <c r="M1177" s="24" t="s">
        <v>4875</v>
      </c>
      <c r="N1177" s="46" t="s">
        <v>2352</v>
      </c>
      <c r="O1177" s="24" t="s">
        <v>4876</v>
      </c>
      <c r="P1177" s="46" t="s">
        <v>4877</v>
      </c>
      <c r="Q1177" s="46"/>
      <c r="R1177" s="47" t="s">
        <v>50</v>
      </c>
      <c r="S1177" s="47"/>
    </row>
    <row r="1178" customFormat="false" ht="15" hidden="false" customHeight="true" outlineLevel="0" collapsed="false">
      <c r="A1178" s="49" t="n">
        <v>1189</v>
      </c>
      <c r="B1178" s="25" t="s">
        <v>4878</v>
      </c>
      <c r="C1178" s="50"/>
      <c r="D1178" s="50" t="s">
        <v>4879</v>
      </c>
      <c r="E1178" s="49" t="s">
        <v>20</v>
      </c>
      <c r="F1178" s="49" t="s">
        <v>2104</v>
      </c>
      <c r="G1178" s="25" t="s">
        <v>3472</v>
      </c>
      <c r="H1178" s="51" t="n">
        <v>5</v>
      </c>
      <c r="I1178" s="49" t="s">
        <v>5822</v>
      </c>
      <c r="J1178" s="50" t="s">
        <v>5823</v>
      </c>
      <c r="K1178" s="25" t="s">
        <v>5824</v>
      </c>
      <c r="L1178" s="49" t="s">
        <v>5825</v>
      </c>
      <c r="M1178" s="25" t="s">
        <v>2679</v>
      </c>
      <c r="N1178" s="49" t="s">
        <v>4884</v>
      </c>
      <c r="O1178" s="25"/>
      <c r="P1178" s="49"/>
      <c r="Q1178" s="49"/>
      <c r="R1178" s="50" t="s">
        <v>49</v>
      </c>
      <c r="S1178" s="52" t="s">
        <v>69</v>
      </c>
    </row>
    <row r="1179" customFormat="false" ht="15" hidden="false" customHeight="true" outlineLevel="0" collapsed="false">
      <c r="A1179" s="46" t="n">
        <v>1190</v>
      </c>
      <c r="B1179" s="24" t="s">
        <v>5826</v>
      </c>
      <c r="C1179" s="47"/>
      <c r="D1179" s="47" t="s">
        <v>3226</v>
      </c>
      <c r="E1179" s="46" t="s">
        <v>19</v>
      </c>
      <c r="F1179" s="46" t="s">
        <v>2104</v>
      </c>
      <c r="G1179" s="24" t="s">
        <v>5827</v>
      </c>
      <c r="H1179" s="48" t="n">
        <v>2</v>
      </c>
      <c r="I1179" s="46"/>
      <c r="J1179" s="47" t="s">
        <v>3661</v>
      </c>
      <c r="K1179" s="24" t="s">
        <v>3141</v>
      </c>
      <c r="L1179" s="46" t="s">
        <v>5828</v>
      </c>
      <c r="M1179" s="24" t="s">
        <v>3193</v>
      </c>
      <c r="N1179" s="46" t="s">
        <v>3664</v>
      </c>
      <c r="O1179" s="24" t="s">
        <v>3088</v>
      </c>
      <c r="P1179" s="46" t="s">
        <v>3089</v>
      </c>
      <c r="Q1179" s="46"/>
      <c r="R1179" s="47" t="s">
        <v>48</v>
      </c>
      <c r="S1179" s="52" t="s">
        <v>67</v>
      </c>
    </row>
    <row r="1180" customFormat="false" ht="15" hidden="false" customHeight="true" outlineLevel="0" collapsed="false">
      <c r="A1180" s="49" t="n">
        <v>1191</v>
      </c>
      <c r="B1180" s="25" t="s">
        <v>5826</v>
      </c>
      <c r="C1180" s="50"/>
      <c r="D1180" s="50" t="s">
        <v>3226</v>
      </c>
      <c r="E1180" s="49" t="s">
        <v>19</v>
      </c>
      <c r="F1180" s="49" t="s">
        <v>2104</v>
      </c>
      <c r="G1180" s="25" t="s">
        <v>5827</v>
      </c>
      <c r="H1180" s="51" t="n">
        <v>2</v>
      </c>
      <c r="I1180" s="49" t="s">
        <v>5807</v>
      </c>
      <c r="J1180" s="50" t="s">
        <v>3661</v>
      </c>
      <c r="K1180" s="25" t="s">
        <v>5829</v>
      </c>
      <c r="L1180" s="49" t="s">
        <v>5830</v>
      </c>
      <c r="M1180" s="25" t="s">
        <v>3193</v>
      </c>
      <c r="N1180" s="49" t="s">
        <v>3664</v>
      </c>
      <c r="O1180" s="25" t="s">
        <v>3088</v>
      </c>
      <c r="P1180" s="49" t="s">
        <v>3089</v>
      </c>
      <c r="Q1180" s="49"/>
      <c r="R1180" s="50" t="s">
        <v>48</v>
      </c>
      <c r="S1180" s="50"/>
    </row>
    <row r="1181" customFormat="false" ht="15" hidden="false" customHeight="true" outlineLevel="0" collapsed="false">
      <c r="A1181" s="46" t="n">
        <v>1192</v>
      </c>
      <c r="B1181" s="24" t="s">
        <v>5826</v>
      </c>
      <c r="C1181" s="47"/>
      <c r="D1181" s="47" t="s">
        <v>3226</v>
      </c>
      <c r="E1181" s="46" t="s">
        <v>19</v>
      </c>
      <c r="F1181" s="46" t="s">
        <v>2104</v>
      </c>
      <c r="G1181" s="24" t="s">
        <v>5831</v>
      </c>
      <c r="H1181" s="48" t="n">
        <v>5</v>
      </c>
      <c r="I1181" s="46" t="s">
        <v>5807</v>
      </c>
      <c r="J1181" s="47" t="s">
        <v>3661</v>
      </c>
      <c r="K1181" s="24" t="s">
        <v>5832</v>
      </c>
      <c r="L1181" s="46" t="s">
        <v>5833</v>
      </c>
      <c r="M1181" s="24" t="s">
        <v>3193</v>
      </c>
      <c r="N1181" s="46" t="s">
        <v>3664</v>
      </c>
      <c r="O1181" s="24" t="s">
        <v>3088</v>
      </c>
      <c r="P1181" s="46" t="s">
        <v>3089</v>
      </c>
      <c r="Q1181" s="46"/>
      <c r="R1181" s="47" t="s">
        <v>51</v>
      </c>
      <c r="S1181" s="47"/>
    </row>
    <row r="1182" customFormat="false" ht="15" hidden="false" customHeight="true" outlineLevel="0" collapsed="false">
      <c r="A1182" s="49" t="n">
        <v>1193</v>
      </c>
      <c r="B1182" s="25" t="s">
        <v>5834</v>
      </c>
      <c r="C1182" s="50"/>
      <c r="D1182" s="50" t="s">
        <v>3110</v>
      </c>
      <c r="E1182" s="49" t="s">
        <v>19</v>
      </c>
      <c r="F1182" s="49" t="s">
        <v>2104</v>
      </c>
      <c r="G1182" s="25" t="s">
        <v>3194</v>
      </c>
      <c r="H1182" s="51" t="n">
        <v>5</v>
      </c>
      <c r="I1182" s="49" t="s">
        <v>3354</v>
      </c>
      <c r="J1182" s="50" t="s">
        <v>5835</v>
      </c>
      <c r="K1182" s="25" t="s">
        <v>3235</v>
      </c>
      <c r="L1182" s="49" t="s">
        <v>5836</v>
      </c>
      <c r="M1182" s="25" t="s">
        <v>2693</v>
      </c>
      <c r="N1182" s="49" t="s">
        <v>3115</v>
      </c>
      <c r="O1182" s="25"/>
      <c r="P1182" s="49"/>
      <c r="Q1182" s="49"/>
      <c r="R1182" s="50" t="s">
        <v>50</v>
      </c>
      <c r="S1182" s="52" t="s">
        <v>69</v>
      </c>
    </row>
    <row r="1183" customFormat="false" ht="15" hidden="false" customHeight="true" outlineLevel="0" collapsed="false">
      <c r="A1183" s="46" t="n">
        <v>1194</v>
      </c>
      <c r="B1183" s="24" t="s">
        <v>5837</v>
      </c>
      <c r="C1183" s="47"/>
      <c r="D1183" s="47" t="s">
        <v>3110</v>
      </c>
      <c r="E1183" s="46" t="s">
        <v>19</v>
      </c>
      <c r="F1183" s="46" t="s">
        <v>2104</v>
      </c>
      <c r="G1183" s="24" t="s">
        <v>3472</v>
      </c>
      <c r="H1183" s="48" t="n">
        <v>5</v>
      </c>
      <c r="I1183" s="46" t="s">
        <v>5838</v>
      </c>
      <c r="J1183" s="47" t="s">
        <v>5839</v>
      </c>
      <c r="K1183" s="24" t="s">
        <v>5840</v>
      </c>
      <c r="L1183" s="46" t="s">
        <v>5841</v>
      </c>
      <c r="M1183" s="24" t="s">
        <v>2693</v>
      </c>
      <c r="N1183" s="46" t="s">
        <v>3115</v>
      </c>
      <c r="O1183" s="24"/>
      <c r="P1183" s="46"/>
      <c r="Q1183" s="46"/>
      <c r="R1183" s="47" t="s">
        <v>49</v>
      </c>
      <c r="S1183" s="52" t="s">
        <v>69</v>
      </c>
    </row>
    <row r="1184" customFormat="false" ht="15" hidden="false" customHeight="true" outlineLevel="0" collapsed="false">
      <c r="A1184" s="49" t="n">
        <v>1195</v>
      </c>
      <c r="B1184" s="25" t="s">
        <v>5842</v>
      </c>
      <c r="C1184" s="50"/>
      <c r="D1184" s="50" t="s">
        <v>3110</v>
      </c>
      <c r="E1184" s="49" t="s">
        <v>19</v>
      </c>
      <c r="F1184" s="49" t="s">
        <v>2104</v>
      </c>
      <c r="G1184" s="25" t="s">
        <v>3194</v>
      </c>
      <c r="H1184" s="51" t="n">
        <v>5</v>
      </c>
      <c r="I1184" s="49" t="s">
        <v>3587</v>
      </c>
      <c r="J1184" s="50" t="s">
        <v>5843</v>
      </c>
      <c r="K1184" s="25" t="s">
        <v>5844</v>
      </c>
      <c r="L1184" s="49" t="s">
        <v>5845</v>
      </c>
      <c r="M1184" s="25" t="s">
        <v>2693</v>
      </c>
      <c r="N1184" s="49" t="s">
        <v>3115</v>
      </c>
      <c r="O1184" s="25"/>
      <c r="P1184" s="49"/>
      <c r="Q1184" s="49"/>
      <c r="R1184" s="50" t="s">
        <v>50</v>
      </c>
      <c r="S1184" s="52" t="s">
        <v>69</v>
      </c>
    </row>
    <row r="1185" customFormat="false" ht="15" hidden="false" customHeight="true" outlineLevel="0" collapsed="false">
      <c r="A1185" s="46" t="n">
        <v>1196</v>
      </c>
      <c r="B1185" s="24" t="s">
        <v>5842</v>
      </c>
      <c r="C1185" s="47"/>
      <c r="D1185" s="47" t="s">
        <v>3110</v>
      </c>
      <c r="E1185" s="46" t="s">
        <v>19</v>
      </c>
      <c r="F1185" s="46" t="s">
        <v>2104</v>
      </c>
      <c r="G1185" s="24" t="s">
        <v>3472</v>
      </c>
      <c r="H1185" s="48" t="n">
        <v>5</v>
      </c>
      <c r="I1185" s="46" t="s">
        <v>3587</v>
      </c>
      <c r="J1185" s="47" t="s">
        <v>5843</v>
      </c>
      <c r="K1185" s="24" t="s">
        <v>5846</v>
      </c>
      <c r="L1185" s="46" t="s">
        <v>5847</v>
      </c>
      <c r="M1185" s="24" t="s">
        <v>2693</v>
      </c>
      <c r="N1185" s="46" t="s">
        <v>3115</v>
      </c>
      <c r="O1185" s="24"/>
      <c r="P1185" s="46"/>
      <c r="Q1185" s="46"/>
      <c r="R1185" s="47" t="s">
        <v>49</v>
      </c>
      <c r="S1185" s="52" t="s">
        <v>69</v>
      </c>
    </row>
    <row r="1186" customFormat="false" ht="15" hidden="false" customHeight="true" outlineLevel="0" collapsed="false">
      <c r="A1186" s="49" t="n">
        <v>1197</v>
      </c>
      <c r="B1186" s="25" t="s">
        <v>3109</v>
      </c>
      <c r="C1186" s="50"/>
      <c r="D1186" s="50" t="s">
        <v>3110</v>
      </c>
      <c r="E1186" s="49" t="s">
        <v>19</v>
      </c>
      <c r="F1186" s="49" t="s">
        <v>2104</v>
      </c>
      <c r="G1186" s="25" t="s">
        <v>3194</v>
      </c>
      <c r="H1186" s="51" t="n">
        <v>1</v>
      </c>
      <c r="I1186" s="49" t="s">
        <v>3327</v>
      </c>
      <c r="J1186" s="50" t="s">
        <v>5848</v>
      </c>
      <c r="K1186" s="25" t="s">
        <v>3113</v>
      </c>
      <c r="L1186" s="49" t="s">
        <v>3114</v>
      </c>
      <c r="M1186" s="25" t="s">
        <v>2693</v>
      </c>
      <c r="N1186" s="49" t="s">
        <v>3115</v>
      </c>
      <c r="O1186" s="25"/>
      <c r="P1186" s="49"/>
      <c r="Q1186" s="49"/>
      <c r="R1186" s="50" t="s">
        <v>50</v>
      </c>
      <c r="S1186" s="52" t="s">
        <v>69</v>
      </c>
    </row>
    <row r="1187" customFormat="false" ht="15" hidden="false" customHeight="true" outlineLevel="0" collapsed="false">
      <c r="A1187" s="46" t="n">
        <v>1198</v>
      </c>
      <c r="B1187" s="24" t="s">
        <v>3109</v>
      </c>
      <c r="C1187" s="47"/>
      <c r="D1187" s="47" t="s">
        <v>3110</v>
      </c>
      <c r="E1187" s="46" t="s">
        <v>19</v>
      </c>
      <c r="F1187" s="46" t="s">
        <v>2104</v>
      </c>
      <c r="G1187" s="24" t="s">
        <v>3437</v>
      </c>
      <c r="H1187" s="48" t="n">
        <v>5</v>
      </c>
      <c r="I1187" s="46" t="s">
        <v>3354</v>
      </c>
      <c r="J1187" s="47" t="s">
        <v>5849</v>
      </c>
      <c r="K1187" s="24" t="s">
        <v>5850</v>
      </c>
      <c r="L1187" s="46" t="s">
        <v>5851</v>
      </c>
      <c r="M1187" s="24" t="s">
        <v>2693</v>
      </c>
      <c r="N1187" s="46" t="s">
        <v>3115</v>
      </c>
      <c r="O1187" s="24"/>
      <c r="P1187" s="46"/>
      <c r="Q1187" s="46"/>
      <c r="R1187" s="47" t="s">
        <v>48</v>
      </c>
      <c r="S1187" s="52" t="s">
        <v>69</v>
      </c>
    </row>
    <row r="1188" customFormat="false" ht="15" hidden="false" customHeight="true" outlineLevel="0" collapsed="false">
      <c r="A1188" s="49" t="n">
        <v>1199</v>
      </c>
      <c r="B1188" s="25" t="s">
        <v>5837</v>
      </c>
      <c r="C1188" s="50"/>
      <c r="D1188" s="50" t="s">
        <v>3110</v>
      </c>
      <c r="E1188" s="49" t="s">
        <v>19</v>
      </c>
      <c r="F1188" s="49" t="s">
        <v>2104</v>
      </c>
      <c r="G1188" s="25" t="s">
        <v>3194</v>
      </c>
      <c r="H1188" s="51" t="n">
        <v>5</v>
      </c>
      <c r="I1188" s="49" t="s">
        <v>5838</v>
      </c>
      <c r="J1188" s="50" t="s">
        <v>5839</v>
      </c>
      <c r="K1188" s="25" t="s">
        <v>5852</v>
      </c>
      <c r="L1188" s="49" t="s">
        <v>5853</v>
      </c>
      <c r="M1188" s="25" t="s">
        <v>2693</v>
      </c>
      <c r="N1188" s="49" t="s">
        <v>3115</v>
      </c>
      <c r="O1188" s="25"/>
      <c r="P1188" s="49"/>
      <c r="Q1188" s="49"/>
      <c r="R1188" s="50" t="s">
        <v>50</v>
      </c>
      <c r="S1188" s="52" t="s">
        <v>69</v>
      </c>
    </row>
    <row r="1189" customFormat="false" ht="15" hidden="false" customHeight="true" outlineLevel="0" collapsed="false">
      <c r="A1189" s="46" t="n">
        <v>1200</v>
      </c>
      <c r="B1189" s="24" t="s">
        <v>5837</v>
      </c>
      <c r="C1189" s="47"/>
      <c r="D1189" s="47" t="s">
        <v>3110</v>
      </c>
      <c r="E1189" s="46" t="s">
        <v>19</v>
      </c>
      <c r="F1189" s="46" t="s">
        <v>2104</v>
      </c>
      <c r="G1189" s="24" t="s">
        <v>3437</v>
      </c>
      <c r="H1189" s="48" t="n">
        <v>1</v>
      </c>
      <c r="I1189" s="46" t="s">
        <v>3084</v>
      </c>
      <c r="J1189" s="47" t="s">
        <v>5854</v>
      </c>
      <c r="K1189" s="24" t="s">
        <v>2172</v>
      </c>
      <c r="L1189" s="46" t="s">
        <v>5855</v>
      </c>
      <c r="M1189" s="24" t="s">
        <v>2693</v>
      </c>
      <c r="N1189" s="46" t="s">
        <v>3115</v>
      </c>
      <c r="O1189" s="24"/>
      <c r="P1189" s="46"/>
      <c r="Q1189" s="46"/>
      <c r="R1189" s="47" t="s">
        <v>48</v>
      </c>
      <c r="S1189" s="52" t="s">
        <v>69</v>
      </c>
    </row>
    <row r="1190" customFormat="false" ht="15" hidden="false" customHeight="true" outlineLevel="0" collapsed="false">
      <c r="A1190" s="49" t="n">
        <v>1201</v>
      </c>
      <c r="B1190" s="25" t="s">
        <v>5837</v>
      </c>
      <c r="C1190" s="50"/>
      <c r="D1190" s="50" t="s">
        <v>3110</v>
      </c>
      <c r="E1190" s="49" t="s">
        <v>19</v>
      </c>
      <c r="F1190" s="49" t="s">
        <v>2104</v>
      </c>
      <c r="G1190" s="25" t="s">
        <v>3437</v>
      </c>
      <c r="H1190" s="51" t="n">
        <v>5</v>
      </c>
      <c r="I1190" s="49" t="s">
        <v>3327</v>
      </c>
      <c r="J1190" s="50" t="s">
        <v>5856</v>
      </c>
      <c r="K1190" s="25" t="s">
        <v>5857</v>
      </c>
      <c r="L1190" s="49" t="s">
        <v>5858</v>
      </c>
      <c r="M1190" s="25" t="s">
        <v>2693</v>
      </c>
      <c r="N1190" s="49" t="s">
        <v>3115</v>
      </c>
      <c r="O1190" s="25"/>
      <c r="P1190" s="49"/>
      <c r="Q1190" s="49"/>
      <c r="R1190" s="50" t="s">
        <v>48</v>
      </c>
      <c r="S1190" s="52" t="s">
        <v>69</v>
      </c>
    </row>
    <row r="1191" customFormat="false" ht="15" hidden="false" customHeight="true" outlineLevel="0" collapsed="false">
      <c r="A1191" s="46" t="n">
        <v>1202</v>
      </c>
      <c r="B1191" s="24" t="s">
        <v>5837</v>
      </c>
      <c r="C1191" s="47"/>
      <c r="D1191" s="47" t="s">
        <v>3110</v>
      </c>
      <c r="E1191" s="46" t="s">
        <v>19</v>
      </c>
      <c r="F1191" s="46" t="s">
        <v>2104</v>
      </c>
      <c r="G1191" s="24" t="s">
        <v>3437</v>
      </c>
      <c r="H1191" s="48" t="n">
        <v>5</v>
      </c>
      <c r="I1191" s="46" t="s">
        <v>3327</v>
      </c>
      <c r="J1191" s="47" t="s">
        <v>5859</v>
      </c>
      <c r="K1191" s="24" t="s">
        <v>5860</v>
      </c>
      <c r="L1191" s="46" t="s">
        <v>5861</v>
      </c>
      <c r="M1191" s="24" t="s">
        <v>2693</v>
      </c>
      <c r="N1191" s="46" t="s">
        <v>3115</v>
      </c>
      <c r="O1191" s="24"/>
      <c r="P1191" s="46"/>
      <c r="Q1191" s="46"/>
      <c r="R1191" s="47" t="s">
        <v>48</v>
      </c>
      <c r="S1191" s="52" t="s">
        <v>69</v>
      </c>
    </row>
    <row r="1192" customFormat="false" ht="15" hidden="false" customHeight="true" outlineLevel="0" collapsed="false">
      <c r="A1192" s="49" t="n">
        <v>1203</v>
      </c>
      <c r="B1192" s="25" t="s">
        <v>5837</v>
      </c>
      <c r="C1192" s="50"/>
      <c r="D1192" s="50" t="s">
        <v>3110</v>
      </c>
      <c r="E1192" s="49" t="s">
        <v>19</v>
      </c>
      <c r="F1192" s="49" t="s">
        <v>2104</v>
      </c>
      <c r="G1192" s="25" t="s">
        <v>3472</v>
      </c>
      <c r="H1192" s="51" t="n">
        <v>5</v>
      </c>
      <c r="I1192" s="49" t="s">
        <v>3327</v>
      </c>
      <c r="J1192" s="50" t="s">
        <v>5862</v>
      </c>
      <c r="K1192" s="25" t="s">
        <v>5584</v>
      </c>
      <c r="L1192" s="49" t="s">
        <v>5863</v>
      </c>
      <c r="M1192" s="25" t="s">
        <v>2693</v>
      </c>
      <c r="N1192" s="49" t="s">
        <v>3115</v>
      </c>
      <c r="O1192" s="25"/>
      <c r="P1192" s="49"/>
      <c r="Q1192" s="49"/>
      <c r="R1192" s="50" t="s">
        <v>49</v>
      </c>
      <c r="S1192" s="52" t="s">
        <v>69</v>
      </c>
    </row>
    <row r="1193" customFormat="false" ht="15" hidden="false" customHeight="true" outlineLevel="0" collapsed="false">
      <c r="A1193" s="46" t="n">
        <v>1204</v>
      </c>
      <c r="B1193" s="24" t="s">
        <v>5837</v>
      </c>
      <c r="C1193" s="47"/>
      <c r="D1193" s="47" t="s">
        <v>3110</v>
      </c>
      <c r="E1193" s="46" t="s">
        <v>19</v>
      </c>
      <c r="F1193" s="46" t="s">
        <v>2104</v>
      </c>
      <c r="G1193" s="24" t="s">
        <v>3472</v>
      </c>
      <c r="H1193" s="48" t="n">
        <v>5</v>
      </c>
      <c r="I1193" s="46" t="s">
        <v>3327</v>
      </c>
      <c r="J1193" s="47" t="s">
        <v>5864</v>
      </c>
      <c r="K1193" s="24" t="s">
        <v>5865</v>
      </c>
      <c r="L1193" s="46" t="s">
        <v>5866</v>
      </c>
      <c r="M1193" s="24" t="s">
        <v>2693</v>
      </c>
      <c r="N1193" s="46" t="s">
        <v>3115</v>
      </c>
      <c r="O1193" s="24"/>
      <c r="P1193" s="46"/>
      <c r="Q1193" s="46"/>
      <c r="R1193" s="47" t="s">
        <v>49</v>
      </c>
      <c r="S1193" s="52" t="s">
        <v>69</v>
      </c>
    </row>
    <row r="1194" customFormat="false" ht="15" hidden="false" customHeight="true" outlineLevel="0" collapsed="false">
      <c r="A1194" s="49" t="n">
        <v>1205</v>
      </c>
      <c r="B1194" s="25" t="s">
        <v>5837</v>
      </c>
      <c r="C1194" s="50"/>
      <c r="D1194" s="50" t="s">
        <v>3110</v>
      </c>
      <c r="E1194" s="49" t="s">
        <v>19</v>
      </c>
      <c r="F1194" s="49" t="s">
        <v>2104</v>
      </c>
      <c r="G1194" s="25" t="s">
        <v>3472</v>
      </c>
      <c r="H1194" s="51" t="n">
        <v>1</v>
      </c>
      <c r="I1194" s="49" t="s">
        <v>3327</v>
      </c>
      <c r="J1194" s="50" t="s">
        <v>5867</v>
      </c>
      <c r="K1194" s="25" t="s">
        <v>3157</v>
      </c>
      <c r="L1194" s="49" t="s">
        <v>5868</v>
      </c>
      <c r="M1194" s="25" t="s">
        <v>2693</v>
      </c>
      <c r="N1194" s="49" t="s">
        <v>3115</v>
      </c>
      <c r="O1194" s="25"/>
      <c r="P1194" s="49"/>
      <c r="Q1194" s="49"/>
      <c r="R1194" s="50" t="s">
        <v>49</v>
      </c>
      <c r="S1194" s="52" t="s">
        <v>69</v>
      </c>
    </row>
    <row r="1195" customFormat="false" ht="15" hidden="false" customHeight="true" outlineLevel="0" collapsed="false">
      <c r="A1195" s="46" t="n">
        <v>1206</v>
      </c>
      <c r="B1195" s="24" t="s">
        <v>5837</v>
      </c>
      <c r="C1195" s="47"/>
      <c r="D1195" s="47" t="s">
        <v>3110</v>
      </c>
      <c r="E1195" s="46" t="s">
        <v>19</v>
      </c>
      <c r="F1195" s="46" t="s">
        <v>2104</v>
      </c>
      <c r="G1195" s="24" t="s">
        <v>3194</v>
      </c>
      <c r="H1195" s="48" t="n">
        <v>1</v>
      </c>
      <c r="I1195" s="46" t="s">
        <v>3587</v>
      </c>
      <c r="J1195" s="47" t="s">
        <v>5869</v>
      </c>
      <c r="K1195" s="24" t="s">
        <v>5870</v>
      </c>
      <c r="L1195" s="46" t="s">
        <v>5871</v>
      </c>
      <c r="M1195" s="24" t="s">
        <v>2693</v>
      </c>
      <c r="N1195" s="46" t="s">
        <v>3115</v>
      </c>
      <c r="O1195" s="24"/>
      <c r="P1195" s="46"/>
      <c r="Q1195" s="46"/>
      <c r="R1195" s="47" t="s">
        <v>50</v>
      </c>
      <c r="S1195" s="52" t="s">
        <v>69</v>
      </c>
    </row>
    <row r="1196" customFormat="false" ht="15" hidden="false" customHeight="true" outlineLevel="0" collapsed="false">
      <c r="A1196" s="49" t="n">
        <v>1207</v>
      </c>
      <c r="B1196" s="25" t="s">
        <v>5834</v>
      </c>
      <c r="C1196" s="50"/>
      <c r="D1196" s="50" t="s">
        <v>3110</v>
      </c>
      <c r="E1196" s="49" t="s">
        <v>19</v>
      </c>
      <c r="F1196" s="49" t="s">
        <v>2104</v>
      </c>
      <c r="G1196" s="25" t="s">
        <v>3194</v>
      </c>
      <c r="H1196" s="51" t="n">
        <v>5</v>
      </c>
      <c r="I1196" s="49" t="s">
        <v>3354</v>
      </c>
      <c r="J1196" s="50" t="s">
        <v>5872</v>
      </c>
      <c r="K1196" s="25" t="s">
        <v>3510</v>
      </c>
      <c r="L1196" s="49" t="s">
        <v>5873</v>
      </c>
      <c r="M1196" s="25" t="s">
        <v>2693</v>
      </c>
      <c r="N1196" s="49" t="s">
        <v>3115</v>
      </c>
      <c r="O1196" s="25"/>
      <c r="P1196" s="49"/>
      <c r="Q1196" s="49"/>
      <c r="R1196" s="50" t="s">
        <v>50</v>
      </c>
      <c r="S1196" s="52" t="s">
        <v>69</v>
      </c>
    </row>
    <row r="1197" customFormat="false" ht="15" hidden="false" customHeight="true" outlineLevel="0" collapsed="false">
      <c r="A1197" s="46" t="n">
        <v>1208</v>
      </c>
      <c r="B1197" s="24" t="s">
        <v>5874</v>
      </c>
      <c r="C1197" s="47"/>
      <c r="D1197" s="47" t="s">
        <v>2248</v>
      </c>
      <c r="E1197" s="46" t="s">
        <v>20</v>
      </c>
      <c r="F1197" s="46" t="s">
        <v>2104</v>
      </c>
      <c r="G1197" s="24" t="s">
        <v>5875</v>
      </c>
      <c r="H1197" s="48" t="n">
        <v>5</v>
      </c>
      <c r="I1197" s="46" t="s">
        <v>3139</v>
      </c>
      <c r="J1197" s="47" t="s">
        <v>5876</v>
      </c>
      <c r="K1197" s="24" t="s">
        <v>5877</v>
      </c>
      <c r="L1197" s="46" t="s">
        <v>5878</v>
      </c>
      <c r="M1197" s="24" t="s">
        <v>5879</v>
      </c>
      <c r="N1197" s="46" t="s">
        <v>5880</v>
      </c>
      <c r="O1197" s="24" t="s">
        <v>4876</v>
      </c>
      <c r="P1197" s="46" t="s">
        <v>4877</v>
      </c>
      <c r="Q1197" s="46"/>
      <c r="R1197" s="47" t="s">
        <v>48</v>
      </c>
      <c r="S1197" s="47"/>
    </row>
    <row r="1198" customFormat="false" ht="15" hidden="false" customHeight="true" outlineLevel="0" collapsed="false">
      <c r="A1198" s="49" t="n">
        <v>1209</v>
      </c>
      <c r="B1198" s="25" t="s">
        <v>5881</v>
      </c>
      <c r="C1198" s="50"/>
      <c r="D1198" s="50" t="s">
        <v>2248</v>
      </c>
      <c r="E1198" s="49" t="s">
        <v>19</v>
      </c>
      <c r="F1198" s="49" t="s">
        <v>2104</v>
      </c>
      <c r="G1198" s="25" t="s">
        <v>3194</v>
      </c>
      <c r="H1198" s="51" t="n">
        <v>5</v>
      </c>
      <c r="I1198" s="49" t="s">
        <v>5822</v>
      </c>
      <c r="J1198" s="50" t="s">
        <v>5882</v>
      </c>
      <c r="K1198" s="25" t="s">
        <v>2303</v>
      </c>
      <c r="L1198" s="49" t="s">
        <v>5883</v>
      </c>
      <c r="M1198" s="25" t="s">
        <v>5879</v>
      </c>
      <c r="N1198" s="49" t="s">
        <v>5880</v>
      </c>
      <c r="O1198" s="25" t="s">
        <v>4876</v>
      </c>
      <c r="P1198" s="49" t="s">
        <v>4877</v>
      </c>
      <c r="Q1198" s="49"/>
      <c r="R1198" s="50" t="s">
        <v>50</v>
      </c>
      <c r="S1198" s="50"/>
    </row>
    <row r="1199" customFormat="false" ht="15" hidden="false" customHeight="true" outlineLevel="0" collapsed="false">
      <c r="A1199" s="46" t="n">
        <v>1210</v>
      </c>
      <c r="B1199" s="24" t="s">
        <v>5874</v>
      </c>
      <c r="C1199" s="47"/>
      <c r="D1199" s="47" t="s">
        <v>2248</v>
      </c>
      <c r="E1199" s="46" t="s">
        <v>20</v>
      </c>
      <c r="F1199" s="46" t="s">
        <v>2104</v>
      </c>
      <c r="G1199" s="24" t="s">
        <v>3415</v>
      </c>
      <c r="H1199" s="48" t="n">
        <v>5</v>
      </c>
      <c r="I1199" s="46" t="s">
        <v>3155</v>
      </c>
      <c r="J1199" s="47" t="s">
        <v>5884</v>
      </c>
      <c r="K1199" s="24" t="s">
        <v>5877</v>
      </c>
      <c r="L1199" s="46" t="s">
        <v>5878</v>
      </c>
      <c r="M1199" s="24" t="s">
        <v>5879</v>
      </c>
      <c r="N1199" s="46" t="s">
        <v>5880</v>
      </c>
      <c r="O1199" s="24" t="s">
        <v>4876</v>
      </c>
      <c r="P1199" s="46" t="s">
        <v>4877</v>
      </c>
      <c r="Q1199" s="46"/>
      <c r="R1199" s="47" t="s">
        <v>48</v>
      </c>
      <c r="S1199" s="47"/>
    </row>
    <row r="1200" customFormat="false" ht="15" hidden="false" customHeight="true" outlineLevel="0" collapsed="false">
      <c r="A1200" s="49" t="n">
        <v>1211</v>
      </c>
      <c r="B1200" s="25" t="s">
        <v>3440</v>
      </c>
      <c r="C1200" s="50"/>
      <c r="D1200" s="50" t="s">
        <v>2248</v>
      </c>
      <c r="E1200" s="49" t="s">
        <v>20</v>
      </c>
      <c r="F1200" s="49" t="s">
        <v>2104</v>
      </c>
      <c r="G1200" s="25" t="s">
        <v>3415</v>
      </c>
      <c r="H1200" s="51" t="n">
        <v>5</v>
      </c>
      <c r="I1200" s="49" t="s">
        <v>5885</v>
      </c>
      <c r="J1200" s="50" t="s">
        <v>5886</v>
      </c>
      <c r="K1200" s="25" t="s">
        <v>5887</v>
      </c>
      <c r="L1200" s="49" t="s">
        <v>5888</v>
      </c>
      <c r="M1200" s="25" t="s">
        <v>5879</v>
      </c>
      <c r="N1200" s="49" t="s">
        <v>5880</v>
      </c>
      <c r="O1200" s="25" t="s">
        <v>4876</v>
      </c>
      <c r="P1200" s="49" t="s">
        <v>4877</v>
      </c>
      <c r="Q1200" s="49"/>
      <c r="R1200" s="50" t="s">
        <v>48</v>
      </c>
      <c r="S1200" s="50"/>
    </row>
    <row r="1201" customFormat="false" ht="15" hidden="false" customHeight="true" outlineLevel="0" collapsed="false">
      <c r="A1201" s="46" t="n">
        <v>1212</v>
      </c>
      <c r="B1201" s="24" t="s">
        <v>5889</v>
      </c>
      <c r="C1201" s="47"/>
      <c r="D1201" s="47" t="s">
        <v>4870</v>
      </c>
      <c r="E1201" s="46" t="s">
        <v>20</v>
      </c>
      <c r="F1201" s="46" t="s">
        <v>2104</v>
      </c>
      <c r="G1201" s="24" t="s">
        <v>5812</v>
      </c>
      <c r="H1201" s="48" t="n">
        <v>5</v>
      </c>
      <c r="I1201" s="46" t="s">
        <v>3134</v>
      </c>
      <c r="J1201" s="47" t="s">
        <v>5890</v>
      </c>
      <c r="K1201" s="24" t="s">
        <v>5891</v>
      </c>
      <c r="L1201" s="46" t="s">
        <v>5892</v>
      </c>
      <c r="M1201" s="24" t="s">
        <v>5893</v>
      </c>
      <c r="N1201" s="46" t="s">
        <v>5894</v>
      </c>
      <c r="O1201" s="24" t="s">
        <v>2355</v>
      </c>
      <c r="P1201" s="46" t="s">
        <v>2356</v>
      </c>
      <c r="Q1201" s="46"/>
      <c r="R1201" s="47" t="s">
        <v>49</v>
      </c>
      <c r="S1201" s="47"/>
    </row>
    <row r="1202" customFormat="false" ht="15" hidden="false" customHeight="true" outlineLevel="0" collapsed="false">
      <c r="A1202" s="49" t="n">
        <v>1213</v>
      </c>
      <c r="B1202" s="25" t="s">
        <v>5895</v>
      </c>
      <c r="C1202" s="50"/>
      <c r="D1202" s="50" t="s">
        <v>2248</v>
      </c>
      <c r="E1202" s="49" t="s">
        <v>20</v>
      </c>
      <c r="F1202" s="49" t="s">
        <v>2104</v>
      </c>
      <c r="G1202" s="25" t="s">
        <v>3476</v>
      </c>
      <c r="H1202" s="51" t="n">
        <v>5</v>
      </c>
      <c r="I1202" s="49" t="s">
        <v>5896</v>
      </c>
      <c r="J1202" s="50" t="s">
        <v>5897</v>
      </c>
      <c r="K1202" s="25" t="s">
        <v>5898</v>
      </c>
      <c r="L1202" s="49" t="s">
        <v>5899</v>
      </c>
      <c r="M1202" s="25" t="s">
        <v>5879</v>
      </c>
      <c r="N1202" s="49" t="s">
        <v>5880</v>
      </c>
      <c r="O1202" s="25" t="s">
        <v>4876</v>
      </c>
      <c r="P1202" s="49" t="s">
        <v>4877</v>
      </c>
      <c r="Q1202" s="49"/>
      <c r="R1202" s="50" t="s">
        <v>48</v>
      </c>
      <c r="S1202" s="50"/>
    </row>
    <row r="1203" customFormat="false" ht="15" hidden="false" customHeight="true" outlineLevel="0" collapsed="false">
      <c r="A1203" s="46" t="n">
        <v>1214</v>
      </c>
      <c r="B1203" s="24" t="s">
        <v>5895</v>
      </c>
      <c r="C1203" s="47"/>
      <c r="D1203" s="47" t="s">
        <v>2248</v>
      </c>
      <c r="E1203" s="46" t="s">
        <v>20</v>
      </c>
      <c r="F1203" s="46" t="s">
        <v>2104</v>
      </c>
      <c r="G1203" s="24" t="s">
        <v>3194</v>
      </c>
      <c r="H1203" s="48" t="n">
        <v>5</v>
      </c>
      <c r="I1203" s="46" t="s">
        <v>3139</v>
      </c>
      <c r="J1203" s="47" t="s">
        <v>5900</v>
      </c>
      <c r="K1203" s="24" t="s">
        <v>5898</v>
      </c>
      <c r="L1203" s="46" t="s">
        <v>5899</v>
      </c>
      <c r="M1203" s="24" t="s">
        <v>5879</v>
      </c>
      <c r="N1203" s="46" t="s">
        <v>5880</v>
      </c>
      <c r="O1203" s="24" t="s">
        <v>4876</v>
      </c>
      <c r="P1203" s="46" t="s">
        <v>4877</v>
      </c>
      <c r="Q1203" s="46"/>
      <c r="R1203" s="47" t="s">
        <v>50</v>
      </c>
      <c r="S1203" s="47"/>
    </row>
    <row r="1204" customFormat="false" ht="15" hidden="false" customHeight="true" outlineLevel="0" collapsed="false">
      <c r="A1204" s="49" t="n">
        <v>1215</v>
      </c>
      <c r="B1204" s="25" t="s">
        <v>5889</v>
      </c>
      <c r="C1204" s="50"/>
      <c r="D1204" s="50" t="s">
        <v>4870</v>
      </c>
      <c r="E1204" s="49" t="s">
        <v>20</v>
      </c>
      <c r="F1204" s="49" t="s">
        <v>2104</v>
      </c>
      <c r="G1204" s="25" t="s">
        <v>5901</v>
      </c>
      <c r="H1204" s="51" t="n">
        <v>5</v>
      </c>
      <c r="I1204" s="49" t="s">
        <v>3102</v>
      </c>
      <c r="J1204" s="50" t="s">
        <v>5902</v>
      </c>
      <c r="K1204" s="25" t="s">
        <v>5903</v>
      </c>
      <c r="L1204" s="49" t="s">
        <v>5904</v>
      </c>
      <c r="M1204" s="25" t="s">
        <v>5893</v>
      </c>
      <c r="N1204" s="49" t="s">
        <v>5894</v>
      </c>
      <c r="O1204" s="25" t="s">
        <v>2355</v>
      </c>
      <c r="P1204" s="49" t="s">
        <v>2356</v>
      </c>
      <c r="Q1204" s="49"/>
      <c r="R1204" s="50" t="s">
        <v>49</v>
      </c>
      <c r="S1204" s="50"/>
    </row>
    <row r="1205" customFormat="false" ht="15" hidden="false" customHeight="true" outlineLevel="0" collapsed="false">
      <c r="A1205" s="46" t="n">
        <v>1216</v>
      </c>
      <c r="B1205" s="24" t="s">
        <v>5905</v>
      </c>
      <c r="C1205" s="47"/>
      <c r="D1205" s="47" t="s">
        <v>20</v>
      </c>
      <c r="E1205" s="46" t="s">
        <v>20</v>
      </c>
      <c r="F1205" s="46" t="s">
        <v>2104</v>
      </c>
      <c r="G1205" s="24" t="s">
        <v>5906</v>
      </c>
      <c r="H1205" s="48" t="n">
        <v>3</v>
      </c>
      <c r="I1205" s="46"/>
      <c r="J1205" s="47" t="s">
        <v>5907</v>
      </c>
      <c r="K1205" s="24" t="s">
        <v>5908</v>
      </c>
      <c r="L1205" s="46" t="s">
        <v>5909</v>
      </c>
      <c r="M1205" s="24" t="s">
        <v>5910</v>
      </c>
      <c r="N1205" s="46" t="s">
        <v>5911</v>
      </c>
      <c r="O1205" s="24" t="s">
        <v>4876</v>
      </c>
      <c r="P1205" s="46" t="s">
        <v>4877</v>
      </c>
      <c r="Q1205" s="46"/>
      <c r="R1205" s="47" t="s">
        <v>48</v>
      </c>
      <c r="S1205" s="52" t="s">
        <v>67</v>
      </c>
    </row>
    <row r="1206" customFormat="false" ht="15" hidden="false" customHeight="true" outlineLevel="0" collapsed="false">
      <c r="A1206" s="49" t="n">
        <v>1217</v>
      </c>
      <c r="B1206" s="25" t="s">
        <v>5874</v>
      </c>
      <c r="C1206" s="50"/>
      <c r="D1206" s="50" t="s">
        <v>2248</v>
      </c>
      <c r="E1206" s="49" t="s">
        <v>20</v>
      </c>
      <c r="F1206" s="49" t="s">
        <v>2104</v>
      </c>
      <c r="G1206" s="25" t="s">
        <v>3194</v>
      </c>
      <c r="H1206" s="51" t="n">
        <v>5</v>
      </c>
      <c r="I1206" s="49" t="s">
        <v>5822</v>
      </c>
      <c r="J1206" s="50" t="s">
        <v>5912</v>
      </c>
      <c r="K1206" s="25" t="s">
        <v>1492</v>
      </c>
      <c r="L1206" s="49" t="s">
        <v>5913</v>
      </c>
      <c r="M1206" s="25" t="s">
        <v>5879</v>
      </c>
      <c r="N1206" s="49" t="s">
        <v>5880</v>
      </c>
      <c r="O1206" s="25" t="s">
        <v>4876</v>
      </c>
      <c r="P1206" s="49" t="s">
        <v>4877</v>
      </c>
      <c r="Q1206" s="49"/>
      <c r="R1206" s="50" t="s">
        <v>50</v>
      </c>
      <c r="S1206" s="50"/>
    </row>
    <row r="1207" customFormat="false" ht="15" hidden="false" customHeight="true" outlineLevel="0" collapsed="false">
      <c r="A1207" s="46" t="n">
        <v>1218</v>
      </c>
      <c r="B1207" s="24" t="s">
        <v>5905</v>
      </c>
      <c r="C1207" s="47"/>
      <c r="D1207" s="47" t="s">
        <v>20</v>
      </c>
      <c r="E1207" s="46" t="s">
        <v>20</v>
      </c>
      <c r="F1207" s="46" t="s">
        <v>2104</v>
      </c>
      <c r="G1207" s="24" t="s">
        <v>5914</v>
      </c>
      <c r="H1207" s="48" t="n">
        <v>5</v>
      </c>
      <c r="I1207" s="46" t="s">
        <v>3127</v>
      </c>
      <c r="J1207" s="47" t="s">
        <v>5915</v>
      </c>
      <c r="K1207" s="24" t="s">
        <v>5916</v>
      </c>
      <c r="L1207" s="46" t="s">
        <v>5917</v>
      </c>
      <c r="M1207" s="24" t="s">
        <v>5918</v>
      </c>
      <c r="N1207" s="46" t="s">
        <v>5911</v>
      </c>
      <c r="O1207" s="24" t="s">
        <v>5919</v>
      </c>
      <c r="P1207" s="46" t="s">
        <v>4877</v>
      </c>
      <c r="Q1207" s="46"/>
      <c r="R1207" s="47" t="s">
        <v>48</v>
      </c>
      <c r="S1207" s="47"/>
    </row>
    <row r="1208" customFormat="false" ht="15" hidden="false" customHeight="true" outlineLevel="0" collapsed="false">
      <c r="A1208" s="49" t="n">
        <v>1219</v>
      </c>
      <c r="B1208" s="25" t="s">
        <v>5889</v>
      </c>
      <c r="C1208" s="50"/>
      <c r="D1208" s="50" t="s">
        <v>4870</v>
      </c>
      <c r="E1208" s="49" t="s">
        <v>20</v>
      </c>
      <c r="F1208" s="49" t="s">
        <v>2104</v>
      </c>
      <c r="G1208" s="25" t="s">
        <v>5920</v>
      </c>
      <c r="H1208" s="51" t="n">
        <v>5</v>
      </c>
      <c r="I1208" s="49" t="s">
        <v>3309</v>
      </c>
      <c r="J1208" s="50" t="s">
        <v>5902</v>
      </c>
      <c r="K1208" s="25" t="s">
        <v>1503</v>
      </c>
      <c r="L1208" s="49" t="s">
        <v>5921</v>
      </c>
      <c r="M1208" s="25" t="s">
        <v>5893</v>
      </c>
      <c r="N1208" s="49" t="s">
        <v>5894</v>
      </c>
      <c r="O1208" s="25" t="s">
        <v>2355</v>
      </c>
      <c r="P1208" s="49" t="s">
        <v>2356</v>
      </c>
      <c r="Q1208" s="49"/>
      <c r="R1208" s="50" t="s">
        <v>49</v>
      </c>
      <c r="S1208" s="50"/>
    </row>
    <row r="1209" customFormat="false" ht="15" hidden="false" customHeight="true" outlineLevel="0" collapsed="false">
      <c r="A1209" s="46" t="n">
        <v>1220</v>
      </c>
      <c r="B1209" s="24" t="s">
        <v>5922</v>
      </c>
      <c r="C1209" s="47"/>
      <c r="D1209" s="47" t="s">
        <v>4870</v>
      </c>
      <c r="E1209" s="46" t="s">
        <v>20</v>
      </c>
      <c r="F1209" s="46" t="s">
        <v>2104</v>
      </c>
      <c r="G1209" s="24" t="s">
        <v>3415</v>
      </c>
      <c r="H1209" s="48" t="n">
        <v>5</v>
      </c>
      <c r="I1209" s="46" t="s">
        <v>3102</v>
      </c>
      <c r="J1209" s="47" t="s">
        <v>5819</v>
      </c>
      <c r="K1209" s="24" t="s">
        <v>3614</v>
      </c>
      <c r="L1209" s="46" t="s">
        <v>5923</v>
      </c>
      <c r="M1209" s="24" t="s">
        <v>4875</v>
      </c>
      <c r="N1209" s="46" t="s">
        <v>2352</v>
      </c>
      <c r="O1209" s="24" t="s">
        <v>4876</v>
      </c>
      <c r="P1209" s="46" t="s">
        <v>4877</v>
      </c>
      <c r="Q1209" s="46"/>
      <c r="R1209" s="47" t="s">
        <v>48</v>
      </c>
      <c r="S1209" s="47"/>
    </row>
    <row r="1210" customFormat="false" ht="15" hidden="false" customHeight="true" outlineLevel="0" collapsed="false">
      <c r="A1210" s="49" t="n">
        <v>1221</v>
      </c>
      <c r="B1210" s="25" t="s">
        <v>5922</v>
      </c>
      <c r="C1210" s="50"/>
      <c r="D1210" s="50" t="s">
        <v>4870</v>
      </c>
      <c r="E1210" s="49" t="s">
        <v>20</v>
      </c>
      <c r="F1210" s="49" t="s">
        <v>2104</v>
      </c>
      <c r="G1210" s="25" t="s">
        <v>5924</v>
      </c>
      <c r="H1210" s="51" t="n">
        <v>5</v>
      </c>
      <c r="I1210" s="49" t="s">
        <v>5896</v>
      </c>
      <c r="J1210" s="50" t="s">
        <v>5819</v>
      </c>
      <c r="K1210" s="25" t="s">
        <v>5925</v>
      </c>
      <c r="L1210" s="49" t="s">
        <v>5926</v>
      </c>
      <c r="M1210" s="25" t="s">
        <v>4875</v>
      </c>
      <c r="N1210" s="49" t="s">
        <v>2352</v>
      </c>
      <c r="O1210" s="25" t="s">
        <v>4876</v>
      </c>
      <c r="P1210" s="49" t="s">
        <v>4877</v>
      </c>
      <c r="Q1210" s="49"/>
      <c r="R1210" s="50" t="s">
        <v>50</v>
      </c>
      <c r="S1210" s="50"/>
    </row>
    <row r="1211" customFormat="false" ht="15" hidden="false" customHeight="true" outlineLevel="0" collapsed="false">
      <c r="A1211" s="46" t="n">
        <v>1222</v>
      </c>
      <c r="B1211" s="24" t="s">
        <v>5905</v>
      </c>
      <c r="C1211" s="47"/>
      <c r="D1211" s="47" t="s">
        <v>20</v>
      </c>
      <c r="E1211" s="46" t="s">
        <v>20</v>
      </c>
      <c r="F1211" s="46" t="s">
        <v>2104</v>
      </c>
      <c r="G1211" s="24" t="s">
        <v>5927</v>
      </c>
      <c r="H1211" s="48" t="n">
        <v>5</v>
      </c>
      <c r="I1211" s="46" t="s">
        <v>3127</v>
      </c>
      <c r="J1211" s="47" t="s">
        <v>5928</v>
      </c>
      <c r="K1211" s="24" t="s">
        <v>5245</v>
      </c>
      <c r="L1211" s="46" t="s">
        <v>5929</v>
      </c>
      <c r="M1211" s="24" t="s">
        <v>5918</v>
      </c>
      <c r="N1211" s="46" t="s">
        <v>5911</v>
      </c>
      <c r="O1211" s="24" t="s">
        <v>4876</v>
      </c>
      <c r="P1211" s="46" t="s">
        <v>4877</v>
      </c>
      <c r="Q1211" s="46"/>
      <c r="R1211" s="47" t="s">
        <v>48</v>
      </c>
      <c r="S1211" s="47"/>
    </row>
    <row r="1212" customFormat="false" ht="15" hidden="false" customHeight="true" outlineLevel="0" collapsed="false">
      <c r="A1212" s="49" t="n">
        <v>1223</v>
      </c>
      <c r="B1212" s="25" t="s">
        <v>5905</v>
      </c>
      <c r="C1212" s="50"/>
      <c r="D1212" s="50" t="s">
        <v>20</v>
      </c>
      <c r="E1212" s="49" t="s">
        <v>20</v>
      </c>
      <c r="F1212" s="49" t="s">
        <v>2104</v>
      </c>
      <c r="G1212" s="25" t="s">
        <v>5930</v>
      </c>
      <c r="H1212" s="51" t="n">
        <v>5</v>
      </c>
      <c r="I1212" s="49" t="s">
        <v>5931</v>
      </c>
      <c r="J1212" s="50" t="s">
        <v>5932</v>
      </c>
      <c r="K1212" s="25" t="s">
        <v>5933</v>
      </c>
      <c r="L1212" s="49" t="s">
        <v>5934</v>
      </c>
      <c r="M1212" s="25" t="s">
        <v>5918</v>
      </c>
      <c r="N1212" s="49" t="s">
        <v>5911</v>
      </c>
      <c r="O1212" s="25" t="s">
        <v>4876</v>
      </c>
      <c r="P1212" s="49" t="s">
        <v>4877</v>
      </c>
      <c r="Q1212" s="49"/>
      <c r="R1212" s="50" t="s">
        <v>48</v>
      </c>
      <c r="S1212" s="50"/>
    </row>
    <row r="1213" customFormat="false" ht="15" hidden="false" customHeight="true" outlineLevel="0" collapsed="false">
      <c r="A1213" s="46" t="n">
        <v>1224</v>
      </c>
      <c r="B1213" s="24" t="s">
        <v>5922</v>
      </c>
      <c r="C1213" s="47"/>
      <c r="D1213" s="47" t="s">
        <v>4870</v>
      </c>
      <c r="E1213" s="46" t="s">
        <v>20</v>
      </c>
      <c r="F1213" s="46" t="s">
        <v>2104</v>
      </c>
      <c r="G1213" s="24" t="s">
        <v>3431</v>
      </c>
      <c r="H1213" s="48" t="n">
        <v>1</v>
      </c>
      <c r="I1213" s="46" t="s">
        <v>5896</v>
      </c>
      <c r="J1213" s="47" t="s">
        <v>5819</v>
      </c>
      <c r="K1213" s="24" t="s">
        <v>5935</v>
      </c>
      <c r="L1213" s="46" t="s">
        <v>5936</v>
      </c>
      <c r="M1213" s="24" t="s">
        <v>4875</v>
      </c>
      <c r="N1213" s="46" t="s">
        <v>2352</v>
      </c>
      <c r="O1213" s="24" t="s">
        <v>4876</v>
      </c>
      <c r="P1213" s="46" t="s">
        <v>4877</v>
      </c>
      <c r="Q1213" s="46"/>
      <c r="R1213" s="47" t="s">
        <v>48</v>
      </c>
      <c r="S1213" s="47"/>
    </row>
    <row r="1214" customFormat="false" ht="15" hidden="false" customHeight="true" outlineLevel="0" collapsed="false">
      <c r="A1214" s="49" t="n">
        <v>1225</v>
      </c>
      <c r="B1214" s="25" t="s">
        <v>5937</v>
      </c>
      <c r="C1214" s="50"/>
      <c r="D1214" s="50" t="s">
        <v>4870</v>
      </c>
      <c r="E1214" s="49" t="s">
        <v>20</v>
      </c>
      <c r="F1214" s="49" t="s">
        <v>2104</v>
      </c>
      <c r="G1214" s="25" t="s">
        <v>5938</v>
      </c>
      <c r="H1214" s="51" t="n">
        <v>5</v>
      </c>
      <c r="I1214" s="49" t="s">
        <v>5885</v>
      </c>
      <c r="J1214" s="50" t="s">
        <v>5939</v>
      </c>
      <c r="K1214" s="25" t="s">
        <v>3149</v>
      </c>
      <c r="L1214" s="49" t="s">
        <v>5940</v>
      </c>
      <c r="M1214" s="25" t="s">
        <v>5893</v>
      </c>
      <c r="N1214" s="49" t="s">
        <v>5894</v>
      </c>
      <c r="O1214" s="25" t="s">
        <v>2355</v>
      </c>
      <c r="P1214" s="49" t="s">
        <v>2356</v>
      </c>
      <c r="Q1214" s="49"/>
      <c r="R1214" s="50" t="s">
        <v>49</v>
      </c>
      <c r="S1214" s="50"/>
    </row>
    <row r="1215" customFormat="false" ht="15" hidden="false" customHeight="true" outlineLevel="0" collapsed="false">
      <c r="A1215" s="46" t="n">
        <v>1226</v>
      </c>
      <c r="B1215" s="24" t="s">
        <v>5941</v>
      </c>
      <c r="C1215" s="47"/>
      <c r="D1215" s="47" t="s">
        <v>5811</v>
      </c>
      <c r="E1215" s="46" t="s">
        <v>20</v>
      </c>
      <c r="F1215" s="46" t="s">
        <v>2104</v>
      </c>
      <c r="G1215" s="24" t="s">
        <v>5942</v>
      </c>
      <c r="H1215" s="48" t="n">
        <v>5</v>
      </c>
      <c r="I1215" s="46" t="s">
        <v>3127</v>
      </c>
      <c r="J1215" s="47" t="s">
        <v>5943</v>
      </c>
      <c r="K1215" s="24" t="s">
        <v>5944</v>
      </c>
      <c r="L1215" s="46" t="s">
        <v>5945</v>
      </c>
      <c r="M1215" s="24" t="s">
        <v>5946</v>
      </c>
      <c r="N1215" s="46" t="s">
        <v>5947</v>
      </c>
      <c r="O1215" s="24" t="s">
        <v>5948</v>
      </c>
      <c r="P1215" s="46" t="s">
        <v>4877</v>
      </c>
      <c r="Q1215" s="46"/>
      <c r="R1215" s="47" t="s">
        <v>48</v>
      </c>
      <c r="S1215" s="47"/>
    </row>
    <row r="1216" customFormat="false" ht="15" hidden="false" customHeight="true" outlineLevel="0" collapsed="false">
      <c r="A1216" s="49" t="n">
        <v>1227</v>
      </c>
      <c r="B1216" s="25" t="s">
        <v>5889</v>
      </c>
      <c r="C1216" s="50"/>
      <c r="D1216" s="50" t="s">
        <v>4870</v>
      </c>
      <c r="E1216" s="49" t="s">
        <v>20</v>
      </c>
      <c r="F1216" s="49" t="s">
        <v>2104</v>
      </c>
      <c r="G1216" s="25" t="s">
        <v>3194</v>
      </c>
      <c r="H1216" s="51" t="n">
        <v>1</v>
      </c>
      <c r="I1216" s="49" t="s">
        <v>3327</v>
      </c>
      <c r="J1216" s="50" t="s">
        <v>5949</v>
      </c>
      <c r="K1216" s="25" t="s">
        <v>2966</v>
      </c>
      <c r="L1216" s="49" t="s">
        <v>5950</v>
      </c>
      <c r="M1216" s="25" t="s">
        <v>5893</v>
      </c>
      <c r="N1216" s="49" t="s">
        <v>5894</v>
      </c>
      <c r="O1216" s="25" t="s">
        <v>2355</v>
      </c>
      <c r="P1216" s="49" t="s">
        <v>2356</v>
      </c>
      <c r="Q1216" s="49"/>
      <c r="R1216" s="50" t="s">
        <v>50</v>
      </c>
      <c r="S1216" s="50"/>
    </row>
    <row r="1217" customFormat="false" ht="15" hidden="false" customHeight="true" outlineLevel="0" collapsed="false">
      <c r="A1217" s="46" t="n">
        <v>1228</v>
      </c>
      <c r="B1217" s="24" t="s">
        <v>5951</v>
      </c>
      <c r="C1217" s="47"/>
      <c r="D1217" s="47" t="s">
        <v>2248</v>
      </c>
      <c r="E1217" s="46" t="s">
        <v>20</v>
      </c>
      <c r="F1217" s="46" t="s">
        <v>2104</v>
      </c>
      <c r="G1217" s="24" t="s">
        <v>3472</v>
      </c>
      <c r="H1217" s="48" t="n">
        <v>1</v>
      </c>
      <c r="I1217" s="46" t="s">
        <v>5822</v>
      </c>
      <c r="J1217" s="47" t="s">
        <v>5952</v>
      </c>
      <c r="K1217" s="24" t="s">
        <v>5953</v>
      </c>
      <c r="L1217" s="46" t="s">
        <v>5954</v>
      </c>
      <c r="M1217" s="24" t="s">
        <v>5955</v>
      </c>
      <c r="N1217" s="46" t="s">
        <v>5956</v>
      </c>
      <c r="O1217" s="24" t="s">
        <v>5955</v>
      </c>
      <c r="P1217" s="46" t="s">
        <v>5956</v>
      </c>
      <c r="Q1217" s="46"/>
      <c r="R1217" s="47" t="s">
        <v>49</v>
      </c>
      <c r="S1217" s="47"/>
    </row>
    <row r="1218" customFormat="false" ht="15" hidden="false" customHeight="true" outlineLevel="0" collapsed="false">
      <c r="A1218" s="49" t="n">
        <v>1229</v>
      </c>
      <c r="B1218" s="25" t="s">
        <v>5951</v>
      </c>
      <c r="C1218" s="50"/>
      <c r="D1218" s="50" t="s">
        <v>2248</v>
      </c>
      <c r="E1218" s="49" t="s">
        <v>20</v>
      </c>
      <c r="F1218" s="49" t="s">
        <v>2104</v>
      </c>
      <c r="G1218" s="25" t="s">
        <v>3472</v>
      </c>
      <c r="H1218" s="51" t="n">
        <v>1</v>
      </c>
      <c r="I1218" s="49" t="s">
        <v>5822</v>
      </c>
      <c r="J1218" s="50" t="s">
        <v>5957</v>
      </c>
      <c r="K1218" s="25" t="s">
        <v>5958</v>
      </c>
      <c r="L1218" s="49" t="s">
        <v>5959</v>
      </c>
      <c r="M1218" s="25" t="s">
        <v>5955</v>
      </c>
      <c r="N1218" s="49" t="s">
        <v>5956</v>
      </c>
      <c r="O1218" s="25" t="s">
        <v>5955</v>
      </c>
      <c r="P1218" s="49" t="s">
        <v>5956</v>
      </c>
      <c r="Q1218" s="49"/>
      <c r="R1218" s="50" t="s">
        <v>49</v>
      </c>
      <c r="S1218" s="50"/>
    </row>
    <row r="1219" customFormat="false" ht="15" hidden="false" customHeight="true" outlineLevel="0" collapsed="false">
      <c r="A1219" s="46" t="n">
        <v>1230</v>
      </c>
      <c r="B1219" s="24" t="s">
        <v>5951</v>
      </c>
      <c r="C1219" s="47"/>
      <c r="D1219" s="47" t="s">
        <v>2248</v>
      </c>
      <c r="E1219" s="46" t="s">
        <v>20</v>
      </c>
      <c r="F1219" s="46" t="s">
        <v>2104</v>
      </c>
      <c r="G1219" s="24" t="s">
        <v>3194</v>
      </c>
      <c r="H1219" s="48" t="n">
        <v>1</v>
      </c>
      <c r="I1219" s="46" t="s">
        <v>3155</v>
      </c>
      <c r="J1219" s="47" t="s">
        <v>5960</v>
      </c>
      <c r="K1219" s="24" t="s">
        <v>5961</v>
      </c>
      <c r="L1219" s="46" t="s">
        <v>5962</v>
      </c>
      <c r="M1219" s="24" t="s">
        <v>5955</v>
      </c>
      <c r="N1219" s="46" t="s">
        <v>5956</v>
      </c>
      <c r="O1219" s="24" t="s">
        <v>5955</v>
      </c>
      <c r="P1219" s="46" t="s">
        <v>5956</v>
      </c>
      <c r="Q1219" s="46"/>
      <c r="R1219" s="47" t="s">
        <v>50</v>
      </c>
      <c r="S1219" s="47"/>
    </row>
    <row r="1220" customFormat="false" ht="15" hidden="false" customHeight="true" outlineLevel="0" collapsed="false">
      <c r="A1220" s="49" t="n">
        <v>1231</v>
      </c>
      <c r="B1220" s="25" t="s">
        <v>5922</v>
      </c>
      <c r="C1220" s="50"/>
      <c r="D1220" s="50" t="s">
        <v>4870</v>
      </c>
      <c r="E1220" s="49" t="s">
        <v>20</v>
      </c>
      <c r="F1220" s="49" t="s">
        <v>2104</v>
      </c>
      <c r="G1220" s="25" t="s">
        <v>3431</v>
      </c>
      <c r="H1220" s="51" t="n">
        <v>5</v>
      </c>
      <c r="I1220" s="49" t="s">
        <v>5896</v>
      </c>
      <c r="J1220" s="50" t="s">
        <v>5963</v>
      </c>
      <c r="K1220" s="25" t="s">
        <v>3812</v>
      </c>
      <c r="L1220" s="49" t="s">
        <v>5964</v>
      </c>
      <c r="M1220" s="25" t="s">
        <v>4875</v>
      </c>
      <c r="N1220" s="49" t="s">
        <v>2352</v>
      </c>
      <c r="O1220" s="25" t="s">
        <v>4876</v>
      </c>
      <c r="P1220" s="49" t="s">
        <v>4877</v>
      </c>
      <c r="Q1220" s="49"/>
      <c r="R1220" s="50" t="s">
        <v>48</v>
      </c>
      <c r="S1220" s="50"/>
    </row>
    <row r="1221" customFormat="false" ht="15" hidden="false" customHeight="true" outlineLevel="0" collapsed="false">
      <c r="A1221" s="46" t="n">
        <v>1232</v>
      </c>
      <c r="B1221" s="24" t="s">
        <v>5951</v>
      </c>
      <c r="C1221" s="47"/>
      <c r="D1221" s="47" t="s">
        <v>2248</v>
      </c>
      <c r="E1221" s="46" t="s">
        <v>20</v>
      </c>
      <c r="F1221" s="46" t="s">
        <v>2104</v>
      </c>
      <c r="G1221" s="24" t="s">
        <v>3472</v>
      </c>
      <c r="H1221" s="48" t="n">
        <v>1</v>
      </c>
      <c r="I1221" s="46" t="s">
        <v>3155</v>
      </c>
      <c r="J1221" s="47" t="s">
        <v>5965</v>
      </c>
      <c r="K1221" s="24" t="s">
        <v>5966</v>
      </c>
      <c r="L1221" s="46" t="s">
        <v>5967</v>
      </c>
      <c r="M1221" s="24" t="s">
        <v>5955</v>
      </c>
      <c r="N1221" s="46" t="s">
        <v>5956</v>
      </c>
      <c r="O1221" s="24" t="s">
        <v>5955</v>
      </c>
      <c r="P1221" s="46" t="s">
        <v>5956</v>
      </c>
      <c r="Q1221" s="46"/>
      <c r="R1221" s="47" t="s">
        <v>49</v>
      </c>
      <c r="S1221" s="47"/>
    </row>
    <row r="1222" customFormat="false" ht="15" hidden="false" customHeight="true" outlineLevel="0" collapsed="false">
      <c r="A1222" s="49" t="n">
        <v>1233</v>
      </c>
      <c r="B1222" s="25" t="s">
        <v>5968</v>
      </c>
      <c r="C1222" s="50"/>
      <c r="D1222" s="50" t="s">
        <v>20</v>
      </c>
      <c r="E1222" s="49" t="s">
        <v>20</v>
      </c>
      <c r="F1222" s="49" t="s">
        <v>2104</v>
      </c>
      <c r="G1222" s="25" t="s">
        <v>5969</v>
      </c>
      <c r="H1222" s="51" t="n">
        <v>5</v>
      </c>
      <c r="I1222" s="49" t="s">
        <v>3139</v>
      </c>
      <c r="J1222" s="50" t="s">
        <v>5970</v>
      </c>
      <c r="K1222" s="25" t="s">
        <v>5971</v>
      </c>
      <c r="L1222" s="49" t="s">
        <v>5972</v>
      </c>
      <c r="M1222" s="25" t="s">
        <v>5973</v>
      </c>
      <c r="N1222" s="49" t="s">
        <v>5974</v>
      </c>
      <c r="O1222" s="25"/>
      <c r="P1222" s="49"/>
      <c r="Q1222" s="49"/>
      <c r="R1222" s="50" t="s">
        <v>51</v>
      </c>
      <c r="S1222" s="52" t="s">
        <v>69</v>
      </c>
    </row>
    <row r="1223" customFormat="false" ht="15" hidden="false" customHeight="true" outlineLevel="0" collapsed="false">
      <c r="A1223" s="46" t="n">
        <v>1234</v>
      </c>
      <c r="B1223" s="24" t="s">
        <v>5937</v>
      </c>
      <c r="C1223" s="47"/>
      <c r="D1223" s="47" t="s">
        <v>4870</v>
      </c>
      <c r="E1223" s="46" t="s">
        <v>20</v>
      </c>
      <c r="F1223" s="46" t="s">
        <v>2104</v>
      </c>
      <c r="G1223" s="24" t="s">
        <v>3194</v>
      </c>
      <c r="H1223" s="48" t="n">
        <v>5</v>
      </c>
      <c r="I1223" s="46" t="s">
        <v>3155</v>
      </c>
      <c r="J1223" s="47" t="s">
        <v>5902</v>
      </c>
      <c r="K1223" s="24" t="s">
        <v>5975</v>
      </c>
      <c r="L1223" s="46" t="s">
        <v>5976</v>
      </c>
      <c r="M1223" s="24" t="s">
        <v>5893</v>
      </c>
      <c r="N1223" s="46" t="s">
        <v>5894</v>
      </c>
      <c r="O1223" s="24" t="s">
        <v>2355</v>
      </c>
      <c r="P1223" s="46" t="s">
        <v>2356</v>
      </c>
      <c r="Q1223" s="46"/>
      <c r="R1223" s="47" t="s">
        <v>50</v>
      </c>
      <c r="S1223" s="47"/>
    </row>
    <row r="1224" customFormat="false" ht="15" hidden="false" customHeight="true" outlineLevel="0" collapsed="false">
      <c r="A1224" s="49" t="n">
        <v>1235</v>
      </c>
      <c r="B1224" s="25" t="s">
        <v>5905</v>
      </c>
      <c r="C1224" s="50"/>
      <c r="D1224" s="50" t="s">
        <v>20</v>
      </c>
      <c r="E1224" s="49" t="s">
        <v>20</v>
      </c>
      <c r="F1224" s="49" t="s">
        <v>2104</v>
      </c>
      <c r="G1224" s="25" t="s">
        <v>5977</v>
      </c>
      <c r="H1224" s="51" t="n">
        <v>5</v>
      </c>
      <c r="I1224" s="49" t="s">
        <v>3127</v>
      </c>
      <c r="J1224" s="50" t="s">
        <v>5978</v>
      </c>
      <c r="K1224" s="25" t="s">
        <v>5979</v>
      </c>
      <c r="L1224" s="49" t="s">
        <v>5980</v>
      </c>
      <c r="M1224" s="25" t="s">
        <v>5918</v>
      </c>
      <c r="N1224" s="49" t="s">
        <v>5911</v>
      </c>
      <c r="O1224" s="25" t="s">
        <v>4876</v>
      </c>
      <c r="P1224" s="49" t="s">
        <v>4877</v>
      </c>
      <c r="Q1224" s="49"/>
      <c r="R1224" s="50" t="s">
        <v>48</v>
      </c>
      <c r="S1224" s="50"/>
    </row>
    <row r="1225" customFormat="false" ht="15" hidden="false" customHeight="true" outlineLevel="0" collapsed="false">
      <c r="A1225" s="46" t="n">
        <v>1236</v>
      </c>
      <c r="B1225" s="24" t="s">
        <v>5968</v>
      </c>
      <c r="C1225" s="47"/>
      <c r="D1225" s="47" t="s">
        <v>20</v>
      </c>
      <c r="E1225" s="46" t="s">
        <v>20</v>
      </c>
      <c r="F1225" s="46" t="s">
        <v>2104</v>
      </c>
      <c r="G1225" s="24" t="s">
        <v>4880</v>
      </c>
      <c r="H1225" s="48" t="n">
        <v>5</v>
      </c>
      <c r="I1225" s="46" t="s">
        <v>3139</v>
      </c>
      <c r="J1225" s="47" t="s">
        <v>5981</v>
      </c>
      <c r="K1225" s="24" t="s">
        <v>5971</v>
      </c>
      <c r="L1225" s="46" t="s">
        <v>5972</v>
      </c>
      <c r="M1225" s="24" t="s">
        <v>5973</v>
      </c>
      <c r="N1225" s="46" t="s">
        <v>5974</v>
      </c>
      <c r="O1225" s="24" t="s">
        <v>2821</v>
      </c>
      <c r="P1225" s="46" t="s">
        <v>5974</v>
      </c>
      <c r="Q1225" s="46"/>
      <c r="R1225" s="47" t="s">
        <v>49</v>
      </c>
      <c r="S1225" s="47"/>
    </row>
    <row r="1226" customFormat="false" ht="15" hidden="false" customHeight="true" outlineLevel="0" collapsed="false">
      <c r="A1226" s="49" t="n">
        <v>1237</v>
      </c>
      <c r="B1226" s="25" t="s">
        <v>5937</v>
      </c>
      <c r="C1226" s="50"/>
      <c r="D1226" s="50" t="s">
        <v>4870</v>
      </c>
      <c r="E1226" s="49" t="s">
        <v>20</v>
      </c>
      <c r="F1226" s="49" t="s">
        <v>2104</v>
      </c>
      <c r="G1226" s="25" t="s">
        <v>3194</v>
      </c>
      <c r="H1226" s="51" t="n">
        <v>5</v>
      </c>
      <c r="I1226" s="49" t="s">
        <v>3084</v>
      </c>
      <c r="J1226" s="50" t="s">
        <v>5902</v>
      </c>
      <c r="K1226" s="25" t="s">
        <v>2693</v>
      </c>
      <c r="L1226" s="49" t="s">
        <v>5982</v>
      </c>
      <c r="M1226" s="25" t="s">
        <v>5893</v>
      </c>
      <c r="N1226" s="49" t="s">
        <v>5894</v>
      </c>
      <c r="O1226" s="25" t="s">
        <v>2355</v>
      </c>
      <c r="P1226" s="49" t="s">
        <v>2356</v>
      </c>
      <c r="Q1226" s="49"/>
      <c r="R1226" s="50" t="s">
        <v>50</v>
      </c>
      <c r="S1226" s="50"/>
    </row>
    <row r="1227" customFormat="false" ht="15" hidden="false" customHeight="true" outlineLevel="0" collapsed="false">
      <c r="A1227" s="46" t="n">
        <v>1238</v>
      </c>
      <c r="B1227" s="24" t="s">
        <v>5905</v>
      </c>
      <c r="C1227" s="47"/>
      <c r="D1227" s="47" t="s">
        <v>20</v>
      </c>
      <c r="E1227" s="46" t="s">
        <v>19</v>
      </c>
      <c r="F1227" s="46" t="s">
        <v>2104</v>
      </c>
      <c r="G1227" s="24" t="s">
        <v>5983</v>
      </c>
      <c r="H1227" s="48" t="n">
        <v>5</v>
      </c>
      <c r="I1227" s="46" t="s">
        <v>3127</v>
      </c>
      <c r="J1227" s="47" t="s">
        <v>5984</v>
      </c>
      <c r="K1227" s="24" t="s">
        <v>5985</v>
      </c>
      <c r="L1227" s="46" t="s">
        <v>5986</v>
      </c>
      <c r="M1227" s="24" t="s">
        <v>5987</v>
      </c>
      <c r="N1227" s="46" t="s">
        <v>5911</v>
      </c>
      <c r="O1227" s="24" t="s">
        <v>4876</v>
      </c>
      <c r="P1227" s="46" t="s">
        <v>4877</v>
      </c>
      <c r="Q1227" s="46"/>
      <c r="R1227" s="47" t="s">
        <v>48</v>
      </c>
      <c r="S1227" s="47"/>
    </row>
    <row r="1228" customFormat="false" ht="15" hidden="false" customHeight="true" outlineLevel="0" collapsed="false">
      <c r="A1228" s="49" t="n">
        <v>1239</v>
      </c>
      <c r="B1228" s="25" t="s">
        <v>5968</v>
      </c>
      <c r="C1228" s="50"/>
      <c r="D1228" s="50" t="s">
        <v>20</v>
      </c>
      <c r="E1228" s="49" t="s">
        <v>20</v>
      </c>
      <c r="F1228" s="49" t="s">
        <v>2104</v>
      </c>
      <c r="G1228" s="25" t="s">
        <v>4880</v>
      </c>
      <c r="H1228" s="51" t="n">
        <v>5</v>
      </c>
      <c r="I1228" s="49" t="s">
        <v>5896</v>
      </c>
      <c r="J1228" s="50" t="s">
        <v>5988</v>
      </c>
      <c r="K1228" s="25" t="s">
        <v>5971</v>
      </c>
      <c r="L1228" s="49" t="s">
        <v>5972</v>
      </c>
      <c r="M1228" s="25" t="s">
        <v>5973</v>
      </c>
      <c r="N1228" s="49" t="s">
        <v>5974</v>
      </c>
      <c r="O1228" s="25"/>
      <c r="P1228" s="49"/>
      <c r="Q1228" s="49"/>
      <c r="R1228" s="50" t="s">
        <v>49</v>
      </c>
      <c r="S1228" s="52" t="s">
        <v>69</v>
      </c>
    </row>
    <row r="1229" customFormat="false" ht="15" hidden="false" customHeight="true" outlineLevel="0" collapsed="false">
      <c r="A1229" s="46" t="n">
        <v>1240</v>
      </c>
      <c r="B1229" s="24" t="s">
        <v>5989</v>
      </c>
      <c r="C1229" s="47"/>
      <c r="D1229" s="47" t="s">
        <v>4870</v>
      </c>
      <c r="E1229" s="46" t="s">
        <v>20</v>
      </c>
      <c r="F1229" s="46" t="s">
        <v>2104</v>
      </c>
      <c r="G1229" s="24" t="s">
        <v>3194</v>
      </c>
      <c r="H1229" s="48" t="n">
        <v>5</v>
      </c>
      <c r="I1229" s="46" t="s">
        <v>5885</v>
      </c>
      <c r="J1229" s="47" t="s">
        <v>5990</v>
      </c>
      <c r="K1229" s="24" t="s">
        <v>5991</v>
      </c>
      <c r="L1229" s="46" t="s">
        <v>5992</v>
      </c>
      <c r="M1229" s="24" t="s">
        <v>5893</v>
      </c>
      <c r="N1229" s="46" t="s">
        <v>5894</v>
      </c>
      <c r="O1229" s="24" t="s">
        <v>2355</v>
      </c>
      <c r="P1229" s="46" t="s">
        <v>2356</v>
      </c>
      <c r="Q1229" s="46"/>
      <c r="R1229" s="47" t="s">
        <v>50</v>
      </c>
      <c r="S1229" s="47"/>
    </row>
    <row r="1230" customFormat="false" ht="15" hidden="false" customHeight="true" outlineLevel="0" collapsed="false">
      <c r="A1230" s="49" t="n">
        <v>1241</v>
      </c>
      <c r="B1230" s="25" t="s">
        <v>5968</v>
      </c>
      <c r="C1230" s="50"/>
      <c r="D1230" s="50" t="s">
        <v>20</v>
      </c>
      <c r="E1230" s="49" t="s">
        <v>20</v>
      </c>
      <c r="F1230" s="49" t="s">
        <v>2104</v>
      </c>
      <c r="G1230" s="25" t="s">
        <v>3472</v>
      </c>
      <c r="H1230" s="51" t="n">
        <v>5</v>
      </c>
      <c r="I1230" s="49" t="s">
        <v>3139</v>
      </c>
      <c r="J1230" s="50" t="s">
        <v>5993</v>
      </c>
      <c r="K1230" s="25" t="s">
        <v>5994</v>
      </c>
      <c r="L1230" s="49" t="s">
        <v>5995</v>
      </c>
      <c r="M1230" s="25" t="s">
        <v>5973</v>
      </c>
      <c r="N1230" s="49" t="s">
        <v>5974</v>
      </c>
      <c r="O1230" s="25" t="s">
        <v>2821</v>
      </c>
      <c r="P1230" s="49" t="s">
        <v>5974</v>
      </c>
      <c r="Q1230" s="49"/>
      <c r="R1230" s="50" t="s">
        <v>49</v>
      </c>
      <c r="S1230" s="50"/>
    </row>
    <row r="1231" customFormat="false" ht="15" hidden="false" customHeight="true" outlineLevel="0" collapsed="false">
      <c r="A1231" s="46" t="n">
        <v>1242</v>
      </c>
      <c r="B1231" s="24" t="s">
        <v>5996</v>
      </c>
      <c r="C1231" s="47"/>
      <c r="D1231" s="47" t="s">
        <v>2248</v>
      </c>
      <c r="E1231" s="46" t="s">
        <v>20</v>
      </c>
      <c r="F1231" s="46" t="s">
        <v>2104</v>
      </c>
      <c r="G1231" s="24" t="s">
        <v>3194</v>
      </c>
      <c r="H1231" s="48" t="n">
        <v>5</v>
      </c>
      <c r="I1231" s="46" t="s">
        <v>3294</v>
      </c>
      <c r="J1231" s="47" t="s">
        <v>5997</v>
      </c>
      <c r="K1231" s="24" t="s">
        <v>5998</v>
      </c>
      <c r="L1231" s="46" t="s">
        <v>5999</v>
      </c>
      <c r="M1231" s="24" t="s">
        <v>5955</v>
      </c>
      <c r="N1231" s="46" t="s">
        <v>5956</v>
      </c>
      <c r="O1231" s="24" t="s">
        <v>5955</v>
      </c>
      <c r="P1231" s="46" t="s">
        <v>5956</v>
      </c>
      <c r="Q1231" s="46"/>
      <c r="R1231" s="47" t="s">
        <v>50</v>
      </c>
      <c r="S1231" s="47"/>
    </row>
    <row r="1232" customFormat="false" ht="15" hidden="false" customHeight="true" outlineLevel="0" collapsed="false">
      <c r="A1232" s="49" t="n">
        <v>1243</v>
      </c>
      <c r="B1232" s="25" t="s">
        <v>5905</v>
      </c>
      <c r="C1232" s="50"/>
      <c r="D1232" s="50" t="s">
        <v>20</v>
      </c>
      <c r="E1232" s="49" t="s">
        <v>20</v>
      </c>
      <c r="F1232" s="49" t="s">
        <v>2104</v>
      </c>
      <c r="G1232" s="25" t="s">
        <v>5977</v>
      </c>
      <c r="H1232" s="51" t="n">
        <v>5</v>
      </c>
      <c r="I1232" s="49" t="s">
        <v>3127</v>
      </c>
      <c r="J1232" s="50" t="s">
        <v>6000</v>
      </c>
      <c r="K1232" s="25" t="s">
        <v>6001</v>
      </c>
      <c r="L1232" s="49" t="s">
        <v>6002</v>
      </c>
      <c r="M1232" s="25" t="s">
        <v>5918</v>
      </c>
      <c r="N1232" s="49" t="s">
        <v>5911</v>
      </c>
      <c r="O1232" s="25" t="s">
        <v>4876</v>
      </c>
      <c r="P1232" s="49" t="s">
        <v>6003</v>
      </c>
      <c r="Q1232" s="49"/>
      <c r="R1232" s="50" t="s">
        <v>48</v>
      </c>
      <c r="S1232" s="50"/>
    </row>
    <row r="1233" customFormat="false" ht="15" hidden="false" customHeight="true" outlineLevel="0" collapsed="false">
      <c r="A1233" s="46" t="n">
        <v>1244</v>
      </c>
      <c r="B1233" s="24" t="s">
        <v>6004</v>
      </c>
      <c r="C1233" s="47"/>
      <c r="D1233" s="47" t="s">
        <v>5811</v>
      </c>
      <c r="E1233" s="46" t="s">
        <v>20</v>
      </c>
      <c r="F1233" s="46" t="s">
        <v>2104</v>
      </c>
      <c r="G1233" s="24" t="s">
        <v>3431</v>
      </c>
      <c r="H1233" s="48" t="n">
        <v>5</v>
      </c>
      <c r="I1233" s="46" t="s">
        <v>3092</v>
      </c>
      <c r="J1233" s="47" t="s">
        <v>6005</v>
      </c>
      <c r="K1233" s="24" t="s">
        <v>6006</v>
      </c>
      <c r="L1233" s="46" t="s">
        <v>6007</v>
      </c>
      <c r="M1233" s="24" t="s">
        <v>5946</v>
      </c>
      <c r="N1233" s="46" t="s">
        <v>5947</v>
      </c>
      <c r="O1233" s="24" t="s">
        <v>5948</v>
      </c>
      <c r="P1233" s="46" t="s">
        <v>4877</v>
      </c>
      <c r="Q1233" s="46"/>
      <c r="R1233" s="47" t="s">
        <v>48</v>
      </c>
      <c r="S1233" s="47"/>
    </row>
    <row r="1234" customFormat="false" ht="15" hidden="false" customHeight="true" outlineLevel="0" collapsed="false">
      <c r="A1234" s="49" t="n">
        <v>1245</v>
      </c>
      <c r="B1234" s="25" t="s">
        <v>5989</v>
      </c>
      <c r="C1234" s="50"/>
      <c r="D1234" s="50" t="s">
        <v>4870</v>
      </c>
      <c r="E1234" s="49" t="s">
        <v>20</v>
      </c>
      <c r="F1234" s="49" t="s">
        <v>2104</v>
      </c>
      <c r="G1234" s="25" t="s">
        <v>6008</v>
      </c>
      <c r="H1234" s="51" t="n">
        <v>1</v>
      </c>
      <c r="I1234" s="49" t="s">
        <v>3134</v>
      </c>
      <c r="J1234" s="50" t="s">
        <v>5990</v>
      </c>
      <c r="K1234" s="25" t="s">
        <v>2629</v>
      </c>
      <c r="L1234" s="49" t="s">
        <v>6009</v>
      </c>
      <c r="M1234" s="25" t="s">
        <v>5893</v>
      </c>
      <c r="N1234" s="49" t="s">
        <v>5894</v>
      </c>
      <c r="O1234" s="25" t="s">
        <v>2355</v>
      </c>
      <c r="P1234" s="49" t="s">
        <v>2356</v>
      </c>
      <c r="Q1234" s="49"/>
      <c r="R1234" s="50" t="s">
        <v>49</v>
      </c>
      <c r="S1234" s="50"/>
    </row>
    <row r="1235" customFormat="false" ht="15" hidden="false" customHeight="true" outlineLevel="0" collapsed="false">
      <c r="A1235" s="46" t="n">
        <v>1246</v>
      </c>
      <c r="B1235" s="24" t="s">
        <v>5968</v>
      </c>
      <c r="C1235" s="47"/>
      <c r="D1235" s="47" t="s">
        <v>20</v>
      </c>
      <c r="E1235" s="46" t="s">
        <v>20</v>
      </c>
      <c r="F1235" s="46" t="s">
        <v>2104</v>
      </c>
      <c r="G1235" s="24" t="s">
        <v>3431</v>
      </c>
      <c r="H1235" s="48" t="n">
        <v>5</v>
      </c>
      <c r="I1235" s="46" t="s">
        <v>5822</v>
      </c>
      <c r="J1235" s="47" t="s">
        <v>6010</v>
      </c>
      <c r="K1235" s="24" t="s">
        <v>6011</v>
      </c>
      <c r="L1235" s="46" t="s">
        <v>6012</v>
      </c>
      <c r="M1235" s="24" t="s">
        <v>5973</v>
      </c>
      <c r="N1235" s="46" t="s">
        <v>5974</v>
      </c>
      <c r="O1235" s="24" t="s">
        <v>2821</v>
      </c>
      <c r="P1235" s="46" t="s">
        <v>5974</v>
      </c>
      <c r="Q1235" s="46"/>
      <c r="R1235" s="47" t="s">
        <v>48</v>
      </c>
      <c r="S1235" s="47"/>
    </row>
    <row r="1236" customFormat="false" ht="15" hidden="false" customHeight="true" outlineLevel="0" collapsed="false">
      <c r="A1236" s="49" t="n">
        <v>1247</v>
      </c>
      <c r="B1236" s="25" t="s">
        <v>5922</v>
      </c>
      <c r="C1236" s="50"/>
      <c r="D1236" s="50" t="s">
        <v>4870</v>
      </c>
      <c r="E1236" s="49" t="s">
        <v>20</v>
      </c>
      <c r="F1236" s="49" t="s">
        <v>2104</v>
      </c>
      <c r="G1236" s="25" t="s">
        <v>3585</v>
      </c>
      <c r="H1236" s="51" t="n">
        <v>5</v>
      </c>
      <c r="I1236" s="49" t="s">
        <v>3134</v>
      </c>
      <c r="J1236" s="50" t="s">
        <v>5819</v>
      </c>
      <c r="K1236" s="25" t="s">
        <v>6013</v>
      </c>
      <c r="L1236" s="49" t="s">
        <v>6014</v>
      </c>
      <c r="M1236" s="25" t="s">
        <v>4875</v>
      </c>
      <c r="N1236" s="49" t="s">
        <v>2352</v>
      </c>
      <c r="O1236" s="25" t="s">
        <v>6015</v>
      </c>
      <c r="P1236" s="49" t="s">
        <v>2352</v>
      </c>
      <c r="Q1236" s="49"/>
      <c r="R1236" s="50" t="s">
        <v>48</v>
      </c>
      <c r="S1236" s="50"/>
    </row>
    <row r="1237" customFormat="false" ht="15" hidden="false" customHeight="true" outlineLevel="0" collapsed="false">
      <c r="A1237" s="46" t="n">
        <v>1248</v>
      </c>
      <c r="B1237" s="24" t="s">
        <v>5989</v>
      </c>
      <c r="C1237" s="47"/>
      <c r="D1237" s="47" t="s">
        <v>4870</v>
      </c>
      <c r="E1237" s="46" t="s">
        <v>20</v>
      </c>
      <c r="F1237" s="46" t="s">
        <v>2104</v>
      </c>
      <c r="G1237" s="24" t="s">
        <v>3194</v>
      </c>
      <c r="H1237" s="48" t="n">
        <v>5</v>
      </c>
      <c r="I1237" s="46" t="s">
        <v>5822</v>
      </c>
      <c r="J1237" s="47" t="s">
        <v>5902</v>
      </c>
      <c r="K1237" s="24" t="s">
        <v>6016</v>
      </c>
      <c r="L1237" s="46" t="s">
        <v>6017</v>
      </c>
      <c r="M1237" s="24" t="s">
        <v>5893</v>
      </c>
      <c r="N1237" s="46" t="s">
        <v>5894</v>
      </c>
      <c r="O1237" s="24" t="s">
        <v>2355</v>
      </c>
      <c r="P1237" s="46" t="s">
        <v>2356</v>
      </c>
      <c r="Q1237" s="46"/>
      <c r="R1237" s="47" t="s">
        <v>50</v>
      </c>
      <c r="S1237" s="47"/>
    </row>
    <row r="1238" customFormat="false" ht="15" hidden="false" customHeight="true" outlineLevel="0" collapsed="false">
      <c r="A1238" s="49" t="n">
        <v>1249</v>
      </c>
      <c r="B1238" s="25" t="s">
        <v>6018</v>
      </c>
      <c r="C1238" s="50"/>
      <c r="D1238" s="50" t="s">
        <v>20</v>
      </c>
      <c r="E1238" s="49" t="s">
        <v>20</v>
      </c>
      <c r="F1238" s="49" t="s">
        <v>2104</v>
      </c>
      <c r="G1238" s="25" t="s">
        <v>3431</v>
      </c>
      <c r="H1238" s="51" t="n">
        <v>5</v>
      </c>
      <c r="I1238" s="49" t="s">
        <v>6019</v>
      </c>
      <c r="J1238" s="50" t="s">
        <v>6020</v>
      </c>
      <c r="K1238" s="25" t="s">
        <v>6021</v>
      </c>
      <c r="L1238" s="49" t="s">
        <v>6022</v>
      </c>
      <c r="M1238" s="25" t="s">
        <v>5973</v>
      </c>
      <c r="N1238" s="49" t="s">
        <v>5974</v>
      </c>
      <c r="O1238" s="25" t="s">
        <v>2821</v>
      </c>
      <c r="P1238" s="49" t="s">
        <v>5974</v>
      </c>
      <c r="Q1238" s="49"/>
      <c r="R1238" s="50" t="s">
        <v>48</v>
      </c>
      <c r="S1238" s="50"/>
    </row>
    <row r="1239" customFormat="false" ht="15" hidden="false" customHeight="true" outlineLevel="0" collapsed="false">
      <c r="A1239" s="46" t="n">
        <v>1250</v>
      </c>
      <c r="B1239" s="24" t="s">
        <v>6004</v>
      </c>
      <c r="C1239" s="47"/>
      <c r="D1239" s="47" t="s">
        <v>5811</v>
      </c>
      <c r="E1239" s="46" t="s">
        <v>20</v>
      </c>
      <c r="F1239" s="46" t="s">
        <v>2104</v>
      </c>
      <c r="G1239" s="24" t="s">
        <v>5942</v>
      </c>
      <c r="H1239" s="48" t="n">
        <v>1</v>
      </c>
      <c r="I1239" s="46" t="s">
        <v>3102</v>
      </c>
      <c r="J1239" s="47" t="s">
        <v>6023</v>
      </c>
      <c r="K1239" s="24" t="s">
        <v>6024</v>
      </c>
      <c r="L1239" s="46" t="s">
        <v>6025</v>
      </c>
      <c r="M1239" s="24" t="s">
        <v>5946</v>
      </c>
      <c r="N1239" s="46" t="s">
        <v>5947</v>
      </c>
      <c r="O1239" s="24" t="s">
        <v>5948</v>
      </c>
      <c r="P1239" s="46" t="s">
        <v>4877</v>
      </c>
      <c r="Q1239" s="46"/>
      <c r="R1239" s="47" t="s">
        <v>48</v>
      </c>
      <c r="S1239" s="47"/>
    </row>
    <row r="1240" customFormat="false" ht="15" hidden="false" customHeight="true" outlineLevel="0" collapsed="false">
      <c r="A1240" s="49" t="n">
        <v>1251</v>
      </c>
      <c r="B1240" s="25" t="s">
        <v>6026</v>
      </c>
      <c r="C1240" s="50"/>
      <c r="D1240" s="50" t="s">
        <v>4870</v>
      </c>
      <c r="E1240" s="49" t="s">
        <v>20</v>
      </c>
      <c r="F1240" s="49" t="s">
        <v>2104</v>
      </c>
      <c r="G1240" s="25" t="s">
        <v>6027</v>
      </c>
      <c r="H1240" s="51" t="n">
        <v>5</v>
      </c>
      <c r="I1240" s="49" t="s">
        <v>5896</v>
      </c>
      <c r="J1240" s="50" t="s">
        <v>6028</v>
      </c>
      <c r="K1240" s="25" t="s">
        <v>6029</v>
      </c>
      <c r="L1240" s="49" t="s">
        <v>6030</v>
      </c>
      <c r="M1240" s="25" t="s">
        <v>4875</v>
      </c>
      <c r="N1240" s="49" t="s">
        <v>2352</v>
      </c>
      <c r="O1240" s="25" t="s">
        <v>6015</v>
      </c>
      <c r="P1240" s="49" t="s">
        <v>2352</v>
      </c>
      <c r="Q1240" s="49"/>
      <c r="R1240" s="50" t="s">
        <v>50</v>
      </c>
      <c r="S1240" s="50"/>
    </row>
    <row r="1241" customFormat="false" ht="15" hidden="false" customHeight="true" outlineLevel="0" collapsed="false">
      <c r="A1241" s="46" t="n">
        <v>1252</v>
      </c>
      <c r="B1241" s="24" t="s">
        <v>6018</v>
      </c>
      <c r="C1241" s="47"/>
      <c r="D1241" s="47" t="s">
        <v>20</v>
      </c>
      <c r="E1241" s="46" t="s">
        <v>20</v>
      </c>
      <c r="F1241" s="46" t="s">
        <v>2104</v>
      </c>
      <c r="G1241" s="24" t="s">
        <v>3431</v>
      </c>
      <c r="H1241" s="48" t="n">
        <v>5</v>
      </c>
      <c r="I1241" s="46" t="s">
        <v>3139</v>
      </c>
      <c r="J1241" s="47" t="s">
        <v>6031</v>
      </c>
      <c r="K1241" s="24" t="s">
        <v>6032</v>
      </c>
      <c r="L1241" s="46" t="s">
        <v>6033</v>
      </c>
      <c r="M1241" s="24" t="s">
        <v>5973</v>
      </c>
      <c r="N1241" s="46" t="s">
        <v>5974</v>
      </c>
      <c r="O1241" s="24" t="s">
        <v>2821</v>
      </c>
      <c r="P1241" s="46" t="s">
        <v>5974</v>
      </c>
      <c r="Q1241" s="46"/>
      <c r="R1241" s="47" t="s">
        <v>48</v>
      </c>
      <c r="S1241" s="47"/>
    </row>
    <row r="1242" customFormat="false" ht="15" hidden="false" customHeight="true" outlineLevel="0" collapsed="false">
      <c r="A1242" s="49" t="n">
        <v>1253</v>
      </c>
      <c r="B1242" s="25" t="s">
        <v>5941</v>
      </c>
      <c r="C1242" s="50"/>
      <c r="D1242" s="50" t="s">
        <v>5811</v>
      </c>
      <c r="E1242" s="49" t="s">
        <v>20</v>
      </c>
      <c r="F1242" s="49" t="s">
        <v>2104</v>
      </c>
      <c r="G1242" s="25" t="s">
        <v>3472</v>
      </c>
      <c r="H1242" s="51" t="n">
        <v>5</v>
      </c>
      <c r="I1242" s="49" t="s">
        <v>3092</v>
      </c>
      <c r="J1242" s="50" t="s">
        <v>6034</v>
      </c>
      <c r="K1242" s="25" t="s">
        <v>2574</v>
      </c>
      <c r="L1242" s="49" t="s">
        <v>6035</v>
      </c>
      <c r="M1242" s="25" t="s">
        <v>5946</v>
      </c>
      <c r="N1242" s="49" t="s">
        <v>5947</v>
      </c>
      <c r="O1242" s="25" t="s">
        <v>5948</v>
      </c>
      <c r="P1242" s="49" t="s">
        <v>4877</v>
      </c>
      <c r="Q1242" s="49"/>
      <c r="R1242" s="50" t="s">
        <v>49</v>
      </c>
      <c r="S1242" s="50"/>
    </row>
    <row r="1243" customFormat="false" ht="15" hidden="false" customHeight="true" outlineLevel="0" collapsed="false">
      <c r="A1243" s="46" t="n">
        <v>1254</v>
      </c>
      <c r="B1243" s="24" t="s">
        <v>6036</v>
      </c>
      <c r="C1243" s="47"/>
      <c r="D1243" s="47" t="s">
        <v>4870</v>
      </c>
      <c r="E1243" s="46" t="s">
        <v>20</v>
      </c>
      <c r="F1243" s="46" t="s">
        <v>2104</v>
      </c>
      <c r="G1243" s="24" t="s">
        <v>4871</v>
      </c>
      <c r="H1243" s="48" t="n">
        <v>5</v>
      </c>
      <c r="I1243" s="46" t="s">
        <v>3134</v>
      </c>
      <c r="J1243" s="47" t="s">
        <v>6037</v>
      </c>
      <c r="K1243" s="24" t="s">
        <v>6038</v>
      </c>
      <c r="L1243" s="46" t="s">
        <v>6039</v>
      </c>
      <c r="M1243" s="24" t="s">
        <v>4875</v>
      </c>
      <c r="N1243" s="46" t="s">
        <v>2352</v>
      </c>
      <c r="O1243" s="24" t="s">
        <v>6015</v>
      </c>
      <c r="P1243" s="46" t="s">
        <v>2352</v>
      </c>
      <c r="Q1243" s="46"/>
      <c r="R1243" s="47" t="s">
        <v>48</v>
      </c>
      <c r="S1243" s="47"/>
    </row>
    <row r="1244" customFormat="false" ht="15" hidden="false" customHeight="true" outlineLevel="0" collapsed="false">
      <c r="A1244" s="49" t="n">
        <v>1255</v>
      </c>
      <c r="B1244" s="25" t="s">
        <v>6040</v>
      </c>
      <c r="C1244" s="50"/>
      <c r="D1244" s="50" t="s">
        <v>20</v>
      </c>
      <c r="E1244" s="49" t="s">
        <v>20</v>
      </c>
      <c r="F1244" s="49" t="s">
        <v>2104</v>
      </c>
      <c r="G1244" s="25" t="s">
        <v>4880</v>
      </c>
      <c r="H1244" s="51" t="n">
        <v>5</v>
      </c>
      <c r="I1244" s="49"/>
      <c r="J1244" s="50" t="s">
        <v>6041</v>
      </c>
      <c r="K1244" s="25" t="s">
        <v>3478</v>
      </c>
      <c r="L1244" s="49" t="s">
        <v>6042</v>
      </c>
      <c r="M1244" s="25" t="s">
        <v>5973</v>
      </c>
      <c r="N1244" s="49" t="s">
        <v>5974</v>
      </c>
      <c r="O1244" s="25" t="s">
        <v>2821</v>
      </c>
      <c r="P1244" s="49" t="s">
        <v>5974</v>
      </c>
      <c r="Q1244" s="49"/>
      <c r="R1244" s="50" t="s">
        <v>49</v>
      </c>
      <c r="S1244" s="52" t="s">
        <v>67</v>
      </c>
    </row>
    <row r="1245" customFormat="false" ht="15" hidden="false" customHeight="true" outlineLevel="0" collapsed="false">
      <c r="A1245" s="46" t="n">
        <v>1256</v>
      </c>
      <c r="B1245" s="24" t="s">
        <v>6036</v>
      </c>
      <c r="C1245" s="47"/>
      <c r="D1245" s="47" t="s">
        <v>4870</v>
      </c>
      <c r="E1245" s="46" t="s">
        <v>20</v>
      </c>
      <c r="F1245" s="46" t="s">
        <v>2104</v>
      </c>
      <c r="G1245" s="24" t="s">
        <v>3415</v>
      </c>
      <c r="H1245" s="48" t="n">
        <v>1</v>
      </c>
      <c r="I1245" s="46" t="s">
        <v>5896</v>
      </c>
      <c r="J1245" s="47" t="s">
        <v>6043</v>
      </c>
      <c r="K1245" s="24" t="s">
        <v>5656</v>
      </c>
      <c r="L1245" s="46" t="s">
        <v>6044</v>
      </c>
      <c r="M1245" s="24" t="s">
        <v>4875</v>
      </c>
      <c r="N1245" s="46" t="s">
        <v>2352</v>
      </c>
      <c r="O1245" s="24" t="s">
        <v>6015</v>
      </c>
      <c r="P1245" s="46" t="s">
        <v>2352</v>
      </c>
      <c r="Q1245" s="46"/>
      <c r="R1245" s="47" t="s">
        <v>48</v>
      </c>
      <c r="S1245" s="47"/>
    </row>
    <row r="1246" customFormat="false" ht="15" hidden="false" customHeight="true" outlineLevel="0" collapsed="false">
      <c r="A1246" s="49" t="n">
        <v>1257</v>
      </c>
      <c r="B1246" s="25" t="s">
        <v>6040</v>
      </c>
      <c r="C1246" s="50"/>
      <c r="D1246" s="50" t="s">
        <v>20</v>
      </c>
      <c r="E1246" s="49" t="s">
        <v>20</v>
      </c>
      <c r="F1246" s="49" t="s">
        <v>2104</v>
      </c>
      <c r="G1246" s="25" t="s">
        <v>4880</v>
      </c>
      <c r="H1246" s="51" t="n">
        <v>5</v>
      </c>
      <c r="I1246" s="49" t="s">
        <v>6045</v>
      </c>
      <c r="J1246" s="50" t="s">
        <v>6046</v>
      </c>
      <c r="K1246" s="25" t="s">
        <v>5516</v>
      </c>
      <c r="L1246" s="49" t="s">
        <v>6047</v>
      </c>
      <c r="M1246" s="25" t="s">
        <v>5973</v>
      </c>
      <c r="N1246" s="49" t="s">
        <v>5974</v>
      </c>
      <c r="O1246" s="25" t="s">
        <v>2821</v>
      </c>
      <c r="P1246" s="49" t="s">
        <v>5974</v>
      </c>
      <c r="Q1246" s="49"/>
      <c r="R1246" s="50" t="s">
        <v>49</v>
      </c>
      <c r="S1246" s="50"/>
    </row>
    <row r="1247" customFormat="false" ht="15" hidden="false" customHeight="true" outlineLevel="0" collapsed="false">
      <c r="A1247" s="46" t="n">
        <v>1258</v>
      </c>
      <c r="B1247" s="24" t="s">
        <v>5989</v>
      </c>
      <c r="C1247" s="47"/>
      <c r="D1247" s="47" t="s">
        <v>4870</v>
      </c>
      <c r="E1247" s="46" t="s">
        <v>20</v>
      </c>
      <c r="F1247" s="46" t="s">
        <v>2104</v>
      </c>
      <c r="G1247" s="24" t="s">
        <v>3194</v>
      </c>
      <c r="H1247" s="48" t="n">
        <v>5</v>
      </c>
      <c r="I1247" s="46" t="s">
        <v>3587</v>
      </c>
      <c r="J1247" s="47" t="s">
        <v>5902</v>
      </c>
      <c r="K1247" s="24" t="s">
        <v>6048</v>
      </c>
      <c r="L1247" s="46" t="s">
        <v>6049</v>
      </c>
      <c r="M1247" s="24" t="s">
        <v>5893</v>
      </c>
      <c r="N1247" s="46" t="s">
        <v>5894</v>
      </c>
      <c r="O1247" s="24" t="s">
        <v>2355</v>
      </c>
      <c r="P1247" s="46" t="s">
        <v>2356</v>
      </c>
      <c r="Q1247" s="46"/>
      <c r="R1247" s="47" t="s">
        <v>50</v>
      </c>
      <c r="S1247" s="47"/>
    </row>
    <row r="1248" customFormat="false" ht="15" hidden="false" customHeight="true" outlineLevel="0" collapsed="false">
      <c r="A1248" s="49" t="n">
        <v>1259</v>
      </c>
      <c r="B1248" s="25" t="s">
        <v>6050</v>
      </c>
      <c r="C1248" s="50"/>
      <c r="D1248" s="50" t="s">
        <v>4870</v>
      </c>
      <c r="E1248" s="49" t="s">
        <v>21</v>
      </c>
      <c r="F1248" s="49" t="s">
        <v>2104</v>
      </c>
      <c r="G1248" s="25" t="s">
        <v>3585</v>
      </c>
      <c r="H1248" s="51" t="n">
        <v>5</v>
      </c>
      <c r="I1248" s="49" t="s">
        <v>5896</v>
      </c>
      <c r="J1248" s="50" t="s">
        <v>6051</v>
      </c>
      <c r="K1248" s="25" t="s">
        <v>6052</v>
      </c>
      <c r="L1248" s="49" t="s">
        <v>6053</v>
      </c>
      <c r="M1248" s="25" t="s">
        <v>4875</v>
      </c>
      <c r="N1248" s="49" t="s">
        <v>2352</v>
      </c>
      <c r="O1248" s="25" t="s">
        <v>6015</v>
      </c>
      <c r="P1248" s="49" t="s">
        <v>2352</v>
      </c>
      <c r="Q1248" s="49"/>
      <c r="R1248" s="50" t="s">
        <v>48</v>
      </c>
      <c r="S1248" s="50"/>
    </row>
    <row r="1249" customFormat="false" ht="15" hidden="false" customHeight="true" outlineLevel="0" collapsed="false">
      <c r="A1249" s="46" t="n">
        <v>1260</v>
      </c>
      <c r="B1249" s="24" t="s">
        <v>6040</v>
      </c>
      <c r="C1249" s="47"/>
      <c r="D1249" s="47" t="s">
        <v>20</v>
      </c>
      <c r="E1249" s="46" t="s">
        <v>20</v>
      </c>
      <c r="F1249" s="46" t="s">
        <v>2104</v>
      </c>
      <c r="G1249" s="24" t="s">
        <v>3431</v>
      </c>
      <c r="H1249" s="48" t="n">
        <v>5</v>
      </c>
      <c r="I1249" s="46" t="s">
        <v>5822</v>
      </c>
      <c r="J1249" s="47" t="s">
        <v>6054</v>
      </c>
      <c r="K1249" s="24" t="s">
        <v>6055</v>
      </c>
      <c r="L1249" s="46" t="s">
        <v>6056</v>
      </c>
      <c r="M1249" s="24" t="s">
        <v>5973</v>
      </c>
      <c r="N1249" s="46" t="s">
        <v>5974</v>
      </c>
      <c r="O1249" s="24" t="s">
        <v>2821</v>
      </c>
      <c r="P1249" s="46" t="s">
        <v>5974</v>
      </c>
      <c r="Q1249" s="46"/>
      <c r="R1249" s="47" t="s">
        <v>48</v>
      </c>
      <c r="S1249" s="47"/>
    </row>
    <row r="1250" customFormat="false" ht="15" hidden="false" customHeight="true" outlineLevel="0" collapsed="false">
      <c r="A1250" s="49" t="n">
        <v>1261</v>
      </c>
      <c r="B1250" s="25" t="s">
        <v>4878</v>
      </c>
      <c r="C1250" s="50"/>
      <c r="D1250" s="50" t="s">
        <v>4879</v>
      </c>
      <c r="E1250" s="49" t="s">
        <v>20</v>
      </c>
      <c r="F1250" s="49" t="s">
        <v>2104</v>
      </c>
      <c r="G1250" s="25" t="s">
        <v>3415</v>
      </c>
      <c r="H1250" s="51" t="n">
        <v>5</v>
      </c>
      <c r="I1250" s="49" t="s">
        <v>3139</v>
      </c>
      <c r="J1250" s="50" t="s">
        <v>6057</v>
      </c>
      <c r="K1250" s="25" t="s">
        <v>6058</v>
      </c>
      <c r="L1250" s="49" t="s">
        <v>6059</v>
      </c>
      <c r="M1250" s="25" t="s">
        <v>2679</v>
      </c>
      <c r="N1250" s="49" t="s">
        <v>4884</v>
      </c>
      <c r="O1250" s="25"/>
      <c r="P1250" s="49"/>
      <c r="Q1250" s="49"/>
      <c r="R1250" s="50" t="s">
        <v>48</v>
      </c>
      <c r="S1250" s="52" t="s">
        <v>69</v>
      </c>
    </row>
    <row r="1251" customFormat="false" ht="15" hidden="false" customHeight="true" outlineLevel="0" collapsed="false">
      <c r="A1251" s="46" t="n">
        <v>1262</v>
      </c>
      <c r="B1251" s="24" t="s">
        <v>5989</v>
      </c>
      <c r="C1251" s="47"/>
      <c r="D1251" s="47" t="s">
        <v>4870</v>
      </c>
      <c r="E1251" s="46" t="s">
        <v>20</v>
      </c>
      <c r="F1251" s="46" t="s">
        <v>2104</v>
      </c>
      <c r="G1251" s="24" t="s">
        <v>3194</v>
      </c>
      <c r="H1251" s="48" t="n">
        <v>5</v>
      </c>
      <c r="I1251" s="46" t="s">
        <v>3102</v>
      </c>
      <c r="J1251" s="47" t="s">
        <v>5902</v>
      </c>
      <c r="K1251" s="24" t="s">
        <v>6060</v>
      </c>
      <c r="L1251" s="46" t="s">
        <v>6061</v>
      </c>
      <c r="M1251" s="24" t="s">
        <v>5893</v>
      </c>
      <c r="N1251" s="46" t="s">
        <v>5894</v>
      </c>
      <c r="O1251" s="24" t="s">
        <v>2355</v>
      </c>
      <c r="P1251" s="46" t="s">
        <v>2356</v>
      </c>
      <c r="Q1251" s="46"/>
      <c r="R1251" s="47" t="s">
        <v>50</v>
      </c>
      <c r="S1251" s="47"/>
    </row>
    <row r="1252" customFormat="false" ht="15" hidden="false" customHeight="true" outlineLevel="0" collapsed="false">
      <c r="A1252" s="49" t="n">
        <v>1263</v>
      </c>
      <c r="B1252" s="25" t="s">
        <v>6040</v>
      </c>
      <c r="C1252" s="50"/>
      <c r="D1252" s="50" t="s">
        <v>20</v>
      </c>
      <c r="E1252" s="49" t="s">
        <v>20</v>
      </c>
      <c r="F1252" s="49" t="s">
        <v>2104</v>
      </c>
      <c r="G1252" s="25" t="s">
        <v>4880</v>
      </c>
      <c r="H1252" s="51" t="n">
        <v>5</v>
      </c>
      <c r="I1252" s="49" t="s">
        <v>3139</v>
      </c>
      <c r="J1252" s="50" t="s">
        <v>6062</v>
      </c>
      <c r="K1252" s="25" t="s">
        <v>6063</v>
      </c>
      <c r="L1252" s="49" t="s">
        <v>6064</v>
      </c>
      <c r="M1252" s="25" t="s">
        <v>5973</v>
      </c>
      <c r="N1252" s="49" t="s">
        <v>5974</v>
      </c>
      <c r="O1252" s="25" t="s">
        <v>2821</v>
      </c>
      <c r="P1252" s="49" t="s">
        <v>5974</v>
      </c>
      <c r="Q1252" s="49"/>
      <c r="R1252" s="50" t="s">
        <v>49</v>
      </c>
      <c r="S1252" s="50"/>
    </row>
    <row r="1253" customFormat="false" ht="15" hidden="false" customHeight="true" outlineLevel="0" collapsed="false">
      <c r="A1253" s="46" t="n">
        <v>1264</v>
      </c>
      <c r="B1253" s="24" t="s">
        <v>6040</v>
      </c>
      <c r="C1253" s="47"/>
      <c r="D1253" s="47" t="s">
        <v>20</v>
      </c>
      <c r="E1253" s="46" t="s">
        <v>20</v>
      </c>
      <c r="F1253" s="46" t="s">
        <v>2104</v>
      </c>
      <c r="G1253" s="24" t="s">
        <v>4880</v>
      </c>
      <c r="H1253" s="48" t="n">
        <v>1</v>
      </c>
      <c r="I1253" s="46" t="s">
        <v>5822</v>
      </c>
      <c r="J1253" s="47" t="s">
        <v>6065</v>
      </c>
      <c r="K1253" s="24" t="s">
        <v>6066</v>
      </c>
      <c r="L1253" s="46" t="s">
        <v>6067</v>
      </c>
      <c r="M1253" s="24" t="s">
        <v>5973</v>
      </c>
      <c r="N1253" s="46" t="s">
        <v>5974</v>
      </c>
      <c r="O1253" s="24" t="s">
        <v>2821</v>
      </c>
      <c r="P1253" s="46" t="s">
        <v>5974</v>
      </c>
      <c r="Q1253" s="46"/>
      <c r="R1253" s="47" t="s">
        <v>49</v>
      </c>
      <c r="S1253" s="47"/>
    </row>
    <row r="1254" customFormat="false" ht="15" hidden="false" customHeight="true" outlineLevel="0" collapsed="false">
      <c r="A1254" s="49" t="n">
        <v>1265</v>
      </c>
      <c r="B1254" s="25" t="s">
        <v>5989</v>
      </c>
      <c r="C1254" s="50"/>
      <c r="D1254" s="50" t="s">
        <v>4870</v>
      </c>
      <c r="E1254" s="49" t="s">
        <v>20</v>
      </c>
      <c r="F1254" s="49" t="s">
        <v>2104</v>
      </c>
      <c r="G1254" s="25" t="s">
        <v>3194</v>
      </c>
      <c r="H1254" s="51" t="n">
        <v>5</v>
      </c>
      <c r="I1254" s="49" t="s">
        <v>3587</v>
      </c>
      <c r="J1254" s="50" t="s">
        <v>5902</v>
      </c>
      <c r="K1254" s="25" t="s">
        <v>6068</v>
      </c>
      <c r="L1254" s="49" t="s">
        <v>6069</v>
      </c>
      <c r="M1254" s="25" t="s">
        <v>5893</v>
      </c>
      <c r="N1254" s="49" t="s">
        <v>5894</v>
      </c>
      <c r="O1254" s="25" t="s">
        <v>2355</v>
      </c>
      <c r="P1254" s="49" t="s">
        <v>2356</v>
      </c>
      <c r="Q1254" s="49"/>
      <c r="R1254" s="50" t="s">
        <v>50</v>
      </c>
      <c r="S1254" s="50"/>
    </row>
    <row r="1255" customFormat="false" ht="15" hidden="false" customHeight="true" outlineLevel="0" collapsed="false">
      <c r="A1255" s="46" t="n">
        <v>1266</v>
      </c>
      <c r="B1255" s="24" t="s">
        <v>6040</v>
      </c>
      <c r="C1255" s="47"/>
      <c r="D1255" s="47" t="s">
        <v>20</v>
      </c>
      <c r="E1255" s="46" t="s">
        <v>20</v>
      </c>
      <c r="F1255" s="46" t="s">
        <v>2104</v>
      </c>
      <c r="G1255" s="24" t="s">
        <v>4880</v>
      </c>
      <c r="H1255" s="48" t="n">
        <v>5</v>
      </c>
      <c r="I1255" s="46" t="s">
        <v>5822</v>
      </c>
      <c r="J1255" s="47" t="s">
        <v>6070</v>
      </c>
      <c r="K1255" s="24" t="s">
        <v>6071</v>
      </c>
      <c r="L1255" s="46" t="s">
        <v>6072</v>
      </c>
      <c r="M1255" s="24" t="s">
        <v>5973</v>
      </c>
      <c r="N1255" s="46" t="s">
        <v>5974</v>
      </c>
      <c r="O1255" s="24" t="s">
        <v>2821</v>
      </c>
      <c r="P1255" s="46" t="s">
        <v>5974</v>
      </c>
      <c r="Q1255" s="46"/>
      <c r="R1255" s="47" t="s">
        <v>49</v>
      </c>
      <c r="S1255" s="47"/>
    </row>
    <row r="1256" customFormat="false" ht="15" hidden="false" customHeight="true" outlineLevel="0" collapsed="false">
      <c r="A1256" s="49" t="n">
        <v>1267</v>
      </c>
      <c r="B1256" s="25" t="s">
        <v>4878</v>
      </c>
      <c r="C1256" s="50"/>
      <c r="D1256" s="50" t="s">
        <v>4879</v>
      </c>
      <c r="E1256" s="49" t="s">
        <v>20</v>
      </c>
      <c r="F1256" s="49" t="s">
        <v>2104</v>
      </c>
      <c r="G1256" s="25" t="s">
        <v>2335</v>
      </c>
      <c r="H1256" s="51" t="n">
        <v>5</v>
      </c>
      <c r="I1256" s="49" t="s">
        <v>3139</v>
      </c>
      <c r="J1256" s="50" t="s">
        <v>6073</v>
      </c>
      <c r="K1256" s="25" t="s">
        <v>6074</v>
      </c>
      <c r="L1256" s="49" t="s">
        <v>6075</v>
      </c>
      <c r="M1256" s="25" t="s">
        <v>2679</v>
      </c>
      <c r="N1256" s="49" t="s">
        <v>4884</v>
      </c>
      <c r="O1256" s="25"/>
      <c r="P1256" s="49"/>
      <c r="Q1256" s="49"/>
      <c r="R1256" s="50" t="s">
        <v>48</v>
      </c>
      <c r="S1256" s="52" t="s">
        <v>69</v>
      </c>
    </row>
    <row r="1257" customFormat="false" ht="15" hidden="false" customHeight="true" outlineLevel="0" collapsed="false">
      <c r="A1257" s="46" t="n">
        <v>1268</v>
      </c>
      <c r="B1257" s="24" t="s">
        <v>5989</v>
      </c>
      <c r="C1257" s="47"/>
      <c r="D1257" s="47" t="s">
        <v>4870</v>
      </c>
      <c r="E1257" s="46" t="s">
        <v>20</v>
      </c>
      <c r="F1257" s="46" t="s">
        <v>2104</v>
      </c>
      <c r="G1257" s="24" t="s">
        <v>6076</v>
      </c>
      <c r="H1257" s="48" t="n">
        <v>5</v>
      </c>
      <c r="I1257" s="46" t="s">
        <v>3084</v>
      </c>
      <c r="J1257" s="47" t="s">
        <v>5902</v>
      </c>
      <c r="K1257" s="24" t="s">
        <v>6077</v>
      </c>
      <c r="L1257" s="46" t="s">
        <v>6078</v>
      </c>
      <c r="M1257" s="24" t="s">
        <v>5893</v>
      </c>
      <c r="N1257" s="46" t="s">
        <v>5894</v>
      </c>
      <c r="O1257" s="24" t="s">
        <v>2355</v>
      </c>
      <c r="P1257" s="46" t="s">
        <v>2356</v>
      </c>
      <c r="Q1257" s="46"/>
      <c r="R1257" s="47" t="s">
        <v>49</v>
      </c>
      <c r="S1257" s="47"/>
    </row>
    <row r="1258" customFormat="false" ht="15" hidden="false" customHeight="true" outlineLevel="0" collapsed="false">
      <c r="A1258" s="49" t="n">
        <v>1269</v>
      </c>
      <c r="B1258" s="25" t="s">
        <v>5989</v>
      </c>
      <c r="C1258" s="50"/>
      <c r="D1258" s="50" t="s">
        <v>4870</v>
      </c>
      <c r="E1258" s="49" t="s">
        <v>20</v>
      </c>
      <c r="F1258" s="49" t="s">
        <v>2104</v>
      </c>
      <c r="G1258" s="25" t="s">
        <v>3194</v>
      </c>
      <c r="H1258" s="51" t="n">
        <v>5</v>
      </c>
      <c r="I1258" s="49" t="s">
        <v>3139</v>
      </c>
      <c r="J1258" s="50" t="s">
        <v>5902</v>
      </c>
      <c r="K1258" s="25" t="s">
        <v>6079</v>
      </c>
      <c r="L1258" s="49" t="s">
        <v>6080</v>
      </c>
      <c r="M1258" s="25" t="s">
        <v>5893</v>
      </c>
      <c r="N1258" s="49" t="s">
        <v>5894</v>
      </c>
      <c r="O1258" s="25" t="s">
        <v>2355</v>
      </c>
      <c r="P1258" s="49" t="s">
        <v>2356</v>
      </c>
      <c r="Q1258" s="49"/>
      <c r="R1258" s="50" t="s">
        <v>50</v>
      </c>
      <c r="S1258" s="50"/>
    </row>
    <row r="1259" customFormat="false" ht="15" hidden="false" customHeight="true" outlineLevel="0" collapsed="false">
      <c r="A1259" s="46" t="n">
        <v>1270</v>
      </c>
      <c r="B1259" s="24" t="s">
        <v>6036</v>
      </c>
      <c r="C1259" s="47"/>
      <c r="D1259" s="47" t="s">
        <v>4870</v>
      </c>
      <c r="E1259" s="46" t="s">
        <v>20</v>
      </c>
      <c r="F1259" s="46" t="s">
        <v>2104</v>
      </c>
      <c r="G1259" s="24" t="s">
        <v>3476</v>
      </c>
      <c r="H1259" s="48" t="n">
        <v>5</v>
      </c>
      <c r="I1259" s="46" t="s">
        <v>3354</v>
      </c>
      <c r="J1259" s="47" t="s">
        <v>6081</v>
      </c>
      <c r="K1259" s="24" t="s">
        <v>6082</v>
      </c>
      <c r="L1259" s="46" t="s">
        <v>6083</v>
      </c>
      <c r="M1259" s="24" t="s">
        <v>4875</v>
      </c>
      <c r="N1259" s="46" t="s">
        <v>2352</v>
      </c>
      <c r="O1259" s="24" t="s">
        <v>6015</v>
      </c>
      <c r="P1259" s="46" t="s">
        <v>2352</v>
      </c>
      <c r="Q1259" s="46"/>
      <c r="R1259" s="47" t="s">
        <v>48</v>
      </c>
      <c r="S1259" s="47"/>
    </row>
    <row r="1260" customFormat="false" ht="15" hidden="false" customHeight="true" outlineLevel="0" collapsed="false">
      <c r="A1260" s="49" t="n">
        <v>1271</v>
      </c>
      <c r="B1260" s="25" t="s">
        <v>6036</v>
      </c>
      <c r="C1260" s="50"/>
      <c r="D1260" s="50" t="s">
        <v>4870</v>
      </c>
      <c r="E1260" s="49" t="s">
        <v>20</v>
      </c>
      <c r="F1260" s="49" t="s">
        <v>2104</v>
      </c>
      <c r="G1260" s="25" t="s">
        <v>5942</v>
      </c>
      <c r="H1260" s="51" t="n">
        <v>1</v>
      </c>
      <c r="I1260" s="49" t="s">
        <v>3134</v>
      </c>
      <c r="J1260" s="50" t="s">
        <v>6084</v>
      </c>
      <c r="K1260" s="25" t="s">
        <v>4521</v>
      </c>
      <c r="L1260" s="49" t="s">
        <v>6085</v>
      </c>
      <c r="M1260" s="25" t="s">
        <v>4875</v>
      </c>
      <c r="N1260" s="49" t="s">
        <v>2352</v>
      </c>
      <c r="O1260" s="25" t="s">
        <v>6015</v>
      </c>
      <c r="P1260" s="49" t="s">
        <v>2352</v>
      </c>
      <c r="Q1260" s="49"/>
      <c r="R1260" s="50" t="s">
        <v>48</v>
      </c>
      <c r="S1260" s="50"/>
    </row>
    <row r="1261" customFormat="false" ht="15" hidden="false" customHeight="true" outlineLevel="0" collapsed="false">
      <c r="A1261" s="46" t="n">
        <v>1272</v>
      </c>
      <c r="B1261" s="24" t="s">
        <v>6086</v>
      </c>
      <c r="C1261" s="47"/>
      <c r="D1261" s="47" t="s">
        <v>4870</v>
      </c>
      <c r="E1261" s="46" t="s">
        <v>20</v>
      </c>
      <c r="F1261" s="46" t="s">
        <v>2104</v>
      </c>
      <c r="G1261" s="24" t="s">
        <v>6087</v>
      </c>
      <c r="H1261" s="48" t="n">
        <v>5</v>
      </c>
      <c r="I1261" s="46" t="s">
        <v>5896</v>
      </c>
      <c r="J1261" s="47" t="s">
        <v>6088</v>
      </c>
      <c r="K1261" s="24" t="s">
        <v>1413</v>
      </c>
      <c r="L1261" s="46" t="s">
        <v>6089</v>
      </c>
      <c r="M1261" s="24" t="s">
        <v>4875</v>
      </c>
      <c r="N1261" s="46" t="s">
        <v>2352</v>
      </c>
      <c r="O1261" s="24" t="s">
        <v>6015</v>
      </c>
      <c r="P1261" s="46" t="s">
        <v>2352</v>
      </c>
      <c r="Q1261" s="46"/>
      <c r="R1261" s="47" t="s">
        <v>50</v>
      </c>
      <c r="S1261" s="47"/>
    </row>
    <row r="1262" customFormat="false" ht="15" hidden="false" customHeight="true" outlineLevel="0" collapsed="false">
      <c r="A1262" s="49" t="n">
        <v>1273</v>
      </c>
      <c r="B1262" s="25" t="s">
        <v>6086</v>
      </c>
      <c r="C1262" s="50"/>
      <c r="D1262" s="50" t="s">
        <v>4870</v>
      </c>
      <c r="E1262" s="49" t="s">
        <v>20</v>
      </c>
      <c r="F1262" s="49" t="s">
        <v>2104</v>
      </c>
      <c r="G1262" s="25" t="s">
        <v>3415</v>
      </c>
      <c r="H1262" s="51" t="n">
        <v>5</v>
      </c>
      <c r="I1262" s="49" t="s">
        <v>5896</v>
      </c>
      <c r="J1262" s="50" t="s">
        <v>6090</v>
      </c>
      <c r="K1262" s="25" t="s">
        <v>6091</v>
      </c>
      <c r="L1262" s="49" t="s">
        <v>6092</v>
      </c>
      <c r="M1262" s="25" t="s">
        <v>4875</v>
      </c>
      <c r="N1262" s="49" t="s">
        <v>2352</v>
      </c>
      <c r="O1262" s="25" t="s">
        <v>6015</v>
      </c>
      <c r="P1262" s="49" t="s">
        <v>2352</v>
      </c>
      <c r="Q1262" s="49"/>
      <c r="R1262" s="50" t="s">
        <v>48</v>
      </c>
      <c r="S1262" s="50"/>
    </row>
    <row r="1263" customFormat="false" ht="15" hidden="false" customHeight="true" outlineLevel="0" collapsed="false">
      <c r="A1263" s="46" t="n">
        <v>1274</v>
      </c>
      <c r="B1263" s="24" t="s">
        <v>6093</v>
      </c>
      <c r="C1263" s="47"/>
      <c r="D1263" s="47" t="s">
        <v>6094</v>
      </c>
      <c r="E1263" s="46" t="s">
        <v>20</v>
      </c>
      <c r="F1263" s="46" t="s">
        <v>2104</v>
      </c>
      <c r="G1263" s="24" t="s">
        <v>2335</v>
      </c>
      <c r="H1263" s="48" t="n">
        <v>5</v>
      </c>
      <c r="I1263" s="46"/>
      <c r="J1263" s="47" t="s">
        <v>6095</v>
      </c>
      <c r="K1263" s="24" t="s">
        <v>6096</v>
      </c>
      <c r="L1263" s="46" t="s">
        <v>6097</v>
      </c>
      <c r="M1263" s="24" t="s">
        <v>6098</v>
      </c>
      <c r="N1263" s="46" t="s">
        <v>6099</v>
      </c>
      <c r="O1263" s="24" t="s">
        <v>6098</v>
      </c>
      <c r="P1263" s="46" t="s">
        <v>6099</v>
      </c>
      <c r="Q1263" s="46"/>
      <c r="R1263" s="47" t="s">
        <v>48</v>
      </c>
      <c r="S1263" s="52" t="s">
        <v>67</v>
      </c>
    </row>
    <row r="1264" customFormat="false" ht="15" hidden="false" customHeight="true" outlineLevel="0" collapsed="false">
      <c r="A1264" s="49" t="n">
        <v>1275</v>
      </c>
      <c r="B1264" s="25" t="s">
        <v>6100</v>
      </c>
      <c r="C1264" s="50"/>
      <c r="D1264" s="50" t="s">
        <v>6101</v>
      </c>
      <c r="E1264" s="49" t="s">
        <v>6102</v>
      </c>
      <c r="F1264" s="49" t="s">
        <v>6103</v>
      </c>
      <c r="G1264" s="25" t="s">
        <v>6104</v>
      </c>
      <c r="H1264" s="51" t="n">
        <v>5</v>
      </c>
      <c r="I1264" s="49"/>
      <c r="J1264" s="50" t="s">
        <v>6105</v>
      </c>
      <c r="K1264" s="25" t="s">
        <v>6106</v>
      </c>
      <c r="L1264" s="49" t="s">
        <v>6107</v>
      </c>
      <c r="M1264" s="25" t="s">
        <v>6108</v>
      </c>
      <c r="N1264" s="49" t="s">
        <v>6109</v>
      </c>
      <c r="O1264" s="25"/>
      <c r="P1264" s="49"/>
      <c r="Q1264" s="49"/>
      <c r="R1264" s="50" t="s">
        <v>48</v>
      </c>
      <c r="S1264" s="52" t="s">
        <v>6110</v>
      </c>
    </row>
    <row r="1265" customFormat="false" ht="15" hidden="false" customHeight="true" outlineLevel="0" collapsed="false">
      <c r="A1265" s="46" t="n">
        <v>1276</v>
      </c>
      <c r="B1265" s="24" t="s">
        <v>6111</v>
      </c>
      <c r="C1265" s="47"/>
      <c r="D1265" s="47" t="s">
        <v>2248</v>
      </c>
      <c r="E1265" s="46" t="s">
        <v>20</v>
      </c>
      <c r="F1265" s="46" t="s">
        <v>2104</v>
      </c>
      <c r="G1265" s="24" t="s">
        <v>3476</v>
      </c>
      <c r="H1265" s="48" t="n">
        <v>5</v>
      </c>
      <c r="I1265" s="46" t="s">
        <v>3084</v>
      </c>
      <c r="J1265" s="47" t="s">
        <v>6112</v>
      </c>
      <c r="K1265" s="24" t="s">
        <v>6113</v>
      </c>
      <c r="L1265" s="46" t="s">
        <v>6114</v>
      </c>
      <c r="M1265" s="24" t="s">
        <v>6115</v>
      </c>
      <c r="N1265" s="46" t="s">
        <v>6116</v>
      </c>
      <c r="O1265" s="24" t="s">
        <v>2355</v>
      </c>
      <c r="P1265" s="46" t="s">
        <v>2356</v>
      </c>
      <c r="Q1265" s="46"/>
      <c r="R1265" s="47" t="s">
        <v>48</v>
      </c>
      <c r="S1265" s="47"/>
    </row>
    <row r="1266" customFormat="false" ht="15" hidden="false" customHeight="true" outlineLevel="0" collapsed="false">
      <c r="A1266" s="49" t="n">
        <v>1277</v>
      </c>
      <c r="B1266" s="25" t="s">
        <v>6111</v>
      </c>
      <c r="C1266" s="50"/>
      <c r="D1266" s="50" t="s">
        <v>2248</v>
      </c>
      <c r="E1266" s="49" t="s">
        <v>20</v>
      </c>
      <c r="F1266" s="49" t="s">
        <v>2104</v>
      </c>
      <c r="G1266" s="25" t="s">
        <v>3476</v>
      </c>
      <c r="H1266" s="51" t="n">
        <v>5</v>
      </c>
      <c r="I1266" s="49" t="s">
        <v>3084</v>
      </c>
      <c r="J1266" s="50" t="s">
        <v>6117</v>
      </c>
      <c r="K1266" s="25" t="s">
        <v>2977</v>
      </c>
      <c r="L1266" s="49" t="s">
        <v>6118</v>
      </c>
      <c r="M1266" s="25" t="s">
        <v>6115</v>
      </c>
      <c r="N1266" s="49" t="s">
        <v>6116</v>
      </c>
      <c r="O1266" s="25" t="s">
        <v>2355</v>
      </c>
      <c r="P1266" s="49" t="s">
        <v>2356</v>
      </c>
      <c r="Q1266" s="49"/>
      <c r="R1266" s="50" t="s">
        <v>48</v>
      </c>
      <c r="S1266" s="50"/>
    </row>
    <row r="1267" customFormat="false" ht="15" hidden="false" customHeight="true" outlineLevel="0" collapsed="false">
      <c r="A1267" s="46" t="n">
        <v>1278</v>
      </c>
      <c r="B1267" s="24" t="s">
        <v>6111</v>
      </c>
      <c r="C1267" s="47"/>
      <c r="D1267" s="47" t="s">
        <v>2248</v>
      </c>
      <c r="E1267" s="46" t="s">
        <v>20</v>
      </c>
      <c r="F1267" s="46" t="s">
        <v>2104</v>
      </c>
      <c r="G1267" s="24" t="s">
        <v>3476</v>
      </c>
      <c r="H1267" s="48" t="n">
        <v>5</v>
      </c>
      <c r="I1267" s="46" t="s">
        <v>3084</v>
      </c>
      <c r="J1267" s="47" t="s">
        <v>6119</v>
      </c>
      <c r="K1267" s="24" t="s">
        <v>6120</v>
      </c>
      <c r="L1267" s="46" t="s">
        <v>6121</v>
      </c>
      <c r="M1267" s="24" t="s">
        <v>6115</v>
      </c>
      <c r="N1267" s="46" t="s">
        <v>6116</v>
      </c>
      <c r="O1267" s="24" t="s">
        <v>2355</v>
      </c>
      <c r="P1267" s="46" t="s">
        <v>2356</v>
      </c>
      <c r="Q1267" s="46"/>
      <c r="R1267" s="47" t="s">
        <v>48</v>
      </c>
      <c r="S1267" s="47"/>
    </row>
    <row r="1268" customFormat="false" ht="15" hidden="false" customHeight="true" outlineLevel="0" collapsed="false">
      <c r="A1268" s="49" t="n">
        <v>1279</v>
      </c>
      <c r="B1268" s="25" t="s">
        <v>6122</v>
      </c>
      <c r="C1268" s="50"/>
      <c r="D1268" s="50" t="s">
        <v>3110</v>
      </c>
      <c r="E1268" s="49" t="s">
        <v>19</v>
      </c>
      <c r="F1268" s="49" t="s">
        <v>2104</v>
      </c>
      <c r="G1268" s="25" t="s">
        <v>6123</v>
      </c>
      <c r="H1268" s="51" t="n">
        <v>1</v>
      </c>
      <c r="I1268" s="49" t="s">
        <v>3084</v>
      </c>
      <c r="J1268" s="50" t="s">
        <v>6124</v>
      </c>
      <c r="K1268" s="25" t="s">
        <v>6125</v>
      </c>
      <c r="L1268" s="49" t="s">
        <v>6126</v>
      </c>
      <c r="M1268" s="25" t="s">
        <v>3159</v>
      </c>
      <c r="N1268" s="49" t="s">
        <v>3160</v>
      </c>
      <c r="O1268" s="25"/>
      <c r="P1268" s="49"/>
      <c r="Q1268" s="49"/>
      <c r="R1268" s="50" t="s">
        <v>48</v>
      </c>
      <c r="S1268" s="52" t="s">
        <v>69</v>
      </c>
    </row>
    <row r="1269" customFormat="false" ht="15" hidden="false" customHeight="true" outlineLevel="0" collapsed="false">
      <c r="A1269" s="46" t="n">
        <v>1280</v>
      </c>
      <c r="B1269" s="24" t="s">
        <v>6111</v>
      </c>
      <c r="C1269" s="47"/>
      <c r="D1269" s="47" t="s">
        <v>2248</v>
      </c>
      <c r="E1269" s="46" t="s">
        <v>20</v>
      </c>
      <c r="F1269" s="46" t="s">
        <v>2104</v>
      </c>
      <c r="G1269" s="24" t="s">
        <v>3472</v>
      </c>
      <c r="H1269" s="48" t="n">
        <v>5</v>
      </c>
      <c r="I1269" s="46" t="s">
        <v>3084</v>
      </c>
      <c r="J1269" s="47" t="s">
        <v>6127</v>
      </c>
      <c r="K1269" s="24" t="s">
        <v>2977</v>
      </c>
      <c r="L1269" s="46" t="s">
        <v>6128</v>
      </c>
      <c r="M1269" s="24" t="s">
        <v>6115</v>
      </c>
      <c r="N1269" s="46" t="s">
        <v>6116</v>
      </c>
      <c r="O1269" s="24" t="s">
        <v>2355</v>
      </c>
      <c r="P1269" s="46" t="s">
        <v>2356</v>
      </c>
      <c r="Q1269" s="46"/>
      <c r="R1269" s="47" t="s">
        <v>49</v>
      </c>
      <c r="S1269" s="47"/>
    </row>
    <row r="1270" customFormat="false" ht="15" hidden="false" customHeight="true" outlineLevel="0" collapsed="false">
      <c r="A1270" s="49" t="n">
        <v>1281</v>
      </c>
      <c r="B1270" s="25" t="s">
        <v>5905</v>
      </c>
      <c r="C1270" s="50"/>
      <c r="D1270" s="50" t="s">
        <v>20</v>
      </c>
      <c r="E1270" s="49" t="s">
        <v>20</v>
      </c>
      <c r="F1270" s="49" t="s">
        <v>2104</v>
      </c>
      <c r="G1270" s="25" t="s">
        <v>6129</v>
      </c>
      <c r="H1270" s="51" t="n">
        <v>5</v>
      </c>
      <c r="I1270" s="49" t="s">
        <v>3127</v>
      </c>
      <c r="J1270" s="50" t="s">
        <v>6130</v>
      </c>
      <c r="K1270" s="25" t="s">
        <v>6131</v>
      </c>
      <c r="L1270" s="49" t="s">
        <v>6132</v>
      </c>
      <c r="M1270" s="25" t="s">
        <v>6133</v>
      </c>
      <c r="N1270" s="49" t="s">
        <v>5911</v>
      </c>
      <c r="O1270" s="25" t="s">
        <v>2355</v>
      </c>
      <c r="P1270" s="49" t="s">
        <v>2356</v>
      </c>
      <c r="Q1270" s="49"/>
      <c r="R1270" s="50" t="s">
        <v>48</v>
      </c>
      <c r="S1270" s="50"/>
    </row>
    <row r="1271" customFormat="false" ht="15" hidden="false" customHeight="true" outlineLevel="0" collapsed="false">
      <c r="A1271" s="46" t="n">
        <v>1282</v>
      </c>
      <c r="B1271" s="24" t="s">
        <v>6111</v>
      </c>
      <c r="C1271" s="47"/>
      <c r="D1271" s="47" t="s">
        <v>2248</v>
      </c>
      <c r="E1271" s="46" t="s">
        <v>20</v>
      </c>
      <c r="F1271" s="46" t="s">
        <v>2104</v>
      </c>
      <c r="G1271" s="24" t="s">
        <v>3472</v>
      </c>
      <c r="H1271" s="48" t="n">
        <v>5</v>
      </c>
      <c r="I1271" s="46" t="s">
        <v>3102</v>
      </c>
      <c r="J1271" s="47" t="s">
        <v>6134</v>
      </c>
      <c r="K1271" s="24" t="s">
        <v>6135</v>
      </c>
      <c r="L1271" s="46" t="s">
        <v>6118</v>
      </c>
      <c r="M1271" s="24" t="s">
        <v>6115</v>
      </c>
      <c r="N1271" s="46" t="s">
        <v>6116</v>
      </c>
      <c r="O1271" s="24" t="s">
        <v>2355</v>
      </c>
      <c r="P1271" s="46" t="s">
        <v>2356</v>
      </c>
      <c r="Q1271" s="46"/>
      <c r="R1271" s="47" t="s">
        <v>49</v>
      </c>
      <c r="S1271" s="47"/>
    </row>
    <row r="1272" customFormat="false" ht="15" hidden="false" customHeight="true" outlineLevel="0" collapsed="false">
      <c r="A1272" s="49" t="n">
        <v>1283</v>
      </c>
      <c r="B1272" s="25" t="s">
        <v>5905</v>
      </c>
      <c r="C1272" s="50"/>
      <c r="D1272" s="50" t="s">
        <v>20</v>
      </c>
      <c r="E1272" s="49" t="s">
        <v>20</v>
      </c>
      <c r="F1272" s="49" t="s">
        <v>2104</v>
      </c>
      <c r="G1272" s="25" t="s">
        <v>6136</v>
      </c>
      <c r="H1272" s="51" t="n">
        <v>5</v>
      </c>
      <c r="I1272" s="49" t="s">
        <v>3294</v>
      </c>
      <c r="J1272" s="50" t="s">
        <v>6137</v>
      </c>
      <c r="K1272" s="25" t="s">
        <v>6138</v>
      </c>
      <c r="L1272" s="49" t="s">
        <v>6139</v>
      </c>
      <c r="M1272" s="25" t="s">
        <v>5918</v>
      </c>
      <c r="N1272" s="49" t="s">
        <v>5911</v>
      </c>
      <c r="O1272" s="25" t="s">
        <v>6140</v>
      </c>
      <c r="P1272" s="49" t="s">
        <v>2356</v>
      </c>
      <c r="Q1272" s="49"/>
      <c r="R1272" s="50" t="s">
        <v>48</v>
      </c>
      <c r="S1272" s="50"/>
    </row>
    <row r="1273" customFormat="false" ht="15" hidden="false" customHeight="true" outlineLevel="0" collapsed="false">
      <c r="A1273" s="46" t="n">
        <v>1284</v>
      </c>
      <c r="B1273" s="24" t="s">
        <v>6141</v>
      </c>
      <c r="C1273" s="47"/>
      <c r="D1273" s="47" t="s">
        <v>4879</v>
      </c>
      <c r="E1273" s="46" t="s">
        <v>20</v>
      </c>
      <c r="F1273" s="46" t="s">
        <v>2104</v>
      </c>
      <c r="G1273" s="24" t="s">
        <v>3472</v>
      </c>
      <c r="H1273" s="48" t="n">
        <v>5</v>
      </c>
      <c r="I1273" s="46" t="s">
        <v>3139</v>
      </c>
      <c r="J1273" s="47" t="s">
        <v>6142</v>
      </c>
      <c r="K1273" s="24" t="s">
        <v>6143</v>
      </c>
      <c r="L1273" s="46" t="s">
        <v>6144</v>
      </c>
      <c r="M1273" s="24" t="s">
        <v>2679</v>
      </c>
      <c r="N1273" s="46" t="s">
        <v>4884</v>
      </c>
      <c r="O1273" s="24"/>
      <c r="P1273" s="46"/>
      <c r="Q1273" s="46"/>
      <c r="R1273" s="47" t="s">
        <v>49</v>
      </c>
      <c r="S1273" s="52" t="s">
        <v>69</v>
      </c>
    </row>
    <row r="1274" customFormat="false" ht="15" hidden="false" customHeight="true" outlineLevel="0" collapsed="false">
      <c r="A1274" s="49" t="n">
        <v>1285</v>
      </c>
      <c r="B1274" s="25" t="s">
        <v>5905</v>
      </c>
      <c r="C1274" s="50"/>
      <c r="D1274" s="50" t="s">
        <v>20</v>
      </c>
      <c r="E1274" s="49" t="s">
        <v>20</v>
      </c>
      <c r="F1274" s="49" t="s">
        <v>2104</v>
      </c>
      <c r="G1274" s="25" t="s">
        <v>6136</v>
      </c>
      <c r="H1274" s="51" t="n">
        <v>5</v>
      </c>
      <c r="I1274" s="49" t="s">
        <v>5885</v>
      </c>
      <c r="J1274" s="50" t="s">
        <v>6145</v>
      </c>
      <c r="K1274" s="25" t="s">
        <v>6146</v>
      </c>
      <c r="L1274" s="49" t="s">
        <v>6147</v>
      </c>
      <c r="M1274" s="25" t="s">
        <v>5918</v>
      </c>
      <c r="N1274" s="49" t="s">
        <v>6148</v>
      </c>
      <c r="O1274" s="25" t="s">
        <v>6149</v>
      </c>
      <c r="P1274" s="49" t="s">
        <v>2356</v>
      </c>
      <c r="Q1274" s="49"/>
      <c r="R1274" s="50" t="s">
        <v>48</v>
      </c>
      <c r="S1274" s="50"/>
    </row>
    <row r="1275" customFormat="false" ht="15" hidden="false" customHeight="true" outlineLevel="0" collapsed="false">
      <c r="A1275" s="46" t="n">
        <v>1286</v>
      </c>
      <c r="B1275" s="24" t="s">
        <v>5905</v>
      </c>
      <c r="C1275" s="47"/>
      <c r="D1275" s="47" t="s">
        <v>20</v>
      </c>
      <c r="E1275" s="46" t="s">
        <v>20</v>
      </c>
      <c r="F1275" s="46" t="s">
        <v>2104</v>
      </c>
      <c r="G1275" s="24" t="s">
        <v>6150</v>
      </c>
      <c r="H1275" s="48" t="n">
        <v>5</v>
      </c>
      <c r="I1275" s="46" t="s">
        <v>3294</v>
      </c>
      <c r="J1275" s="47" t="s">
        <v>6151</v>
      </c>
      <c r="K1275" s="24" t="s">
        <v>6152</v>
      </c>
      <c r="L1275" s="46" t="s">
        <v>6153</v>
      </c>
      <c r="M1275" s="24" t="s">
        <v>5918</v>
      </c>
      <c r="N1275" s="46" t="s">
        <v>5911</v>
      </c>
      <c r="O1275" s="24" t="s">
        <v>6140</v>
      </c>
      <c r="P1275" s="46" t="s">
        <v>2356</v>
      </c>
      <c r="Q1275" s="46"/>
      <c r="R1275" s="47" t="s">
        <v>48</v>
      </c>
      <c r="S1275" s="47"/>
    </row>
    <row r="1276" customFormat="false" ht="15" hidden="false" customHeight="true" outlineLevel="0" collapsed="false">
      <c r="A1276" s="49" t="n">
        <v>1287</v>
      </c>
      <c r="B1276" s="25" t="s">
        <v>6141</v>
      </c>
      <c r="C1276" s="50"/>
      <c r="D1276" s="50" t="s">
        <v>4879</v>
      </c>
      <c r="E1276" s="49" t="s">
        <v>20</v>
      </c>
      <c r="F1276" s="49" t="s">
        <v>2104</v>
      </c>
      <c r="G1276" s="25" t="s">
        <v>3472</v>
      </c>
      <c r="H1276" s="51" t="n">
        <v>5</v>
      </c>
      <c r="I1276" s="49" t="s">
        <v>3139</v>
      </c>
      <c r="J1276" s="50" t="s">
        <v>6154</v>
      </c>
      <c r="K1276" s="25" t="s">
        <v>6155</v>
      </c>
      <c r="L1276" s="49" t="s">
        <v>6156</v>
      </c>
      <c r="M1276" s="25" t="s">
        <v>2679</v>
      </c>
      <c r="N1276" s="49" t="s">
        <v>4884</v>
      </c>
      <c r="O1276" s="25"/>
      <c r="P1276" s="49"/>
      <c r="Q1276" s="49"/>
      <c r="R1276" s="50" t="s">
        <v>49</v>
      </c>
      <c r="S1276" s="52" t="s">
        <v>69</v>
      </c>
    </row>
    <row r="1277" customFormat="false" ht="15" hidden="false" customHeight="true" outlineLevel="0" collapsed="false">
      <c r="A1277" s="46" t="n">
        <v>1288</v>
      </c>
      <c r="B1277" s="24" t="s">
        <v>5941</v>
      </c>
      <c r="C1277" s="47"/>
      <c r="D1277" s="47" t="s">
        <v>5811</v>
      </c>
      <c r="E1277" s="46" t="s">
        <v>20</v>
      </c>
      <c r="F1277" s="46" t="s">
        <v>2104</v>
      </c>
      <c r="G1277" s="24" t="s">
        <v>3472</v>
      </c>
      <c r="H1277" s="48" t="n">
        <v>5</v>
      </c>
      <c r="I1277" s="46" t="s">
        <v>3092</v>
      </c>
      <c r="J1277" s="47" t="s">
        <v>6157</v>
      </c>
      <c r="K1277" s="24" t="s">
        <v>5946</v>
      </c>
      <c r="L1277" s="46" t="s">
        <v>6158</v>
      </c>
      <c r="M1277" s="24" t="s">
        <v>5946</v>
      </c>
      <c r="N1277" s="46" t="s">
        <v>5947</v>
      </c>
      <c r="O1277" s="24" t="s">
        <v>6159</v>
      </c>
      <c r="P1277" s="46" t="s">
        <v>5947</v>
      </c>
      <c r="Q1277" s="46"/>
      <c r="R1277" s="47" t="s">
        <v>49</v>
      </c>
      <c r="S1277" s="47"/>
    </row>
    <row r="1278" customFormat="false" ht="15" hidden="false" customHeight="true" outlineLevel="0" collapsed="false">
      <c r="A1278" s="49" t="n">
        <v>1289</v>
      </c>
      <c r="B1278" s="25" t="s">
        <v>6160</v>
      </c>
      <c r="C1278" s="50"/>
      <c r="D1278" s="50" t="s">
        <v>6161</v>
      </c>
      <c r="E1278" s="49" t="s">
        <v>20</v>
      </c>
      <c r="F1278" s="49" t="s">
        <v>2104</v>
      </c>
      <c r="G1278" s="25" t="s">
        <v>3472</v>
      </c>
      <c r="H1278" s="51" t="n">
        <v>5</v>
      </c>
      <c r="I1278" s="49" t="s">
        <v>3139</v>
      </c>
      <c r="J1278" s="50" t="s">
        <v>6162</v>
      </c>
      <c r="K1278" s="25" t="s">
        <v>2550</v>
      </c>
      <c r="L1278" s="49" t="s">
        <v>6163</v>
      </c>
      <c r="M1278" s="25" t="s">
        <v>6098</v>
      </c>
      <c r="N1278" s="49" t="s">
        <v>6099</v>
      </c>
      <c r="O1278" s="25" t="s">
        <v>6098</v>
      </c>
      <c r="P1278" s="49" t="s">
        <v>6099</v>
      </c>
      <c r="Q1278" s="49"/>
      <c r="R1278" s="50" t="s">
        <v>49</v>
      </c>
      <c r="S1278" s="50"/>
    </row>
    <row r="1279" customFormat="false" ht="15" hidden="false" customHeight="true" outlineLevel="0" collapsed="false">
      <c r="A1279" s="46" t="n">
        <v>1290</v>
      </c>
      <c r="B1279" s="24" t="s">
        <v>5905</v>
      </c>
      <c r="C1279" s="47"/>
      <c r="D1279" s="47" t="s">
        <v>20</v>
      </c>
      <c r="E1279" s="46" t="s">
        <v>20</v>
      </c>
      <c r="F1279" s="46" t="s">
        <v>2104</v>
      </c>
      <c r="G1279" s="24" t="s">
        <v>6129</v>
      </c>
      <c r="H1279" s="48" t="n">
        <v>5</v>
      </c>
      <c r="I1279" s="46" t="s">
        <v>3294</v>
      </c>
      <c r="J1279" s="47" t="s">
        <v>6164</v>
      </c>
      <c r="K1279" s="24" t="s">
        <v>6165</v>
      </c>
      <c r="L1279" s="46" t="s">
        <v>6166</v>
      </c>
      <c r="M1279" s="24" t="s">
        <v>6167</v>
      </c>
      <c r="N1279" s="46" t="s">
        <v>5911</v>
      </c>
      <c r="O1279" s="24" t="s">
        <v>6140</v>
      </c>
      <c r="P1279" s="46" t="s">
        <v>2356</v>
      </c>
      <c r="Q1279" s="46"/>
      <c r="R1279" s="47" t="s">
        <v>48</v>
      </c>
      <c r="S1279" s="47"/>
    </row>
    <row r="1280" customFormat="false" ht="15" hidden="false" customHeight="true" outlineLevel="0" collapsed="false">
      <c r="A1280" s="49" t="n">
        <v>1291</v>
      </c>
      <c r="B1280" s="25" t="s">
        <v>5941</v>
      </c>
      <c r="C1280" s="50"/>
      <c r="D1280" s="50" t="s">
        <v>5811</v>
      </c>
      <c r="E1280" s="49" t="s">
        <v>20</v>
      </c>
      <c r="F1280" s="49" t="s">
        <v>2104</v>
      </c>
      <c r="G1280" s="25" t="s">
        <v>3194</v>
      </c>
      <c r="H1280" s="51" t="n">
        <v>1</v>
      </c>
      <c r="I1280" s="49" t="s">
        <v>3092</v>
      </c>
      <c r="J1280" s="50" t="s">
        <v>6168</v>
      </c>
      <c r="K1280" s="25" t="s">
        <v>2994</v>
      </c>
      <c r="L1280" s="49" t="s">
        <v>6169</v>
      </c>
      <c r="M1280" s="25" t="s">
        <v>5946</v>
      </c>
      <c r="N1280" s="49" t="s">
        <v>5947</v>
      </c>
      <c r="O1280" s="25" t="s">
        <v>6159</v>
      </c>
      <c r="P1280" s="49" t="s">
        <v>5947</v>
      </c>
      <c r="Q1280" s="49"/>
      <c r="R1280" s="50" t="s">
        <v>50</v>
      </c>
      <c r="S1280" s="50"/>
    </row>
    <row r="1281" customFormat="false" ht="15" hidden="false" customHeight="true" outlineLevel="0" collapsed="false">
      <c r="A1281" s="46" t="n">
        <v>1292</v>
      </c>
      <c r="B1281" s="24" t="s">
        <v>6160</v>
      </c>
      <c r="C1281" s="47"/>
      <c r="D1281" s="47" t="s">
        <v>6161</v>
      </c>
      <c r="E1281" s="46" t="s">
        <v>20</v>
      </c>
      <c r="F1281" s="46" t="s">
        <v>2104</v>
      </c>
      <c r="G1281" s="24" t="s">
        <v>4880</v>
      </c>
      <c r="H1281" s="48" t="n">
        <v>1</v>
      </c>
      <c r="I1281" s="46" t="s">
        <v>6170</v>
      </c>
      <c r="J1281" s="47" t="s">
        <v>6171</v>
      </c>
      <c r="K1281" s="24" t="s">
        <v>6172</v>
      </c>
      <c r="L1281" s="46" t="s">
        <v>6173</v>
      </c>
      <c r="M1281" s="24" t="s">
        <v>6098</v>
      </c>
      <c r="N1281" s="46" t="s">
        <v>6099</v>
      </c>
      <c r="O1281" s="24" t="s">
        <v>6098</v>
      </c>
      <c r="P1281" s="46" t="s">
        <v>6099</v>
      </c>
      <c r="Q1281" s="46"/>
      <c r="R1281" s="47" t="s">
        <v>49</v>
      </c>
      <c r="S1281" s="47"/>
    </row>
    <row r="1282" customFormat="false" ht="15" hidden="false" customHeight="true" outlineLevel="0" collapsed="false">
      <c r="A1282" s="49" t="n">
        <v>1293</v>
      </c>
      <c r="B1282" s="25" t="s">
        <v>6141</v>
      </c>
      <c r="C1282" s="50"/>
      <c r="D1282" s="50" t="s">
        <v>4879</v>
      </c>
      <c r="E1282" s="49" t="s">
        <v>20</v>
      </c>
      <c r="F1282" s="49" t="s">
        <v>2104</v>
      </c>
      <c r="G1282" s="25" t="s">
        <v>2335</v>
      </c>
      <c r="H1282" s="51" t="n">
        <v>5</v>
      </c>
      <c r="I1282" s="49" t="s">
        <v>3139</v>
      </c>
      <c r="J1282" s="50" t="s">
        <v>6174</v>
      </c>
      <c r="K1282" s="25" t="s">
        <v>6175</v>
      </c>
      <c r="L1282" s="49" t="s">
        <v>6176</v>
      </c>
      <c r="M1282" s="25" t="s">
        <v>2679</v>
      </c>
      <c r="N1282" s="49" t="s">
        <v>4884</v>
      </c>
      <c r="O1282" s="25"/>
      <c r="P1282" s="49"/>
      <c r="Q1282" s="49"/>
      <c r="R1282" s="50" t="s">
        <v>48</v>
      </c>
      <c r="S1282" s="52" t="s">
        <v>69</v>
      </c>
    </row>
    <row r="1283" customFormat="false" ht="15" hidden="false" customHeight="true" outlineLevel="0" collapsed="false">
      <c r="A1283" s="46" t="n">
        <v>1294</v>
      </c>
      <c r="B1283" s="24" t="s">
        <v>5905</v>
      </c>
      <c r="C1283" s="47"/>
      <c r="D1283" s="47" t="s">
        <v>20</v>
      </c>
      <c r="E1283" s="46" t="s">
        <v>20</v>
      </c>
      <c r="F1283" s="46" t="s">
        <v>2104</v>
      </c>
      <c r="G1283" s="24" t="s">
        <v>6129</v>
      </c>
      <c r="H1283" s="48" t="n">
        <v>5</v>
      </c>
      <c r="I1283" s="46" t="s">
        <v>3294</v>
      </c>
      <c r="J1283" s="47" t="s">
        <v>6177</v>
      </c>
      <c r="K1283" s="24" t="s">
        <v>6178</v>
      </c>
      <c r="L1283" s="46" t="s">
        <v>6179</v>
      </c>
      <c r="M1283" s="24" t="s">
        <v>5918</v>
      </c>
      <c r="N1283" s="46" t="s">
        <v>5911</v>
      </c>
      <c r="O1283" s="24" t="s">
        <v>2355</v>
      </c>
      <c r="P1283" s="46" t="s">
        <v>2356</v>
      </c>
      <c r="Q1283" s="46"/>
      <c r="R1283" s="47" t="s">
        <v>48</v>
      </c>
      <c r="S1283" s="47"/>
    </row>
    <row r="1284" customFormat="false" ht="15" hidden="false" customHeight="true" outlineLevel="0" collapsed="false">
      <c r="A1284" s="49" t="n">
        <v>1295</v>
      </c>
      <c r="B1284" s="25" t="s">
        <v>5941</v>
      </c>
      <c r="C1284" s="50"/>
      <c r="D1284" s="50" t="s">
        <v>5811</v>
      </c>
      <c r="E1284" s="49" t="s">
        <v>20</v>
      </c>
      <c r="F1284" s="49" t="s">
        <v>2104</v>
      </c>
      <c r="G1284" s="25" t="s">
        <v>3194</v>
      </c>
      <c r="H1284" s="51" t="n">
        <v>5</v>
      </c>
      <c r="I1284" s="49" t="s">
        <v>3092</v>
      </c>
      <c r="J1284" s="50" t="s">
        <v>6180</v>
      </c>
      <c r="K1284" s="25" t="s">
        <v>1492</v>
      </c>
      <c r="L1284" s="49" t="s">
        <v>6181</v>
      </c>
      <c r="M1284" s="25" t="s">
        <v>5946</v>
      </c>
      <c r="N1284" s="49" t="s">
        <v>5947</v>
      </c>
      <c r="O1284" s="25" t="s">
        <v>5948</v>
      </c>
      <c r="P1284" s="49" t="s">
        <v>4877</v>
      </c>
      <c r="Q1284" s="49"/>
      <c r="R1284" s="50" t="s">
        <v>50</v>
      </c>
      <c r="S1284" s="50"/>
    </row>
    <row r="1285" customFormat="false" ht="15" hidden="false" customHeight="true" outlineLevel="0" collapsed="false">
      <c r="A1285" s="46" t="n">
        <v>1296</v>
      </c>
      <c r="B1285" s="24" t="s">
        <v>5905</v>
      </c>
      <c r="C1285" s="47"/>
      <c r="D1285" s="47" t="s">
        <v>20</v>
      </c>
      <c r="E1285" s="46" t="s">
        <v>20</v>
      </c>
      <c r="F1285" s="46" t="s">
        <v>2104</v>
      </c>
      <c r="G1285" s="24" t="s">
        <v>6182</v>
      </c>
      <c r="H1285" s="48" t="n">
        <v>5</v>
      </c>
      <c r="I1285" s="46" t="s">
        <v>3294</v>
      </c>
      <c r="J1285" s="47" t="s">
        <v>6183</v>
      </c>
      <c r="K1285" s="24" t="s">
        <v>6184</v>
      </c>
      <c r="L1285" s="46" t="s">
        <v>6185</v>
      </c>
      <c r="M1285" s="24" t="s">
        <v>5918</v>
      </c>
      <c r="N1285" s="46" t="s">
        <v>5911</v>
      </c>
      <c r="O1285" s="24" t="s">
        <v>2355</v>
      </c>
      <c r="P1285" s="46" t="s">
        <v>2356</v>
      </c>
      <c r="Q1285" s="46"/>
      <c r="R1285" s="47" t="s">
        <v>48</v>
      </c>
      <c r="S1285" s="47"/>
    </row>
    <row r="1286" customFormat="false" ht="15" hidden="false" customHeight="true" outlineLevel="0" collapsed="false">
      <c r="A1286" s="49" t="n">
        <v>1297</v>
      </c>
      <c r="B1286" s="25" t="s">
        <v>6186</v>
      </c>
      <c r="C1286" s="50"/>
      <c r="D1286" s="50" t="s">
        <v>6161</v>
      </c>
      <c r="E1286" s="49" t="s">
        <v>20</v>
      </c>
      <c r="F1286" s="49" t="s">
        <v>2104</v>
      </c>
      <c r="G1286" s="25" t="s">
        <v>3472</v>
      </c>
      <c r="H1286" s="51" t="n">
        <v>5</v>
      </c>
      <c r="I1286" s="49" t="s">
        <v>6170</v>
      </c>
      <c r="J1286" s="50" t="s">
        <v>6187</v>
      </c>
      <c r="K1286" s="25" t="s">
        <v>6188</v>
      </c>
      <c r="L1286" s="49" t="s">
        <v>6189</v>
      </c>
      <c r="M1286" s="25" t="s">
        <v>6098</v>
      </c>
      <c r="N1286" s="49" t="s">
        <v>6099</v>
      </c>
      <c r="O1286" s="25" t="s">
        <v>6098</v>
      </c>
      <c r="P1286" s="49" t="s">
        <v>6099</v>
      </c>
      <c r="Q1286" s="49"/>
      <c r="R1286" s="50" t="s">
        <v>49</v>
      </c>
      <c r="S1286" s="50"/>
    </row>
    <row r="1287" customFormat="false" ht="15" hidden="false" customHeight="true" outlineLevel="0" collapsed="false">
      <c r="A1287" s="46" t="n">
        <v>1298</v>
      </c>
      <c r="B1287" s="24" t="s">
        <v>5941</v>
      </c>
      <c r="C1287" s="47"/>
      <c r="D1287" s="47" t="s">
        <v>5811</v>
      </c>
      <c r="E1287" s="46" t="s">
        <v>20</v>
      </c>
      <c r="F1287" s="46" t="s">
        <v>2104</v>
      </c>
      <c r="G1287" s="24" t="s">
        <v>3472</v>
      </c>
      <c r="H1287" s="48" t="n">
        <v>5</v>
      </c>
      <c r="I1287" s="46" t="s">
        <v>3084</v>
      </c>
      <c r="J1287" s="47" t="s">
        <v>6190</v>
      </c>
      <c r="K1287" s="24" t="s">
        <v>6191</v>
      </c>
      <c r="L1287" s="46" t="s">
        <v>6192</v>
      </c>
      <c r="M1287" s="24" t="s">
        <v>5946</v>
      </c>
      <c r="N1287" s="46" t="s">
        <v>5947</v>
      </c>
      <c r="O1287" s="24" t="s">
        <v>6159</v>
      </c>
      <c r="P1287" s="46" t="s">
        <v>5947</v>
      </c>
      <c r="Q1287" s="46"/>
      <c r="R1287" s="47" t="s">
        <v>49</v>
      </c>
      <c r="S1287" s="47"/>
    </row>
    <row r="1288" customFormat="false" ht="15" hidden="false" customHeight="true" outlineLevel="0" collapsed="false">
      <c r="A1288" s="49" t="n">
        <v>1299</v>
      </c>
      <c r="B1288" s="25" t="s">
        <v>6193</v>
      </c>
      <c r="C1288" s="50"/>
      <c r="D1288" s="50" t="s">
        <v>3110</v>
      </c>
      <c r="E1288" s="49" t="s">
        <v>19</v>
      </c>
      <c r="F1288" s="49" t="s">
        <v>2104</v>
      </c>
      <c r="G1288" s="25" t="s">
        <v>2335</v>
      </c>
      <c r="H1288" s="51" t="n">
        <v>1</v>
      </c>
      <c r="I1288" s="49" t="s">
        <v>5838</v>
      </c>
      <c r="J1288" s="50" t="s">
        <v>6194</v>
      </c>
      <c r="K1288" s="25" t="s">
        <v>6195</v>
      </c>
      <c r="L1288" s="49" t="s">
        <v>6196</v>
      </c>
      <c r="M1288" s="25" t="s">
        <v>3159</v>
      </c>
      <c r="N1288" s="49" t="s">
        <v>3160</v>
      </c>
      <c r="O1288" s="25"/>
      <c r="P1288" s="49"/>
      <c r="Q1288" s="49"/>
      <c r="R1288" s="50" t="s">
        <v>48</v>
      </c>
      <c r="S1288" s="52" t="s">
        <v>69</v>
      </c>
    </row>
    <row r="1289" customFormat="false" ht="15" hidden="false" customHeight="true" outlineLevel="0" collapsed="false">
      <c r="A1289" s="46" t="n">
        <v>1300</v>
      </c>
      <c r="B1289" s="24" t="s">
        <v>6197</v>
      </c>
      <c r="C1289" s="47"/>
      <c r="D1289" s="47" t="s">
        <v>6198</v>
      </c>
      <c r="E1289" s="46" t="s">
        <v>20</v>
      </c>
      <c r="F1289" s="46" t="s">
        <v>2104</v>
      </c>
      <c r="G1289" s="24" t="s">
        <v>6199</v>
      </c>
      <c r="H1289" s="48" t="n">
        <v>5</v>
      </c>
      <c r="I1289" s="46" t="s">
        <v>3294</v>
      </c>
      <c r="J1289" s="47" t="s">
        <v>6200</v>
      </c>
      <c r="K1289" s="24" t="s">
        <v>2554</v>
      </c>
      <c r="L1289" s="46" t="s">
        <v>6201</v>
      </c>
      <c r="M1289" s="24" t="s">
        <v>5918</v>
      </c>
      <c r="N1289" s="46" t="s">
        <v>5911</v>
      </c>
      <c r="O1289" s="24" t="s">
        <v>6202</v>
      </c>
      <c r="P1289" s="46" t="s">
        <v>2356</v>
      </c>
      <c r="Q1289" s="46"/>
      <c r="R1289" s="47" t="s">
        <v>48</v>
      </c>
      <c r="S1289" s="47"/>
    </row>
    <row r="1290" customFormat="false" ht="15" hidden="false" customHeight="true" outlineLevel="0" collapsed="false">
      <c r="A1290" s="49" t="n">
        <v>1301</v>
      </c>
      <c r="B1290" s="25" t="s">
        <v>6203</v>
      </c>
      <c r="C1290" s="50"/>
      <c r="D1290" s="50" t="s">
        <v>4879</v>
      </c>
      <c r="E1290" s="49" t="s">
        <v>20</v>
      </c>
      <c r="F1290" s="49" t="s">
        <v>2104</v>
      </c>
      <c r="G1290" s="25" t="s">
        <v>5942</v>
      </c>
      <c r="H1290" s="51" t="n">
        <v>5</v>
      </c>
      <c r="I1290" s="49" t="s">
        <v>3139</v>
      </c>
      <c r="J1290" s="50" t="s">
        <v>6204</v>
      </c>
      <c r="K1290" s="25" t="s">
        <v>4987</v>
      </c>
      <c r="L1290" s="49" t="s">
        <v>6205</v>
      </c>
      <c r="M1290" s="25" t="s">
        <v>2679</v>
      </c>
      <c r="N1290" s="49" t="s">
        <v>4884</v>
      </c>
      <c r="O1290" s="25"/>
      <c r="P1290" s="49"/>
      <c r="Q1290" s="49"/>
      <c r="R1290" s="50" t="s">
        <v>48</v>
      </c>
      <c r="S1290" s="52" t="s">
        <v>69</v>
      </c>
    </row>
    <row r="1291" customFormat="false" ht="15" hidden="false" customHeight="true" outlineLevel="0" collapsed="false">
      <c r="A1291" s="46" t="n">
        <v>1302</v>
      </c>
      <c r="B1291" s="24" t="s">
        <v>5941</v>
      </c>
      <c r="C1291" s="47"/>
      <c r="D1291" s="47" t="s">
        <v>5811</v>
      </c>
      <c r="E1291" s="46" t="s">
        <v>20</v>
      </c>
      <c r="F1291" s="46" t="s">
        <v>2104</v>
      </c>
      <c r="G1291" s="24" t="s">
        <v>3585</v>
      </c>
      <c r="H1291" s="48" t="n">
        <v>5</v>
      </c>
      <c r="I1291" s="46" t="s">
        <v>3171</v>
      </c>
      <c r="J1291" s="47" t="s">
        <v>6206</v>
      </c>
      <c r="K1291" s="24" t="s">
        <v>6207</v>
      </c>
      <c r="L1291" s="46" t="s">
        <v>6208</v>
      </c>
      <c r="M1291" s="24" t="s">
        <v>5946</v>
      </c>
      <c r="N1291" s="46" t="s">
        <v>5947</v>
      </c>
      <c r="O1291" s="24" t="s">
        <v>6159</v>
      </c>
      <c r="P1291" s="46" t="s">
        <v>5947</v>
      </c>
      <c r="Q1291" s="46"/>
      <c r="R1291" s="47" t="s">
        <v>48</v>
      </c>
      <c r="S1291" s="47"/>
    </row>
    <row r="1292" customFormat="false" ht="15" hidden="false" customHeight="true" outlineLevel="0" collapsed="false">
      <c r="A1292" s="49" t="n">
        <v>1303</v>
      </c>
      <c r="B1292" s="25" t="s">
        <v>6209</v>
      </c>
      <c r="C1292" s="50"/>
      <c r="D1292" s="50" t="s">
        <v>2248</v>
      </c>
      <c r="E1292" s="49" t="s">
        <v>20</v>
      </c>
      <c r="F1292" s="49" t="s">
        <v>2104</v>
      </c>
      <c r="G1292" s="25" t="s">
        <v>3194</v>
      </c>
      <c r="H1292" s="51" t="n">
        <v>5</v>
      </c>
      <c r="I1292" s="49" t="s">
        <v>3294</v>
      </c>
      <c r="J1292" s="50" t="s">
        <v>6210</v>
      </c>
      <c r="K1292" s="25" t="s">
        <v>6211</v>
      </c>
      <c r="L1292" s="49" t="s">
        <v>6212</v>
      </c>
      <c r="M1292" s="25" t="s">
        <v>5955</v>
      </c>
      <c r="N1292" s="49" t="s">
        <v>5956</v>
      </c>
      <c r="O1292" s="25" t="s">
        <v>5955</v>
      </c>
      <c r="P1292" s="49" t="s">
        <v>5956</v>
      </c>
      <c r="Q1292" s="49"/>
      <c r="R1292" s="50" t="s">
        <v>50</v>
      </c>
      <c r="S1292" s="50"/>
    </row>
    <row r="1293" customFormat="false" ht="15" hidden="false" customHeight="true" outlineLevel="0" collapsed="false">
      <c r="A1293" s="46" t="n">
        <v>1304</v>
      </c>
      <c r="B1293" s="24" t="s">
        <v>6209</v>
      </c>
      <c r="C1293" s="47"/>
      <c r="D1293" s="47" t="s">
        <v>2248</v>
      </c>
      <c r="E1293" s="46" t="s">
        <v>20</v>
      </c>
      <c r="F1293" s="46" t="s">
        <v>2104</v>
      </c>
      <c r="G1293" s="24" t="s">
        <v>3472</v>
      </c>
      <c r="H1293" s="48" t="n">
        <v>5</v>
      </c>
      <c r="I1293" s="46" t="s">
        <v>5885</v>
      </c>
      <c r="J1293" s="47" t="s">
        <v>6213</v>
      </c>
      <c r="K1293" s="24" t="s">
        <v>6214</v>
      </c>
      <c r="L1293" s="46" t="s">
        <v>6215</v>
      </c>
      <c r="M1293" s="24" t="s">
        <v>5955</v>
      </c>
      <c r="N1293" s="46" t="s">
        <v>5956</v>
      </c>
      <c r="O1293" s="24" t="s">
        <v>5955</v>
      </c>
      <c r="P1293" s="46" t="s">
        <v>5956</v>
      </c>
      <c r="Q1293" s="46"/>
      <c r="R1293" s="47" t="s">
        <v>49</v>
      </c>
      <c r="S1293" s="47"/>
    </row>
    <row r="1294" customFormat="false" ht="15" hidden="false" customHeight="true" outlineLevel="0" collapsed="false">
      <c r="A1294" s="49" t="n">
        <v>1305</v>
      </c>
      <c r="B1294" s="25" t="s">
        <v>6209</v>
      </c>
      <c r="C1294" s="50"/>
      <c r="D1294" s="50" t="s">
        <v>2248</v>
      </c>
      <c r="E1294" s="49" t="s">
        <v>20</v>
      </c>
      <c r="F1294" s="49" t="s">
        <v>2104</v>
      </c>
      <c r="G1294" s="25" t="s">
        <v>3472</v>
      </c>
      <c r="H1294" s="51" t="n">
        <v>5</v>
      </c>
      <c r="I1294" s="49" t="s">
        <v>6170</v>
      </c>
      <c r="J1294" s="50" t="s">
        <v>6216</v>
      </c>
      <c r="K1294" s="25" t="s">
        <v>1509</v>
      </c>
      <c r="L1294" s="49" t="s">
        <v>6217</v>
      </c>
      <c r="M1294" s="25" t="s">
        <v>5955</v>
      </c>
      <c r="N1294" s="49" t="s">
        <v>5956</v>
      </c>
      <c r="O1294" s="25" t="s">
        <v>5955</v>
      </c>
      <c r="P1294" s="49" t="s">
        <v>5956</v>
      </c>
      <c r="Q1294" s="49"/>
      <c r="R1294" s="50" t="s">
        <v>49</v>
      </c>
      <c r="S1294" s="50"/>
    </row>
    <row r="1295" customFormat="false" ht="15" hidden="false" customHeight="true" outlineLevel="0" collapsed="false">
      <c r="A1295" s="46" t="n">
        <v>1306</v>
      </c>
      <c r="B1295" s="24" t="s">
        <v>6209</v>
      </c>
      <c r="C1295" s="47"/>
      <c r="D1295" s="47" t="s">
        <v>2248</v>
      </c>
      <c r="E1295" s="46" t="s">
        <v>20</v>
      </c>
      <c r="F1295" s="46" t="s">
        <v>2104</v>
      </c>
      <c r="G1295" s="24" t="s">
        <v>3472</v>
      </c>
      <c r="H1295" s="48" t="n">
        <v>5</v>
      </c>
      <c r="I1295" s="46" t="s">
        <v>3294</v>
      </c>
      <c r="J1295" s="47" t="s">
        <v>6218</v>
      </c>
      <c r="K1295" s="24" t="s">
        <v>6219</v>
      </c>
      <c r="L1295" s="46" t="s">
        <v>6220</v>
      </c>
      <c r="M1295" s="24" t="s">
        <v>5955</v>
      </c>
      <c r="N1295" s="46" t="s">
        <v>5956</v>
      </c>
      <c r="O1295" s="24" t="s">
        <v>5955</v>
      </c>
      <c r="P1295" s="46" t="s">
        <v>5956</v>
      </c>
      <c r="Q1295" s="46"/>
      <c r="R1295" s="47" t="s">
        <v>49</v>
      </c>
      <c r="S1295" s="47"/>
    </row>
    <row r="1296" customFormat="false" ht="15" hidden="false" customHeight="true" outlineLevel="0" collapsed="false">
      <c r="A1296" s="49" t="n">
        <v>1307</v>
      </c>
      <c r="B1296" s="25" t="s">
        <v>6209</v>
      </c>
      <c r="C1296" s="50"/>
      <c r="D1296" s="50" t="s">
        <v>2248</v>
      </c>
      <c r="E1296" s="49" t="s">
        <v>20</v>
      </c>
      <c r="F1296" s="49" t="s">
        <v>2104</v>
      </c>
      <c r="G1296" s="25" t="s">
        <v>3472</v>
      </c>
      <c r="H1296" s="51" t="n">
        <v>5</v>
      </c>
      <c r="I1296" s="49" t="s">
        <v>3294</v>
      </c>
      <c r="J1296" s="50" t="s">
        <v>6221</v>
      </c>
      <c r="K1296" s="25" t="s">
        <v>6222</v>
      </c>
      <c r="L1296" s="49" t="s">
        <v>6223</v>
      </c>
      <c r="M1296" s="25" t="s">
        <v>5955</v>
      </c>
      <c r="N1296" s="49" t="s">
        <v>5956</v>
      </c>
      <c r="O1296" s="25" t="s">
        <v>5955</v>
      </c>
      <c r="P1296" s="49" t="s">
        <v>5956</v>
      </c>
      <c r="Q1296" s="49"/>
      <c r="R1296" s="50" t="s">
        <v>49</v>
      </c>
      <c r="S1296" s="50"/>
    </row>
    <row r="1297" customFormat="false" ht="15" hidden="false" customHeight="true" outlineLevel="0" collapsed="false">
      <c r="A1297" s="46" t="n">
        <v>1308</v>
      </c>
      <c r="B1297" s="24" t="s">
        <v>5941</v>
      </c>
      <c r="C1297" s="47"/>
      <c r="D1297" s="47" t="s">
        <v>5811</v>
      </c>
      <c r="E1297" s="46" t="s">
        <v>20</v>
      </c>
      <c r="F1297" s="46" t="s">
        <v>2104</v>
      </c>
      <c r="G1297" s="24" t="s">
        <v>3472</v>
      </c>
      <c r="H1297" s="48" t="n">
        <v>5</v>
      </c>
      <c r="I1297" s="46" t="s">
        <v>3092</v>
      </c>
      <c r="J1297" s="47" t="s">
        <v>6224</v>
      </c>
      <c r="K1297" s="24" t="s">
        <v>5816</v>
      </c>
      <c r="L1297" s="46" t="s">
        <v>6225</v>
      </c>
      <c r="M1297" s="24" t="s">
        <v>5946</v>
      </c>
      <c r="N1297" s="46" t="s">
        <v>5947</v>
      </c>
      <c r="O1297" s="24" t="s">
        <v>6159</v>
      </c>
      <c r="P1297" s="46" t="s">
        <v>5947</v>
      </c>
      <c r="Q1297" s="46"/>
      <c r="R1297" s="47" t="s">
        <v>49</v>
      </c>
      <c r="S1297" s="47"/>
    </row>
    <row r="1298" customFormat="false" ht="15" hidden="false" customHeight="true" outlineLevel="0" collapsed="false">
      <c r="A1298" s="49" t="n">
        <v>1309</v>
      </c>
      <c r="B1298" s="25" t="s">
        <v>5941</v>
      </c>
      <c r="C1298" s="50"/>
      <c r="D1298" s="50" t="s">
        <v>5811</v>
      </c>
      <c r="E1298" s="49" t="s">
        <v>20</v>
      </c>
      <c r="F1298" s="49" t="s">
        <v>2104</v>
      </c>
      <c r="G1298" s="25" t="s">
        <v>3194</v>
      </c>
      <c r="H1298" s="51" t="n">
        <v>5</v>
      </c>
      <c r="I1298" s="49" t="s">
        <v>3102</v>
      </c>
      <c r="J1298" s="50" t="s">
        <v>6226</v>
      </c>
      <c r="K1298" s="25" t="s">
        <v>6227</v>
      </c>
      <c r="L1298" s="49" t="s">
        <v>6228</v>
      </c>
      <c r="M1298" s="25" t="s">
        <v>5946</v>
      </c>
      <c r="N1298" s="49" t="s">
        <v>5947</v>
      </c>
      <c r="O1298" s="25" t="s">
        <v>6159</v>
      </c>
      <c r="P1298" s="49" t="s">
        <v>5947</v>
      </c>
      <c r="Q1298" s="49"/>
      <c r="R1298" s="50" t="s">
        <v>50</v>
      </c>
      <c r="S1298" s="50"/>
    </row>
    <row r="1299" customFormat="false" ht="15" hidden="false" customHeight="true" outlineLevel="0" collapsed="false">
      <c r="A1299" s="46" t="n">
        <v>1310</v>
      </c>
      <c r="B1299" s="24" t="s">
        <v>6229</v>
      </c>
      <c r="C1299" s="47"/>
      <c r="D1299" s="47" t="s">
        <v>20</v>
      </c>
      <c r="E1299" s="46" t="s">
        <v>20</v>
      </c>
      <c r="F1299" s="46" t="s">
        <v>2104</v>
      </c>
      <c r="G1299" s="24" t="s">
        <v>4880</v>
      </c>
      <c r="H1299" s="48" t="n">
        <v>5</v>
      </c>
      <c r="I1299" s="46" t="s">
        <v>5822</v>
      </c>
      <c r="J1299" s="47" t="s">
        <v>6230</v>
      </c>
      <c r="K1299" s="24" t="s">
        <v>6231</v>
      </c>
      <c r="L1299" s="46" t="s">
        <v>6232</v>
      </c>
      <c r="M1299" s="24" t="s">
        <v>5973</v>
      </c>
      <c r="N1299" s="46" t="s">
        <v>5974</v>
      </c>
      <c r="O1299" s="24" t="s">
        <v>2821</v>
      </c>
      <c r="P1299" s="46" t="s">
        <v>5974</v>
      </c>
      <c r="Q1299" s="46"/>
      <c r="R1299" s="47" t="s">
        <v>49</v>
      </c>
      <c r="S1299" s="47"/>
    </row>
    <row r="1300" customFormat="false" ht="15" hidden="false" customHeight="true" outlineLevel="0" collapsed="false">
      <c r="A1300" s="49" t="n">
        <v>1311</v>
      </c>
      <c r="B1300" s="25" t="s">
        <v>6229</v>
      </c>
      <c r="C1300" s="50"/>
      <c r="D1300" s="50" t="s">
        <v>20</v>
      </c>
      <c r="E1300" s="49" t="s">
        <v>20</v>
      </c>
      <c r="F1300" s="49" t="s">
        <v>2104</v>
      </c>
      <c r="G1300" s="25" t="s">
        <v>3431</v>
      </c>
      <c r="H1300" s="51" t="n">
        <v>5</v>
      </c>
      <c r="I1300" s="49" t="s">
        <v>5822</v>
      </c>
      <c r="J1300" s="50" t="s">
        <v>6233</v>
      </c>
      <c r="K1300" s="25" t="s">
        <v>6231</v>
      </c>
      <c r="L1300" s="49" t="s">
        <v>6232</v>
      </c>
      <c r="M1300" s="25" t="s">
        <v>5973</v>
      </c>
      <c r="N1300" s="49" t="s">
        <v>5974</v>
      </c>
      <c r="O1300" s="25" t="s">
        <v>2821</v>
      </c>
      <c r="P1300" s="49" t="s">
        <v>5974</v>
      </c>
      <c r="Q1300" s="49"/>
      <c r="R1300" s="50" t="s">
        <v>48</v>
      </c>
      <c r="S1300" s="50"/>
    </row>
    <row r="1301" customFormat="false" ht="15" hidden="false" customHeight="true" outlineLevel="0" collapsed="false">
      <c r="A1301" s="46" t="n">
        <v>1312</v>
      </c>
      <c r="B1301" s="24" t="s">
        <v>6229</v>
      </c>
      <c r="C1301" s="47"/>
      <c r="D1301" s="47" t="s">
        <v>20</v>
      </c>
      <c r="E1301" s="46" t="s">
        <v>20</v>
      </c>
      <c r="F1301" s="46" t="s">
        <v>2104</v>
      </c>
      <c r="G1301" s="24" t="s">
        <v>3431</v>
      </c>
      <c r="H1301" s="48" t="n">
        <v>5</v>
      </c>
      <c r="I1301" s="46" t="s">
        <v>5822</v>
      </c>
      <c r="J1301" s="47" t="s">
        <v>6234</v>
      </c>
      <c r="K1301" s="24" t="s">
        <v>6235</v>
      </c>
      <c r="L1301" s="46" t="s">
        <v>6236</v>
      </c>
      <c r="M1301" s="24" t="s">
        <v>5973</v>
      </c>
      <c r="N1301" s="46" t="s">
        <v>5974</v>
      </c>
      <c r="O1301" s="24" t="s">
        <v>2821</v>
      </c>
      <c r="P1301" s="46" t="s">
        <v>5974</v>
      </c>
      <c r="Q1301" s="46"/>
      <c r="R1301" s="47" t="s">
        <v>48</v>
      </c>
      <c r="S1301" s="47"/>
    </row>
    <row r="1302" customFormat="false" ht="15" hidden="false" customHeight="true" outlineLevel="0" collapsed="false">
      <c r="A1302" s="49" t="n">
        <v>1313</v>
      </c>
      <c r="B1302" s="25" t="s">
        <v>5941</v>
      </c>
      <c r="C1302" s="50"/>
      <c r="D1302" s="50" t="s">
        <v>5811</v>
      </c>
      <c r="E1302" s="49" t="s">
        <v>20</v>
      </c>
      <c r="F1302" s="49" t="s">
        <v>2104</v>
      </c>
      <c r="G1302" s="25" t="s">
        <v>3472</v>
      </c>
      <c r="H1302" s="51" t="n">
        <v>5</v>
      </c>
      <c r="I1302" s="49" t="s">
        <v>3139</v>
      </c>
      <c r="J1302" s="50" t="s">
        <v>6237</v>
      </c>
      <c r="K1302" s="25" t="s">
        <v>6238</v>
      </c>
      <c r="L1302" s="49" t="s">
        <v>6239</v>
      </c>
      <c r="M1302" s="25" t="s">
        <v>5946</v>
      </c>
      <c r="N1302" s="49" t="s">
        <v>5947</v>
      </c>
      <c r="O1302" s="25" t="s">
        <v>6159</v>
      </c>
      <c r="P1302" s="49" t="s">
        <v>5947</v>
      </c>
      <c r="Q1302" s="49"/>
      <c r="R1302" s="50" t="s">
        <v>49</v>
      </c>
      <c r="S1302" s="50"/>
    </row>
    <row r="1303" customFormat="false" ht="15" hidden="false" customHeight="true" outlineLevel="0" collapsed="false">
      <c r="A1303" s="46" t="n">
        <v>1314</v>
      </c>
      <c r="B1303" s="24" t="s">
        <v>6240</v>
      </c>
      <c r="C1303" s="47"/>
      <c r="D1303" s="47" t="s">
        <v>2248</v>
      </c>
      <c r="E1303" s="46" t="s">
        <v>20</v>
      </c>
      <c r="F1303" s="46" t="s">
        <v>2104</v>
      </c>
      <c r="G1303" s="24" t="s">
        <v>3476</v>
      </c>
      <c r="H1303" s="48" t="n">
        <v>5</v>
      </c>
      <c r="I1303" s="46" t="s">
        <v>3155</v>
      </c>
      <c r="J1303" s="47" t="s">
        <v>6241</v>
      </c>
      <c r="K1303" s="24" t="s">
        <v>6242</v>
      </c>
      <c r="L1303" s="46" t="s">
        <v>6243</v>
      </c>
      <c r="M1303" s="24" t="s">
        <v>5879</v>
      </c>
      <c r="N1303" s="46" t="s">
        <v>5880</v>
      </c>
      <c r="O1303" s="24" t="s">
        <v>4876</v>
      </c>
      <c r="P1303" s="46" t="s">
        <v>4877</v>
      </c>
      <c r="Q1303" s="46"/>
      <c r="R1303" s="47" t="s">
        <v>48</v>
      </c>
      <c r="S1303" s="47"/>
    </row>
    <row r="1304" customFormat="false" ht="15" hidden="false" customHeight="true" outlineLevel="0" collapsed="false">
      <c r="A1304" s="49" t="n">
        <v>1315</v>
      </c>
      <c r="B1304" s="25" t="s">
        <v>6229</v>
      </c>
      <c r="C1304" s="50"/>
      <c r="D1304" s="50" t="s">
        <v>20</v>
      </c>
      <c r="E1304" s="49" t="s">
        <v>20</v>
      </c>
      <c r="F1304" s="49" t="s">
        <v>2104</v>
      </c>
      <c r="G1304" s="25" t="s">
        <v>3431</v>
      </c>
      <c r="H1304" s="51" t="n">
        <v>5</v>
      </c>
      <c r="I1304" s="49" t="s">
        <v>3139</v>
      </c>
      <c r="J1304" s="50" t="s">
        <v>6244</v>
      </c>
      <c r="K1304" s="25" t="s">
        <v>6245</v>
      </c>
      <c r="L1304" s="49" t="s">
        <v>6246</v>
      </c>
      <c r="M1304" s="25" t="s">
        <v>5973</v>
      </c>
      <c r="N1304" s="49" t="s">
        <v>5974</v>
      </c>
      <c r="O1304" s="25" t="s">
        <v>2821</v>
      </c>
      <c r="P1304" s="49" t="s">
        <v>5974</v>
      </c>
      <c r="Q1304" s="49"/>
      <c r="R1304" s="50" t="s">
        <v>48</v>
      </c>
      <c r="S1304" s="50"/>
    </row>
    <row r="1305" customFormat="false" ht="15" hidden="false" customHeight="true" outlineLevel="0" collapsed="false">
      <c r="A1305" s="46" t="n">
        <v>1316</v>
      </c>
      <c r="B1305" s="24" t="s">
        <v>6240</v>
      </c>
      <c r="C1305" s="47"/>
      <c r="D1305" s="47" t="s">
        <v>2248</v>
      </c>
      <c r="E1305" s="46" t="s">
        <v>20</v>
      </c>
      <c r="F1305" s="46" t="s">
        <v>2104</v>
      </c>
      <c r="G1305" s="24" t="s">
        <v>3472</v>
      </c>
      <c r="H1305" s="48" t="n">
        <v>5</v>
      </c>
      <c r="I1305" s="46" t="s">
        <v>6170</v>
      </c>
      <c r="J1305" s="47" t="s">
        <v>6247</v>
      </c>
      <c r="K1305" s="24" t="s">
        <v>6248</v>
      </c>
      <c r="L1305" s="46" t="s">
        <v>6249</v>
      </c>
      <c r="M1305" s="24" t="s">
        <v>5879</v>
      </c>
      <c r="N1305" s="46" t="s">
        <v>5880</v>
      </c>
      <c r="O1305" s="24" t="s">
        <v>4876</v>
      </c>
      <c r="P1305" s="46" t="s">
        <v>4877</v>
      </c>
      <c r="Q1305" s="46"/>
      <c r="R1305" s="47" t="s">
        <v>49</v>
      </c>
      <c r="S1305" s="47"/>
    </row>
    <row r="1306" customFormat="false" ht="15" hidden="false" customHeight="true" outlineLevel="0" collapsed="false">
      <c r="A1306" s="49" t="n">
        <v>1317</v>
      </c>
      <c r="B1306" s="25" t="s">
        <v>6229</v>
      </c>
      <c r="C1306" s="50"/>
      <c r="D1306" s="50" t="s">
        <v>20</v>
      </c>
      <c r="E1306" s="49" t="s">
        <v>20</v>
      </c>
      <c r="F1306" s="49" t="s">
        <v>2104</v>
      </c>
      <c r="G1306" s="25" t="s">
        <v>3194</v>
      </c>
      <c r="H1306" s="51" t="n">
        <v>5</v>
      </c>
      <c r="I1306" s="49" t="s">
        <v>5822</v>
      </c>
      <c r="J1306" s="50" t="s">
        <v>6250</v>
      </c>
      <c r="K1306" s="25" t="s">
        <v>2380</v>
      </c>
      <c r="L1306" s="49" t="s">
        <v>6251</v>
      </c>
      <c r="M1306" s="25" t="s">
        <v>5973</v>
      </c>
      <c r="N1306" s="49" t="s">
        <v>5974</v>
      </c>
      <c r="O1306" s="25" t="s">
        <v>2821</v>
      </c>
      <c r="P1306" s="49" t="s">
        <v>5974</v>
      </c>
      <c r="Q1306" s="49"/>
      <c r="R1306" s="50" t="s">
        <v>50</v>
      </c>
      <c r="S1306" s="50"/>
    </row>
    <row r="1307" customFormat="false" ht="15" hidden="false" customHeight="true" outlineLevel="0" collapsed="false">
      <c r="A1307" s="46" t="n">
        <v>1318</v>
      </c>
      <c r="B1307" s="24" t="s">
        <v>6141</v>
      </c>
      <c r="C1307" s="47"/>
      <c r="D1307" s="47" t="s">
        <v>4879</v>
      </c>
      <c r="E1307" s="46" t="s">
        <v>20</v>
      </c>
      <c r="F1307" s="46" t="s">
        <v>2104</v>
      </c>
      <c r="G1307" s="24" t="s">
        <v>4871</v>
      </c>
      <c r="H1307" s="48" t="n">
        <v>5</v>
      </c>
      <c r="I1307" s="46"/>
      <c r="J1307" s="47" t="s">
        <v>6252</v>
      </c>
      <c r="K1307" s="24" t="s">
        <v>1503</v>
      </c>
      <c r="L1307" s="46" t="s">
        <v>6253</v>
      </c>
      <c r="M1307" s="24" t="s">
        <v>2679</v>
      </c>
      <c r="N1307" s="46" t="s">
        <v>4884</v>
      </c>
      <c r="O1307" s="24"/>
      <c r="P1307" s="46"/>
      <c r="Q1307" s="46"/>
      <c r="R1307" s="47" t="s">
        <v>48</v>
      </c>
      <c r="S1307" s="52" t="s">
        <v>3116</v>
      </c>
    </row>
    <row r="1308" customFormat="false" ht="15" hidden="false" customHeight="true" outlineLevel="0" collapsed="false">
      <c r="A1308" s="49" t="n">
        <v>1319</v>
      </c>
      <c r="B1308" s="25" t="s">
        <v>6229</v>
      </c>
      <c r="C1308" s="50"/>
      <c r="D1308" s="50" t="s">
        <v>20</v>
      </c>
      <c r="E1308" s="49" t="s">
        <v>20</v>
      </c>
      <c r="F1308" s="49" t="s">
        <v>2104</v>
      </c>
      <c r="G1308" s="25" t="s">
        <v>4880</v>
      </c>
      <c r="H1308" s="51" t="n">
        <v>5</v>
      </c>
      <c r="I1308" s="49" t="s">
        <v>3139</v>
      </c>
      <c r="J1308" s="50" t="s">
        <v>6254</v>
      </c>
      <c r="K1308" s="25" t="s">
        <v>6255</v>
      </c>
      <c r="L1308" s="49" t="s">
        <v>6256</v>
      </c>
      <c r="M1308" s="25" t="s">
        <v>5973</v>
      </c>
      <c r="N1308" s="49" t="s">
        <v>5974</v>
      </c>
      <c r="O1308" s="25" t="s">
        <v>2821</v>
      </c>
      <c r="P1308" s="49" t="s">
        <v>5974</v>
      </c>
      <c r="Q1308" s="49"/>
      <c r="R1308" s="50" t="s">
        <v>49</v>
      </c>
      <c r="S1308" s="50"/>
    </row>
    <row r="1309" customFormat="false" ht="15" hidden="false" customHeight="true" outlineLevel="0" collapsed="false">
      <c r="A1309" s="46" t="n">
        <v>1320</v>
      </c>
      <c r="B1309" s="24" t="s">
        <v>6257</v>
      </c>
      <c r="C1309" s="47"/>
      <c r="D1309" s="47" t="s">
        <v>2248</v>
      </c>
      <c r="E1309" s="46" t="s">
        <v>20</v>
      </c>
      <c r="F1309" s="46" t="s">
        <v>2104</v>
      </c>
      <c r="G1309" s="24" t="s">
        <v>3472</v>
      </c>
      <c r="H1309" s="48" t="n">
        <v>5</v>
      </c>
      <c r="I1309" s="46" t="s">
        <v>3294</v>
      </c>
      <c r="J1309" s="47" t="s">
        <v>6258</v>
      </c>
      <c r="K1309" s="24" t="s">
        <v>6259</v>
      </c>
      <c r="L1309" s="46" t="s">
        <v>6260</v>
      </c>
      <c r="M1309" s="24" t="s">
        <v>5955</v>
      </c>
      <c r="N1309" s="46" t="s">
        <v>5956</v>
      </c>
      <c r="O1309" s="24" t="s">
        <v>5955</v>
      </c>
      <c r="P1309" s="46" t="s">
        <v>5956</v>
      </c>
      <c r="Q1309" s="46"/>
      <c r="R1309" s="47" t="s">
        <v>49</v>
      </c>
      <c r="S1309" s="47"/>
    </row>
    <row r="1310" customFormat="false" ht="15" hidden="false" customHeight="true" outlineLevel="0" collapsed="false">
      <c r="A1310" s="49" t="n">
        <v>1321</v>
      </c>
      <c r="B1310" s="25" t="s">
        <v>6257</v>
      </c>
      <c r="C1310" s="50"/>
      <c r="D1310" s="50" t="s">
        <v>2248</v>
      </c>
      <c r="E1310" s="49" t="s">
        <v>20</v>
      </c>
      <c r="F1310" s="49" t="s">
        <v>2104</v>
      </c>
      <c r="G1310" s="25" t="s">
        <v>3472</v>
      </c>
      <c r="H1310" s="51" t="n">
        <v>5</v>
      </c>
      <c r="I1310" s="49" t="s">
        <v>5885</v>
      </c>
      <c r="J1310" s="50" t="s">
        <v>6261</v>
      </c>
      <c r="K1310" s="25" t="s">
        <v>6262</v>
      </c>
      <c r="L1310" s="49" t="s">
        <v>6263</v>
      </c>
      <c r="M1310" s="25" t="s">
        <v>5955</v>
      </c>
      <c r="N1310" s="49" t="s">
        <v>5956</v>
      </c>
      <c r="O1310" s="25" t="s">
        <v>5955</v>
      </c>
      <c r="P1310" s="49" t="s">
        <v>5956</v>
      </c>
      <c r="Q1310" s="49"/>
      <c r="R1310" s="50" t="s">
        <v>49</v>
      </c>
      <c r="S1310" s="50"/>
    </row>
    <row r="1311" customFormat="false" ht="15" hidden="false" customHeight="true" outlineLevel="0" collapsed="false">
      <c r="A1311" s="46" t="n">
        <v>1322</v>
      </c>
      <c r="B1311" s="24" t="s">
        <v>6264</v>
      </c>
      <c r="C1311" s="47"/>
      <c r="D1311" s="47" t="s">
        <v>4870</v>
      </c>
      <c r="E1311" s="46" t="s">
        <v>20</v>
      </c>
      <c r="F1311" s="46" t="s">
        <v>2104</v>
      </c>
      <c r="G1311" s="24" t="s">
        <v>6076</v>
      </c>
      <c r="H1311" s="48" t="n">
        <v>5</v>
      </c>
      <c r="I1311" s="46" t="s">
        <v>3102</v>
      </c>
      <c r="J1311" s="47" t="s">
        <v>6265</v>
      </c>
      <c r="K1311" s="24" t="s">
        <v>6266</v>
      </c>
      <c r="L1311" s="46" t="s">
        <v>6267</v>
      </c>
      <c r="M1311" s="24" t="s">
        <v>5893</v>
      </c>
      <c r="N1311" s="46" t="s">
        <v>5894</v>
      </c>
      <c r="O1311" s="24" t="s">
        <v>2355</v>
      </c>
      <c r="P1311" s="46" t="s">
        <v>2356</v>
      </c>
      <c r="Q1311" s="46"/>
      <c r="R1311" s="47" t="s">
        <v>49</v>
      </c>
      <c r="S1311" s="47"/>
    </row>
    <row r="1312" customFormat="false" ht="15" hidden="false" customHeight="true" outlineLevel="0" collapsed="false">
      <c r="A1312" s="49" t="n">
        <v>1323</v>
      </c>
      <c r="B1312" s="25" t="s">
        <v>6264</v>
      </c>
      <c r="C1312" s="50"/>
      <c r="D1312" s="50" t="s">
        <v>4870</v>
      </c>
      <c r="E1312" s="49" t="s">
        <v>20</v>
      </c>
      <c r="F1312" s="49" t="s">
        <v>2104</v>
      </c>
      <c r="G1312" s="25" t="s">
        <v>3472</v>
      </c>
      <c r="H1312" s="51" t="n">
        <v>5</v>
      </c>
      <c r="I1312" s="49" t="s">
        <v>3102</v>
      </c>
      <c r="J1312" s="50" t="s">
        <v>6268</v>
      </c>
      <c r="K1312" s="25" t="s">
        <v>6269</v>
      </c>
      <c r="L1312" s="49" t="s">
        <v>6270</v>
      </c>
      <c r="M1312" s="25" t="s">
        <v>5893</v>
      </c>
      <c r="N1312" s="49" t="s">
        <v>5894</v>
      </c>
      <c r="O1312" s="25" t="s">
        <v>2355</v>
      </c>
      <c r="P1312" s="49" t="s">
        <v>2356</v>
      </c>
      <c r="Q1312" s="49"/>
      <c r="R1312" s="50" t="s">
        <v>49</v>
      </c>
      <c r="S1312" s="50"/>
    </row>
    <row r="1313" customFormat="false" ht="15" hidden="false" customHeight="true" outlineLevel="0" collapsed="false">
      <c r="A1313" s="46" t="n">
        <v>1324</v>
      </c>
      <c r="B1313" s="24" t="s">
        <v>5989</v>
      </c>
      <c r="C1313" s="47"/>
      <c r="D1313" s="47" t="s">
        <v>4870</v>
      </c>
      <c r="E1313" s="46" t="s">
        <v>20</v>
      </c>
      <c r="F1313" s="46" t="s">
        <v>2104</v>
      </c>
      <c r="G1313" s="24" t="s">
        <v>6076</v>
      </c>
      <c r="H1313" s="48" t="n">
        <v>5</v>
      </c>
      <c r="I1313" s="46" t="s">
        <v>3102</v>
      </c>
      <c r="J1313" s="47" t="s">
        <v>6271</v>
      </c>
      <c r="K1313" s="24" t="s">
        <v>6272</v>
      </c>
      <c r="L1313" s="46" t="s">
        <v>6273</v>
      </c>
      <c r="M1313" s="24" t="s">
        <v>5893</v>
      </c>
      <c r="N1313" s="46" t="s">
        <v>5894</v>
      </c>
      <c r="O1313" s="24" t="s">
        <v>2355</v>
      </c>
      <c r="P1313" s="46" t="s">
        <v>2356</v>
      </c>
      <c r="Q1313" s="46"/>
      <c r="R1313" s="47" t="s">
        <v>49</v>
      </c>
      <c r="S1313" s="47"/>
    </row>
    <row r="1314" customFormat="false" ht="15" hidden="false" customHeight="true" outlineLevel="0" collapsed="false">
      <c r="A1314" s="49" t="n">
        <v>1325</v>
      </c>
      <c r="B1314" s="25" t="s">
        <v>5937</v>
      </c>
      <c r="C1314" s="50"/>
      <c r="D1314" s="50" t="s">
        <v>4870</v>
      </c>
      <c r="E1314" s="49" t="s">
        <v>20</v>
      </c>
      <c r="F1314" s="49" t="s">
        <v>2104</v>
      </c>
      <c r="G1314" s="25" t="s">
        <v>3194</v>
      </c>
      <c r="H1314" s="51" t="n">
        <v>5</v>
      </c>
      <c r="I1314" s="49" t="s">
        <v>3155</v>
      </c>
      <c r="J1314" s="50" t="s">
        <v>5902</v>
      </c>
      <c r="K1314" s="25" t="s">
        <v>6274</v>
      </c>
      <c r="L1314" s="49" t="s">
        <v>6275</v>
      </c>
      <c r="M1314" s="25" t="s">
        <v>5893</v>
      </c>
      <c r="N1314" s="49" t="s">
        <v>5894</v>
      </c>
      <c r="O1314" s="25" t="s">
        <v>2355</v>
      </c>
      <c r="P1314" s="49" t="s">
        <v>2356</v>
      </c>
      <c r="Q1314" s="49"/>
      <c r="R1314" s="50" t="s">
        <v>50</v>
      </c>
      <c r="S1314" s="50"/>
    </row>
    <row r="1315" customFormat="false" ht="15" hidden="false" customHeight="true" outlineLevel="0" collapsed="false">
      <c r="A1315" s="46" t="n">
        <v>1326</v>
      </c>
      <c r="B1315" s="24" t="s">
        <v>5989</v>
      </c>
      <c r="C1315" s="47"/>
      <c r="D1315" s="47" t="s">
        <v>4870</v>
      </c>
      <c r="E1315" s="46" t="s">
        <v>20</v>
      </c>
      <c r="F1315" s="46" t="s">
        <v>2104</v>
      </c>
      <c r="G1315" s="24" t="s">
        <v>3194</v>
      </c>
      <c r="H1315" s="48" t="n">
        <v>5</v>
      </c>
      <c r="I1315" s="46" t="s">
        <v>3092</v>
      </c>
      <c r="J1315" s="47" t="s">
        <v>5902</v>
      </c>
      <c r="K1315" s="24" t="s">
        <v>6276</v>
      </c>
      <c r="L1315" s="46" t="s">
        <v>6277</v>
      </c>
      <c r="M1315" s="24" t="s">
        <v>5893</v>
      </c>
      <c r="N1315" s="46" t="s">
        <v>5894</v>
      </c>
      <c r="O1315" s="24" t="s">
        <v>2355</v>
      </c>
      <c r="P1315" s="46" t="s">
        <v>2356</v>
      </c>
      <c r="Q1315" s="46"/>
      <c r="R1315" s="47" t="s">
        <v>50</v>
      </c>
      <c r="S1315" s="47"/>
    </row>
    <row r="1316" customFormat="false" ht="15" hidden="false" customHeight="true" outlineLevel="0" collapsed="false">
      <c r="A1316" s="49" t="n">
        <v>1327</v>
      </c>
      <c r="B1316" s="25" t="s">
        <v>6264</v>
      </c>
      <c r="C1316" s="50"/>
      <c r="D1316" s="50" t="s">
        <v>4870</v>
      </c>
      <c r="E1316" s="49" t="s">
        <v>20</v>
      </c>
      <c r="F1316" s="49" t="s">
        <v>2104</v>
      </c>
      <c r="G1316" s="25" t="s">
        <v>6278</v>
      </c>
      <c r="H1316" s="51" t="n">
        <v>5</v>
      </c>
      <c r="I1316" s="49" t="s">
        <v>3294</v>
      </c>
      <c r="J1316" s="50" t="s">
        <v>6279</v>
      </c>
      <c r="K1316" s="25" t="s">
        <v>6280</v>
      </c>
      <c r="L1316" s="49" t="s">
        <v>6281</v>
      </c>
      <c r="M1316" s="25" t="s">
        <v>5893</v>
      </c>
      <c r="N1316" s="49" t="s">
        <v>5894</v>
      </c>
      <c r="O1316" s="25" t="s">
        <v>2355</v>
      </c>
      <c r="P1316" s="49" t="s">
        <v>2356</v>
      </c>
      <c r="Q1316" s="49"/>
      <c r="R1316" s="50" t="s">
        <v>50</v>
      </c>
      <c r="S1316" s="50"/>
    </row>
    <row r="1317" customFormat="false" ht="15" hidden="false" customHeight="true" outlineLevel="0" collapsed="false">
      <c r="A1317" s="46" t="n">
        <v>1328</v>
      </c>
      <c r="B1317" s="24" t="s">
        <v>6282</v>
      </c>
      <c r="C1317" s="47"/>
      <c r="D1317" s="47" t="s">
        <v>2248</v>
      </c>
      <c r="E1317" s="46" t="s">
        <v>20</v>
      </c>
      <c r="F1317" s="46" t="s">
        <v>2104</v>
      </c>
      <c r="G1317" s="24" t="s">
        <v>2335</v>
      </c>
      <c r="H1317" s="48" t="n">
        <v>5</v>
      </c>
      <c r="I1317" s="46" t="s">
        <v>5885</v>
      </c>
      <c r="J1317" s="47" t="s">
        <v>6283</v>
      </c>
      <c r="K1317" s="24" t="s">
        <v>6284</v>
      </c>
      <c r="L1317" s="46" t="s">
        <v>6285</v>
      </c>
      <c r="M1317" s="24" t="s">
        <v>5955</v>
      </c>
      <c r="N1317" s="46" t="s">
        <v>5956</v>
      </c>
      <c r="O1317" s="24" t="s">
        <v>5955</v>
      </c>
      <c r="P1317" s="46" t="s">
        <v>5956</v>
      </c>
      <c r="Q1317" s="46"/>
      <c r="R1317" s="47" t="s">
        <v>48</v>
      </c>
      <c r="S1317" s="47"/>
    </row>
    <row r="1318" customFormat="false" ht="15" hidden="false" customHeight="true" outlineLevel="0" collapsed="false">
      <c r="A1318" s="49" t="n">
        <v>1329</v>
      </c>
      <c r="B1318" s="25" t="s">
        <v>6282</v>
      </c>
      <c r="C1318" s="50"/>
      <c r="D1318" s="50" t="s">
        <v>2248</v>
      </c>
      <c r="E1318" s="49" t="s">
        <v>20</v>
      </c>
      <c r="F1318" s="49" t="s">
        <v>2104</v>
      </c>
      <c r="G1318" s="25" t="s">
        <v>2335</v>
      </c>
      <c r="H1318" s="51" t="n">
        <v>5</v>
      </c>
      <c r="I1318" s="49" t="s">
        <v>3294</v>
      </c>
      <c r="J1318" s="50" t="s">
        <v>6286</v>
      </c>
      <c r="K1318" s="25" t="s">
        <v>6287</v>
      </c>
      <c r="L1318" s="49" t="s">
        <v>6288</v>
      </c>
      <c r="M1318" s="25" t="s">
        <v>5955</v>
      </c>
      <c r="N1318" s="49" t="s">
        <v>5956</v>
      </c>
      <c r="O1318" s="25" t="s">
        <v>5955</v>
      </c>
      <c r="P1318" s="49" t="s">
        <v>5956</v>
      </c>
      <c r="Q1318" s="49"/>
      <c r="R1318" s="50" t="s">
        <v>48</v>
      </c>
      <c r="S1318" s="50"/>
    </row>
    <row r="1319" customFormat="false" ht="15" hidden="false" customHeight="true" outlineLevel="0" collapsed="false">
      <c r="A1319" s="46"/>
      <c r="B1319" s="24" t="s">
        <v>5922</v>
      </c>
      <c r="C1319" s="47"/>
      <c r="D1319" s="47" t="s">
        <v>4870</v>
      </c>
      <c r="E1319" s="46" t="s">
        <v>20</v>
      </c>
      <c r="F1319" s="46" t="s">
        <v>2104</v>
      </c>
      <c r="G1319" s="24" t="s">
        <v>4880</v>
      </c>
      <c r="H1319" s="48" t="n">
        <v>5</v>
      </c>
      <c r="I1319" s="46" t="s">
        <v>6045</v>
      </c>
      <c r="J1319" s="47" t="s">
        <v>6289</v>
      </c>
      <c r="K1319" s="24" t="s">
        <v>5445</v>
      </c>
      <c r="L1319" s="46" t="s">
        <v>6290</v>
      </c>
      <c r="M1319" s="24" t="s">
        <v>2428</v>
      </c>
      <c r="N1319" s="46" t="s">
        <v>6291</v>
      </c>
      <c r="O1319" s="24" t="s">
        <v>6292</v>
      </c>
      <c r="P1319" s="46" t="s">
        <v>4877</v>
      </c>
      <c r="Q1319" s="46"/>
      <c r="R1319" s="47" t="s">
        <v>49</v>
      </c>
      <c r="S1319" s="52" t="s">
        <v>59</v>
      </c>
    </row>
    <row r="1320" customFormat="false" ht="15" hidden="false" customHeight="true" outlineLevel="0" collapsed="false">
      <c r="A1320" s="49"/>
      <c r="B1320" s="25" t="s">
        <v>5922</v>
      </c>
      <c r="C1320" s="50"/>
      <c r="D1320" s="50" t="s">
        <v>4870</v>
      </c>
      <c r="E1320" s="49" t="s">
        <v>20</v>
      </c>
      <c r="F1320" s="49" t="s">
        <v>2104</v>
      </c>
      <c r="G1320" s="25" t="s">
        <v>4880</v>
      </c>
      <c r="H1320" s="51" t="n">
        <v>5</v>
      </c>
      <c r="I1320" s="49" t="s">
        <v>6293</v>
      </c>
      <c r="J1320" s="50" t="s">
        <v>6294</v>
      </c>
      <c r="K1320" s="25" t="s">
        <v>6295</v>
      </c>
      <c r="L1320" s="49" t="s">
        <v>6296</v>
      </c>
      <c r="M1320" s="25" t="s">
        <v>2428</v>
      </c>
      <c r="N1320" s="49" t="s">
        <v>6291</v>
      </c>
      <c r="O1320" s="25" t="s">
        <v>6292</v>
      </c>
      <c r="P1320" s="49" t="s">
        <v>4877</v>
      </c>
      <c r="Q1320" s="49"/>
      <c r="R1320" s="50" t="s">
        <v>49</v>
      </c>
      <c r="S1320" s="52" t="s">
        <v>59</v>
      </c>
    </row>
    <row r="1321" customFormat="false" ht="15" hidden="false" customHeight="true" outlineLevel="0" collapsed="false">
      <c r="A1321" s="46"/>
      <c r="B1321" s="24" t="s">
        <v>6297</v>
      </c>
      <c r="C1321" s="47"/>
      <c r="D1321" s="47" t="s">
        <v>4870</v>
      </c>
      <c r="E1321" s="46" t="s">
        <v>20</v>
      </c>
      <c r="F1321" s="46" t="s">
        <v>2104</v>
      </c>
      <c r="G1321" s="24" t="s">
        <v>3472</v>
      </c>
      <c r="H1321" s="48" t="n">
        <v>5</v>
      </c>
      <c r="I1321" s="46" t="s">
        <v>3155</v>
      </c>
      <c r="J1321" s="47" t="s">
        <v>6298</v>
      </c>
      <c r="K1321" s="24" t="s">
        <v>5696</v>
      </c>
      <c r="L1321" s="46" t="s">
        <v>6299</v>
      </c>
      <c r="M1321" s="24" t="s">
        <v>2428</v>
      </c>
      <c r="N1321" s="46" t="s">
        <v>6291</v>
      </c>
      <c r="O1321" s="24" t="s">
        <v>6292</v>
      </c>
      <c r="P1321" s="46" t="s">
        <v>4877</v>
      </c>
      <c r="Q1321" s="46"/>
      <c r="R1321" s="47" t="s">
        <v>49</v>
      </c>
      <c r="S1321" s="52" t="s">
        <v>59</v>
      </c>
    </row>
    <row r="1322" customFormat="false" ht="15" hidden="false" customHeight="true" outlineLevel="0" collapsed="false">
      <c r="A1322" s="49"/>
      <c r="B1322" s="25" t="s">
        <v>6300</v>
      </c>
      <c r="C1322" s="50"/>
      <c r="D1322" s="50" t="s">
        <v>4870</v>
      </c>
      <c r="E1322" s="49" t="s">
        <v>20</v>
      </c>
      <c r="F1322" s="49" t="s">
        <v>2104</v>
      </c>
      <c r="G1322" s="25" t="s">
        <v>3585</v>
      </c>
      <c r="H1322" s="51" t="n">
        <v>5</v>
      </c>
      <c r="I1322" s="49" t="s">
        <v>3155</v>
      </c>
      <c r="J1322" s="50" t="s">
        <v>6301</v>
      </c>
      <c r="K1322" s="25" t="s">
        <v>3478</v>
      </c>
      <c r="L1322" s="49" t="s">
        <v>6302</v>
      </c>
      <c r="M1322" s="25" t="s">
        <v>2428</v>
      </c>
      <c r="N1322" s="49" t="s">
        <v>6291</v>
      </c>
      <c r="O1322" s="25" t="s">
        <v>6292</v>
      </c>
      <c r="P1322" s="49" t="s">
        <v>4877</v>
      </c>
      <c r="Q1322" s="49"/>
      <c r="R1322" s="50" t="s">
        <v>48</v>
      </c>
      <c r="S1322" s="52" t="s">
        <v>59</v>
      </c>
    </row>
    <row r="1323" customFormat="false" ht="15" hidden="false" customHeight="true" outlineLevel="0" collapsed="false">
      <c r="A1323" s="46"/>
      <c r="B1323" s="24" t="s">
        <v>6303</v>
      </c>
      <c r="C1323" s="47"/>
      <c r="D1323" s="47" t="s">
        <v>4870</v>
      </c>
      <c r="E1323" s="46" t="s">
        <v>20</v>
      </c>
      <c r="F1323" s="46" t="s">
        <v>2104</v>
      </c>
      <c r="G1323" s="24" t="s">
        <v>6304</v>
      </c>
      <c r="H1323" s="48" t="n">
        <v>5</v>
      </c>
      <c r="I1323" s="46" t="s">
        <v>3155</v>
      </c>
      <c r="J1323" s="47" t="s">
        <v>6305</v>
      </c>
      <c r="K1323" s="24" t="s">
        <v>6306</v>
      </c>
      <c r="L1323" s="46" t="s">
        <v>6307</v>
      </c>
      <c r="M1323" s="24" t="s">
        <v>2428</v>
      </c>
      <c r="N1323" s="46" t="s">
        <v>6291</v>
      </c>
      <c r="O1323" s="24" t="s">
        <v>6292</v>
      </c>
      <c r="P1323" s="46" t="s">
        <v>4877</v>
      </c>
      <c r="Q1323" s="46"/>
      <c r="R1323" s="47" t="s">
        <v>48</v>
      </c>
      <c r="S1323" s="52" t="s">
        <v>59</v>
      </c>
    </row>
    <row r="1324" customFormat="false" ht="15" hidden="false" customHeight="true" outlineLevel="0" collapsed="false">
      <c r="A1324" s="49"/>
      <c r="B1324" s="25" t="s">
        <v>6308</v>
      </c>
      <c r="C1324" s="50"/>
      <c r="D1324" s="50" t="s">
        <v>4870</v>
      </c>
      <c r="E1324" s="49" t="s">
        <v>20</v>
      </c>
      <c r="F1324" s="49" t="s">
        <v>2104</v>
      </c>
      <c r="G1324" s="25" t="s">
        <v>4880</v>
      </c>
      <c r="H1324" s="51" t="n">
        <v>5</v>
      </c>
      <c r="I1324" s="49" t="s">
        <v>5885</v>
      </c>
      <c r="J1324" s="50" t="s">
        <v>6309</v>
      </c>
      <c r="K1324" s="25" t="s">
        <v>4266</v>
      </c>
      <c r="L1324" s="49" t="s">
        <v>6310</v>
      </c>
      <c r="M1324" s="25" t="s">
        <v>2428</v>
      </c>
      <c r="N1324" s="49" t="s">
        <v>6291</v>
      </c>
      <c r="O1324" s="25" t="s">
        <v>6292</v>
      </c>
      <c r="P1324" s="49" t="s">
        <v>4877</v>
      </c>
      <c r="Q1324" s="49"/>
      <c r="R1324" s="50" t="s">
        <v>49</v>
      </c>
      <c r="S1324" s="52" t="s">
        <v>59</v>
      </c>
    </row>
    <row r="1325" customFormat="false" ht="15" hidden="false" customHeight="true" outlineLevel="0" collapsed="false">
      <c r="A1325" s="46"/>
      <c r="B1325" s="24" t="s">
        <v>6308</v>
      </c>
      <c r="C1325" s="47"/>
      <c r="D1325" s="47" t="s">
        <v>4870</v>
      </c>
      <c r="E1325" s="46" t="s">
        <v>20</v>
      </c>
      <c r="F1325" s="46" t="s">
        <v>2104</v>
      </c>
      <c r="G1325" s="24" t="s">
        <v>3431</v>
      </c>
      <c r="H1325" s="48" t="n">
        <v>5</v>
      </c>
      <c r="I1325" s="46" t="s">
        <v>3294</v>
      </c>
      <c r="J1325" s="47" t="s">
        <v>6311</v>
      </c>
      <c r="K1325" s="24" t="s">
        <v>3333</v>
      </c>
      <c r="L1325" s="46" t="s">
        <v>6312</v>
      </c>
      <c r="M1325" s="24" t="s">
        <v>2428</v>
      </c>
      <c r="N1325" s="46" t="s">
        <v>6291</v>
      </c>
      <c r="O1325" s="24" t="s">
        <v>6292</v>
      </c>
      <c r="P1325" s="46" t="s">
        <v>4877</v>
      </c>
      <c r="Q1325" s="46"/>
      <c r="R1325" s="47" t="s">
        <v>48</v>
      </c>
      <c r="S1325" s="52" t="s">
        <v>59</v>
      </c>
    </row>
    <row r="1326" customFormat="false" ht="15" hidden="false" customHeight="true" outlineLevel="0" collapsed="false">
      <c r="A1326" s="49"/>
      <c r="B1326" s="25" t="s">
        <v>5874</v>
      </c>
      <c r="C1326" s="50"/>
      <c r="D1326" s="50" t="s">
        <v>2248</v>
      </c>
      <c r="E1326" s="49" t="s">
        <v>20</v>
      </c>
      <c r="F1326" s="49" t="s">
        <v>2104</v>
      </c>
      <c r="G1326" s="25" t="s">
        <v>3472</v>
      </c>
      <c r="H1326" s="51" t="n">
        <v>5</v>
      </c>
      <c r="I1326" s="49" t="s">
        <v>5822</v>
      </c>
      <c r="J1326" s="50" t="s">
        <v>6313</v>
      </c>
      <c r="K1326" s="25" t="s">
        <v>6314</v>
      </c>
      <c r="L1326" s="49" t="s">
        <v>6315</v>
      </c>
      <c r="M1326" s="25" t="s">
        <v>5879</v>
      </c>
      <c r="N1326" s="49" t="s">
        <v>5880</v>
      </c>
      <c r="O1326" s="25" t="s">
        <v>4876</v>
      </c>
      <c r="P1326" s="49" t="s">
        <v>4877</v>
      </c>
      <c r="Q1326" s="49"/>
      <c r="R1326" s="50" t="s">
        <v>49</v>
      </c>
      <c r="S1326" s="52" t="s">
        <v>59</v>
      </c>
    </row>
    <row r="1327" customFormat="false" ht="15" hidden="false" customHeight="true" outlineLevel="0" collapsed="false">
      <c r="A1327" s="46"/>
      <c r="B1327" s="24" t="s">
        <v>5874</v>
      </c>
      <c r="C1327" s="47"/>
      <c r="D1327" s="47" t="s">
        <v>2248</v>
      </c>
      <c r="E1327" s="46" t="s">
        <v>20</v>
      </c>
      <c r="F1327" s="46" t="s">
        <v>2104</v>
      </c>
      <c r="G1327" s="24" t="s">
        <v>3472</v>
      </c>
      <c r="H1327" s="48" t="n">
        <v>5</v>
      </c>
      <c r="I1327" s="46" t="s">
        <v>3139</v>
      </c>
      <c r="J1327" s="47" t="s">
        <v>6316</v>
      </c>
      <c r="K1327" s="24" t="s">
        <v>6317</v>
      </c>
      <c r="L1327" s="46" t="s">
        <v>6318</v>
      </c>
      <c r="M1327" s="24" t="s">
        <v>5879</v>
      </c>
      <c r="N1327" s="46" t="s">
        <v>5880</v>
      </c>
      <c r="O1327" s="24" t="s">
        <v>4876</v>
      </c>
      <c r="P1327" s="46" t="s">
        <v>4877</v>
      </c>
      <c r="Q1327" s="46"/>
      <c r="R1327" s="47" t="s">
        <v>49</v>
      </c>
      <c r="S1327" s="52" t="s">
        <v>59</v>
      </c>
    </row>
    <row r="1328" customFormat="false" ht="15" hidden="false" customHeight="true" outlineLevel="0" collapsed="false">
      <c r="A1328" s="49"/>
      <c r="B1328" s="25" t="s">
        <v>6319</v>
      </c>
      <c r="C1328" s="50"/>
      <c r="D1328" s="50" t="s">
        <v>5811</v>
      </c>
      <c r="E1328" s="49" t="s">
        <v>20</v>
      </c>
      <c r="F1328" s="49" t="s">
        <v>2104</v>
      </c>
      <c r="G1328" s="25" t="s">
        <v>3194</v>
      </c>
      <c r="H1328" s="51" t="n">
        <v>5</v>
      </c>
      <c r="I1328" s="49" t="s">
        <v>3102</v>
      </c>
      <c r="J1328" s="50" t="s">
        <v>6320</v>
      </c>
      <c r="K1328" s="25" t="s">
        <v>6321</v>
      </c>
      <c r="L1328" s="49" t="s">
        <v>6322</v>
      </c>
      <c r="M1328" s="25" t="s">
        <v>5946</v>
      </c>
      <c r="N1328" s="49" t="s">
        <v>6323</v>
      </c>
      <c r="O1328" s="25" t="s">
        <v>6159</v>
      </c>
      <c r="P1328" s="49" t="s">
        <v>6323</v>
      </c>
      <c r="Q1328" s="49"/>
      <c r="R1328" s="50" t="s">
        <v>50</v>
      </c>
      <c r="S1328" s="52" t="s">
        <v>59</v>
      </c>
    </row>
    <row r="1329" customFormat="false" ht="15" hidden="false" customHeight="true" outlineLevel="0" collapsed="false">
      <c r="A1329" s="46"/>
      <c r="B1329" s="24" t="s">
        <v>6324</v>
      </c>
      <c r="C1329" s="47"/>
      <c r="D1329" s="47" t="s">
        <v>5811</v>
      </c>
      <c r="E1329" s="46" t="s">
        <v>20</v>
      </c>
      <c r="F1329" s="46" t="s">
        <v>2104</v>
      </c>
      <c r="G1329" s="24" t="s">
        <v>3194</v>
      </c>
      <c r="H1329" s="48" t="n">
        <v>5</v>
      </c>
      <c r="I1329" s="46" t="s">
        <v>3102</v>
      </c>
      <c r="J1329" s="47" t="s">
        <v>6325</v>
      </c>
      <c r="K1329" s="24" t="s">
        <v>6326</v>
      </c>
      <c r="L1329" s="46" t="s">
        <v>6327</v>
      </c>
      <c r="M1329" s="24" t="s">
        <v>5946</v>
      </c>
      <c r="N1329" s="46" t="s">
        <v>6323</v>
      </c>
      <c r="O1329" s="24" t="s">
        <v>6159</v>
      </c>
      <c r="P1329" s="46" t="s">
        <v>6323</v>
      </c>
      <c r="Q1329" s="46"/>
      <c r="R1329" s="47" t="s">
        <v>50</v>
      </c>
      <c r="S1329" s="52" t="s">
        <v>59</v>
      </c>
    </row>
    <row r="1330" customFormat="false" ht="15" hidden="false" customHeight="true" outlineLevel="0" collapsed="false">
      <c r="A1330" s="49"/>
      <c r="B1330" s="25" t="s">
        <v>6324</v>
      </c>
      <c r="C1330" s="50"/>
      <c r="D1330" s="50" t="s">
        <v>5811</v>
      </c>
      <c r="E1330" s="49" t="s">
        <v>20</v>
      </c>
      <c r="F1330" s="49" t="s">
        <v>2104</v>
      </c>
      <c r="G1330" s="25" t="s">
        <v>3194</v>
      </c>
      <c r="H1330" s="51" t="n">
        <v>5</v>
      </c>
      <c r="I1330" s="49" t="s">
        <v>3102</v>
      </c>
      <c r="J1330" s="50" t="s">
        <v>6328</v>
      </c>
      <c r="K1330" s="25" t="s">
        <v>6329</v>
      </c>
      <c r="L1330" s="49" t="s">
        <v>6330</v>
      </c>
      <c r="M1330" s="25" t="s">
        <v>5946</v>
      </c>
      <c r="N1330" s="49" t="s">
        <v>6323</v>
      </c>
      <c r="O1330" s="25" t="s">
        <v>6159</v>
      </c>
      <c r="P1330" s="49" t="s">
        <v>6323</v>
      </c>
      <c r="Q1330" s="49"/>
      <c r="R1330" s="50" t="s">
        <v>50</v>
      </c>
      <c r="S1330" s="52" t="s">
        <v>59</v>
      </c>
    </row>
    <row r="1331" customFormat="false" ht="15" hidden="false" customHeight="true" outlineLevel="0" collapsed="false">
      <c r="A1331" s="46"/>
      <c r="B1331" s="24" t="s">
        <v>6324</v>
      </c>
      <c r="C1331" s="47"/>
      <c r="D1331" s="47" t="s">
        <v>5811</v>
      </c>
      <c r="E1331" s="46" t="s">
        <v>20</v>
      </c>
      <c r="F1331" s="46" t="s">
        <v>2104</v>
      </c>
      <c r="G1331" s="24" t="s">
        <v>3194</v>
      </c>
      <c r="H1331" s="48" t="n">
        <v>5</v>
      </c>
      <c r="I1331" s="46" t="s">
        <v>3102</v>
      </c>
      <c r="J1331" s="47" t="s">
        <v>6331</v>
      </c>
      <c r="K1331" s="24" t="s">
        <v>6332</v>
      </c>
      <c r="L1331" s="46" t="s">
        <v>6333</v>
      </c>
      <c r="M1331" s="24" t="s">
        <v>5946</v>
      </c>
      <c r="N1331" s="46" t="s">
        <v>6323</v>
      </c>
      <c r="O1331" s="24" t="s">
        <v>6159</v>
      </c>
      <c r="P1331" s="46" t="s">
        <v>6323</v>
      </c>
      <c r="Q1331" s="46"/>
      <c r="R1331" s="47" t="s">
        <v>50</v>
      </c>
      <c r="S1331" s="52" t="s">
        <v>59</v>
      </c>
    </row>
    <row r="1332" customFormat="false" ht="15" hidden="false" customHeight="true" outlineLevel="0" collapsed="false">
      <c r="A1332" s="49"/>
      <c r="B1332" s="25" t="s">
        <v>6334</v>
      </c>
      <c r="C1332" s="50"/>
      <c r="D1332" s="50" t="s">
        <v>4879</v>
      </c>
      <c r="E1332" s="49" t="s">
        <v>20</v>
      </c>
      <c r="F1332" s="49" t="s">
        <v>2104</v>
      </c>
      <c r="G1332" s="25" t="s">
        <v>3194</v>
      </c>
      <c r="H1332" s="51" t="n">
        <v>5</v>
      </c>
      <c r="I1332" s="49"/>
      <c r="J1332" s="50" t="s">
        <v>6335</v>
      </c>
      <c r="K1332" s="25" t="s">
        <v>6336</v>
      </c>
      <c r="L1332" s="49" t="s">
        <v>6337</v>
      </c>
      <c r="M1332" s="25" t="s">
        <v>2679</v>
      </c>
      <c r="N1332" s="49" t="s">
        <v>6338</v>
      </c>
      <c r="O1332" s="25"/>
      <c r="P1332" s="49"/>
      <c r="Q1332" s="49"/>
      <c r="R1332" s="50" t="s">
        <v>50</v>
      </c>
      <c r="S1332" s="52" t="s">
        <v>6339</v>
      </c>
    </row>
    <row r="1333" customFormat="false" ht="15" hidden="false" customHeight="true" outlineLevel="0" collapsed="false">
      <c r="A1333" s="46"/>
      <c r="B1333" s="24" t="s">
        <v>6340</v>
      </c>
      <c r="C1333" s="47"/>
      <c r="D1333" s="47" t="s">
        <v>3226</v>
      </c>
      <c r="E1333" s="46" t="s">
        <v>19</v>
      </c>
      <c r="F1333" s="46" t="s">
        <v>2104</v>
      </c>
      <c r="G1333" s="24" t="s">
        <v>3194</v>
      </c>
      <c r="H1333" s="48" t="n">
        <v>5</v>
      </c>
      <c r="I1333" s="46" t="s">
        <v>3084</v>
      </c>
      <c r="J1333" s="47" t="s">
        <v>6341</v>
      </c>
      <c r="K1333" s="24" t="s">
        <v>5469</v>
      </c>
      <c r="L1333" s="46" t="s">
        <v>6342</v>
      </c>
      <c r="M1333" s="24" t="s">
        <v>6343</v>
      </c>
      <c r="N1333" s="46" t="s">
        <v>6344</v>
      </c>
      <c r="O1333" s="24"/>
      <c r="P1333" s="46"/>
      <c r="Q1333" s="46"/>
      <c r="R1333" s="47" t="s">
        <v>50</v>
      </c>
      <c r="S1333" s="52" t="s">
        <v>6345</v>
      </c>
    </row>
    <row r="1334" customFormat="false" ht="18" hidden="false" customHeight="true" outlineLevel="0" collapsed="false">
      <c r="A1334" s="30" t="s">
        <v>6346</v>
      </c>
      <c r="B1334" s="30"/>
      <c r="C1334" s="30"/>
      <c r="D1334" s="30"/>
      <c r="E1334" s="30"/>
      <c r="F1334" s="30"/>
      <c r="G1334" s="30"/>
      <c r="H1334" s="22" t="n">
        <f aca="false">SUM(H5:H1333)</f>
        <v>11082</v>
      </c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</row>
    <row r="1336" customFormat="false" ht="27.75" hidden="false" customHeight="true" outlineLevel="0" collapsed="false">
      <c r="A1336" s="23" t="s">
        <v>6347</v>
      </c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</row>
    <row r="1337" customFormat="false" ht="27.75" hidden="false" customHeight="true" outlineLevel="0" collapsed="false">
      <c r="A1337" s="23" t="s">
        <v>6348</v>
      </c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</row>
    <row r="1338" customFormat="false" ht="27.75" hidden="false" customHeight="true" outlineLevel="0" collapsed="false">
      <c r="A1338" s="23" t="s">
        <v>6349</v>
      </c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</row>
  </sheetData>
  <autoFilter ref="A4:S1334"/>
  <mergeCells count="6">
    <mergeCell ref="A1:S1"/>
    <mergeCell ref="A2:S2"/>
    <mergeCell ref="A1334:G1334"/>
    <mergeCell ref="A1336:S1336"/>
    <mergeCell ref="A1337:S1337"/>
    <mergeCell ref="A1338:S13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2026-08-11T23:59:07Z</dcterms:created>
  <dc:creator>openpyxl</dc:creator>
  <dc:description/>
  <dc:language>en-US</dc:language>
  <cp:lastModifiedBy/>
  <dcterms:modified xsi:type="dcterms:W3CDTF">2026-08-12T10:14:00Z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